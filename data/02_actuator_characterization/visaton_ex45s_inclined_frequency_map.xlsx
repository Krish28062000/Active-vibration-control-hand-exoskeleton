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Override PartName="/xl/drawings/charts/chart6.xml" ContentType="application/vnd.openxmlformats-officedocument.drawingml.chart+xml"/>
  <Override PartName="/xl/drawings/charts/chart7.xml" ContentType="application/vnd.openxmlformats-officedocument.drawingml.char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a0200510a34bfe" /></Relationships>
</file>

<file path=xl/workbook.xml><?xml version="1.0" encoding="utf-8"?>
<x:workbook xmlns:x="http://schemas.openxmlformats.org/spreadsheetml/2006/main">
  <x:sheets>
    <x:sheet xmlns:r="http://schemas.openxmlformats.org/officeDocument/2006/relationships" name="START_HERE" sheetId="1" r:id="R2c4043630c3f4952"/>
    <x:sheet xmlns:r="http://schemas.openxmlformats.org/officeDocument/2006/relationships" name="Dashboard" sheetId="2" r:id="R6a4c65b8e4fb452a"/>
    <x:sheet xmlns:r="http://schemas.openxmlformats.org/officeDocument/2006/relationships" name="Test_Register" sheetId="3" r:id="Rbb306f0478a7443a"/>
    <x:sheet xmlns:r="http://schemas.openxmlformats.org/officeDocument/2006/relationships" name="Master_Summary" sheetId="4" r:id="Rb8cb5f19f18048b7"/>
    <x:sheet xmlns:r="http://schemas.openxmlformats.org/officeDocument/2006/relationships" name="Inclined_Tests" sheetId="5" r:id="R079dc18babb34505"/>
    <x:sheet xmlns:r="http://schemas.openxmlformats.org/officeDocument/2006/relationships" name="Raw_Measurements" sheetId="6" r:id="R8ec1f408693f4138"/>
    <x:sheet xmlns:r="http://schemas.openxmlformats.org/officeDocument/2006/relationships" name="Settings_Glossary" sheetId="7" r:id="R16be71edc49f4bf4"/>
    <x:sheet xmlns:r="http://schemas.openxmlformats.org/officeDocument/2006/relationships" name="Control_Comparison" sheetId="8" r:id="R9f817d2e20704537"/>
    <x:sheet xmlns:r="http://schemas.openxmlformats.org/officeDocument/2006/relationships" name="Future_Inclined_Template" sheetId="9" r:id="R80ced076791a42b4"/>
    <x:sheet xmlns:r="http://schemas.openxmlformats.org/officeDocument/2006/relationships" name="Inclined_Freq_Raw" sheetId="10" r:id="R70846a1846cc47d1"/>
    <x:sheet xmlns:r="http://schemas.openxmlformats.org/officeDocument/2006/relationships" name="Frequency_Control_Map" sheetId="11" r:id="R1686a91dce7f4c4c"/>
    <x:sheet xmlns:r="http://schemas.openxmlformats.org/officeDocument/2006/relationships" name="Horizontal_vs_Inclined" sheetId="12" r:id="Rf08a0f985f5a47f0"/>
    <x:sheet xmlns:r="http://schemas.openxmlformats.org/officeDocument/2006/relationships" name="Phase_Sweep_Decision" sheetId="13" r:id="Rdc77bbdecb6c45d5"/>
    <x:sheet xmlns:r="http://schemas.openxmlformats.org/officeDocument/2006/relationships" name="Repeatability_225" sheetId="14" r:id="Rb1971fe1f39e45a6"/>
    <x:sheet xmlns:r="http://schemas.openxmlformats.org/officeDocument/2006/relationships" name="Incline_Comparison" sheetId="15" r:id="Rdfbc2a9445c94a2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00"/>
    <x:numFmt numFmtId="202" formatCode="0"/>
    <x:numFmt numFmtId="203" formatCode="0.000"/>
    <x:numFmt numFmtId="204" formatCode="0.0"/>
  </x:numFmts>
  <x:fonts count="7">
    <x:font>
      <x:sz val="11"/>
      <x:name val="Carlito"/>
    </x:font>
    <x:font>
      <x:b/>
      <x:sz val="16"/>
      <x:color rgb="FFFFFFFF"/>
      <x:name val="Carlito"/>
    </x:font>
    <x:font>
      <x:b/>
      <x:sz val="11"/>
      <x:color rgb="FFFFFFFF"/>
      <x:name val="Carlito"/>
    </x:font>
    <x:font>
      <x:b/>
      <x:sz val="11"/>
      <x:color rgb="FF17365D"/>
      <x:name val="Carlito"/>
    </x:font>
    <x:font>
      <x:b/>
      <x:sz val="11"/>
      <x:name val="Carlito"/>
    </x:font>
    <x:font>
      <x:b/>
      <x:sz val="14"/>
      <x:color rgb="FFFFFFFF"/>
      <x:name val="Carlito"/>
    </x:font>
    <x:font>
      <x:i/>
      <x:sz val="11"/>
      <x:name val="Carlito"/>
    </x:font>
  </x:fonts>
  <x:fills count="10">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5B9BD5"/>
      </x:patternFill>
    </x:fill>
  </x:fills>
  <x:borders count="2">
    <x:border/>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204" fontId="0" fillId="0" borderId="0" xfId="0" applyNumberFormat="1" applyFont="1" applyFill="1" applyBorder="1"/>
    <x:xf numFmtId="204" fontId="0" fillId="0" borderId="1" xfId="0" applyNumberFormat="1" applyFont="1" applyFill="1" applyBorder="1"/>
    <x:xf numFmtId="0" fontId="1" fillId="2" borderId="0" xfId="0" applyNumberFormat="1" applyFont="1" applyFill="1" applyBorder="1" applyAlignment="1">
      <x:alignment vertical="center" wrapText="1"/>
    </x:xf>
    <x:xf numFmtId="204" fontId="0" fillId="0"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204" fontId="0" fillId="0"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0" borderId="0" xfId="0" applyNumberFormat="1" applyFont="1" applyFill="1" applyBorder="1" applyAlignment="1">
      <x:alignment wrapText="0"/>
    </x:xf>
    <x:xf numFmtId="203" fontId="0" fillId="0" borderId="0" xfId="0" applyNumberFormat="1" applyFont="1" applyFill="1" applyBorder="1" applyAlignment="1">
      <x:alignment wrapText="0"/>
    </x:xf>
    <x:xf numFmtId="204" fontId="0" fillId="0" borderId="0" xfId="0" applyNumberFormat="1" applyFont="1" applyFill="1" applyBorder="1" applyAlignment="1">
      <x:alignment wrapText="0"/>
    </x:xf>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2" fillId="9"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be4e0716ec479d" /><Relationship Type="http://schemas.openxmlformats.org/officeDocument/2006/relationships/theme" Target="/xl/theme/theme1.xml" Id="R25000ade0bcc4e04" /><Relationship Type="http://schemas.openxmlformats.org/officeDocument/2006/relationships/sharedStrings" Target="/xl/sharedStrings.xml" Id="Rd3a250b7035a48ea" /><Relationship Type="http://schemas.openxmlformats.org/officeDocument/2006/relationships/worksheet" Target="/xl/worksheets/sheet1.xml" Id="R2c4043630c3f4952" /><Relationship Type="http://schemas.openxmlformats.org/officeDocument/2006/relationships/worksheet" Target="/xl/worksheets/sheet2.xml" Id="R6a4c65b8e4fb452a" /><Relationship Type="http://schemas.openxmlformats.org/officeDocument/2006/relationships/worksheet" Target="/xl/worksheets/sheet3.xml" Id="Rbb306f0478a7443a" /><Relationship Type="http://schemas.openxmlformats.org/officeDocument/2006/relationships/worksheet" Target="/xl/worksheets/sheet4.xml" Id="Rb8cb5f19f18048b7" /><Relationship Type="http://schemas.openxmlformats.org/officeDocument/2006/relationships/worksheet" Target="/xl/worksheets/sheet5.xml" Id="R079dc18babb34505" /><Relationship Type="http://schemas.openxmlformats.org/officeDocument/2006/relationships/worksheet" Target="/xl/worksheets/sheet6.xml" Id="R8ec1f408693f4138" /><Relationship Type="http://schemas.openxmlformats.org/officeDocument/2006/relationships/worksheet" Target="/xl/worksheets/sheet7.xml" Id="R16be71edc49f4bf4" /><Relationship Type="http://schemas.openxmlformats.org/officeDocument/2006/relationships/worksheet" Target="/xl/worksheets/sheet8.xml" Id="R9f817d2e20704537" /><Relationship Type="http://schemas.openxmlformats.org/officeDocument/2006/relationships/worksheet" Target="/xl/worksheets/sheet9.xml" Id="R80ced076791a42b4" /><Relationship Type="http://schemas.openxmlformats.org/officeDocument/2006/relationships/worksheet" Target="/xl/worksheets/sheet10.xml" Id="R70846a1846cc47d1" /><Relationship Type="http://schemas.openxmlformats.org/officeDocument/2006/relationships/worksheet" Target="/xl/worksheets/sheet11.xml" Id="R1686a91dce7f4c4c" /><Relationship Type="http://schemas.openxmlformats.org/officeDocument/2006/relationships/worksheet" Target="/xl/worksheets/sheet12.xml" Id="Rf08a0f985f5a47f0" /><Relationship Type="http://schemas.openxmlformats.org/officeDocument/2006/relationships/worksheet" Target="/xl/worksheets/sheet13.xml" Id="Rdc77bbdecb6c45d5" /><Relationship Type="http://schemas.openxmlformats.org/officeDocument/2006/relationships/worksheet" Target="/xl/worksheets/sheet14.xml" Id="Rb1971fe1f39e45a6" /><Relationship Type="http://schemas.openxmlformats.org/officeDocument/2006/relationships/worksheet" Target="/xl/worksheets/sheet15.xml" Id="Rdfbc2a9445c94a2f" /></Relationships>
</file>

<file path=xl/drawings/_rels/drawing1.xml.rels>&#65279;<?xml version="1.0" encoding="utf-8"?><Relationships xmlns="http://schemas.openxmlformats.org/package/2006/relationships"><Relationship Type="http://schemas.openxmlformats.org/officeDocument/2006/relationships/chart" Target="/xl/drawings/charts/chart1.xml" Id="Rcb4eeb0205d2405c" /><Relationship Type="http://schemas.openxmlformats.org/officeDocument/2006/relationships/chart" Target="/xl/drawings/charts/chart2.xml" Id="R1f2df10e5a74436b" /></Relationships>
</file>

<file path=xl/drawings/_rels/drawing2.xml.rels>&#65279;<?xml version="1.0" encoding="utf-8"?><Relationships xmlns="http://schemas.openxmlformats.org/package/2006/relationships"><Relationship Type="http://schemas.openxmlformats.org/officeDocument/2006/relationships/chart" Target="/xl/drawings/charts/chart3.xml" Id="R605a26d73252406b" /><Relationship Type="http://schemas.openxmlformats.org/officeDocument/2006/relationships/chart" Target="/xl/drawings/charts/chart4.xml" Id="R7fa6c9f3dbbb4ceb" /><Relationship Type="http://schemas.openxmlformats.org/officeDocument/2006/relationships/chart" Target="/xl/drawings/charts/chart5.xml" Id="Ra7fd5c87f1154c93" /></Relationships>
</file>

<file path=xl/drawings/_rels/drawing3.xml.rels>&#65279;<?xml version="1.0" encoding="utf-8"?><Relationships xmlns="http://schemas.openxmlformats.org/package/2006/relationships"><Relationship Type="http://schemas.openxmlformats.org/officeDocument/2006/relationships/chart" Target="/xl/drawings/charts/chart6.xml" Id="Rc6eff9622f654d30" /><Relationship Type="http://schemas.openxmlformats.org/officeDocument/2006/relationships/chart" Target="/xl/drawings/charts/chart7.xml" Id="R5e48dfa3a4b7429d" /></Relationships>
</file>

<file path=xl/drawings/charts/chart1.xml><?xml version="1.0" encoding="utf-8"?>
<c:chartSpace xmlns:c="http://schemas.openxmlformats.org/drawingml/2006/chart">
  <c:lang val="en-US"/>
  <c:roundedCorners val="0"/>
  <c:chart>
    <c:plotArea>
      <c:lineChart>
        <c:grouping val="standard"/>
        <c:varyColors val="0"/>
        <c:ser>
          <c:idx val="0"/>
          <c:order val="0"/>
          <c:tx>
            <c:v>K1</c:v>
          </c:tx>
          <c:marker>
            <c:symbol val="none"/>
          </c:marker>
          <c:cat>
            <c:strRef>
              <c:f>'Master_Summary'!$F$4:$F$18</c:f>
              <c:strCache>
                <c:ptCount val="0"/>
              </c:strCache>
            </c:strRef>
          </c:cat>
          <c:val>
            <c:numRef>
              <c:f>'Master_Summary'!$U$4:$U$18</c:f>
              <c:numCache>
                <c:formatCode>General</c:formatCode>
                <c:ptCount val="0"/>
              </c:numCache>
            </c:numRef>
          </c:val>
        </c:ser>
        <c:ser>
          <c:idx val="1"/>
          <c:order val="1"/>
          <c:tx>
            <c:v>K2</c:v>
          </c:tx>
          <c:marker>
            <c:symbol val="none"/>
          </c:marker>
          <c:cat>
            <c:strRef>
              <c:f>'Master_Summary'!$F$19:$F$33</c:f>
              <c:strCache>
                <c:ptCount val="0"/>
              </c:strCache>
            </c:strRef>
          </c:cat>
          <c:val>
            <c:numRef>
              <c:f>'Master_Summary'!$U$19:$U$33</c:f>
              <c:numCache>
                <c:formatCode>General</c:formatCode>
                <c:ptCount val="0"/>
              </c:numCache>
            </c:numRef>
          </c:val>
        </c:ser>
        <c:ser>
          <c:idx val="2"/>
          <c:order val="2"/>
          <c:tx>
            <c:v>K3</c:v>
          </c:tx>
          <c:marker>
            <c:symbol val="none"/>
          </c:marker>
          <c:cat>
            <c:strRef>
              <c:f>'Master_Summary'!$F$34:$F$48</c:f>
              <c:strCache>
                <c:ptCount val="0"/>
              </c:strCache>
            </c:strRef>
          </c:cat>
          <c:val>
            <c:numRef>
              <c:f>'Master_Summary'!$U$34:$U$48</c:f>
              <c:numCache>
                <c:formatCode>General</c:formatCode>
                <c:ptCount val="0"/>
              </c:numCache>
            </c:numRef>
          </c:val>
        </c:ser>
        <c:ser>
          <c:idx val="3"/>
          <c:order val="3"/>
          <c:tx>
            <c:v>K4</c:v>
          </c:tx>
          <c:marker>
            <c:symbol val="none"/>
          </c:marker>
          <c:cat>
            <c:strRef>
              <c:f>'Master_Summary'!$F$49:$F$63</c:f>
              <c:strCache>
                <c:ptCount val="0"/>
              </c:strCache>
            </c:strRef>
          </c:cat>
          <c:val>
            <c:numRef>
              <c:f>'Master_Summary'!$U$49:$U$63</c:f>
              <c:numCache>
                <c:formatCode>General</c:formatCode>
                <c:ptCount val="0"/>
              </c:numCache>
            </c:numRef>
          </c:val>
        </c:ser>
        <c:ser>
          <c:idx val="4"/>
          <c:order val="4"/>
          <c:tx>
            <c:v>K5</c:v>
          </c:tx>
          <c:marker>
            <c:symbol val="none"/>
          </c:marker>
          <c:cat>
            <c:strRef>
              <c:f>'Master_Summary'!$F$64:$F$74</c:f>
              <c:strCache>
                <c:ptCount val="0"/>
              </c:strCache>
            </c:strRef>
          </c:cat>
          <c:val>
            <c:numRef>
              <c:f>'Master_Summary'!$U$64:$U$74</c:f>
              <c:numCache>
                <c:formatCode>General</c:formatCode>
                <c:ptCount val="0"/>
              </c:numCache>
            </c:numRef>
          </c:val>
        </c:ser>
        <c:ser>
          <c:idx val="5"/>
          <c:order val="5"/>
          <c:tx>
            <c:v>INC-01</c:v>
          </c:tx>
          <c:marker>
            <c:symbol val="none"/>
          </c:marker>
          <c:cat>
            <c:strRef>
              <c:f>'Master_Summary'!$F$75:$F$95</c:f>
              <c:strCache>
                <c:ptCount val="0"/>
              </c:strCache>
            </c:strRef>
          </c:cat>
          <c:val>
            <c:numRef>
              <c:f>'Master_Summary'!$U$75:$U$95</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barChart>
        <c:barDir val="col"/>
        <c:varyColors val="0"/>
        <c:ser>
          <c:idx val="0"/>
          <c:order val="0"/>
          <c:tx>
            <c:v>X</c:v>
          </c:tx>
          <c:cat>
            <c:strRef>
              <c:f>'Control_Comparison'!$A$6:$A$10</c:f>
              <c:strCache>
                <c:ptCount val="0"/>
              </c:strCache>
            </c:strRef>
          </c:cat>
          <c:val>
            <c:numRef>
              <c:f>'Control_Comparison'!$D$6:$D$10</c:f>
              <c:numCache>
                <c:formatCode>General</c:formatCode>
                <c:ptCount val="0"/>
              </c:numCache>
            </c:numRef>
          </c:val>
        </c:ser>
        <c:ser>
          <c:idx val="1"/>
          <c:order val="1"/>
          <c:tx>
            <c:v>Y</c:v>
          </c:tx>
          <c:cat>
            <c:strRef>
              <c:f>'Control_Comparison'!$A$6:$A$10</c:f>
              <c:strCache>
                <c:ptCount val="0"/>
              </c:strCache>
            </c:strRef>
          </c:cat>
          <c:val>
            <c:numRef>
              <c:f>'Control_Comparison'!$E$6:$E$10</c:f>
              <c:numCache>
                <c:formatCode>General</c:formatCode>
                <c:ptCount val="0"/>
              </c:numCache>
            </c:numRef>
          </c:val>
        </c:ser>
        <c:ser>
          <c:idx val="2"/>
          <c:order val="2"/>
          <c:tx>
            <c:v>Z</c:v>
          </c:tx>
          <c:cat>
            <c:strRef>
              <c:f>'Control_Comparison'!$A$6:$A$10</c:f>
              <c:strCache>
                <c:ptCount val="0"/>
              </c:strCache>
            </c:strRef>
          </c:cat>
          <c:val>
            <c:numRef>
              <c:f>'Control_Comparison'!$F$6:$F$10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ineChart>
        <c:grouping val="standard"/>
        <c:varyColors val="0"/>
        <c:ser>
          <c:idx val="0"/>
          <c:order val="0"/>
          <c:tx>
            <c:v>X amplitude</c:v>
          </c:tx>
          <c:marker>
            <c:symbol val="none"/>
          </c:marker>
          <c:cat>
            <c:strRef>
              <c:f>'Inclined_Tests'!$D$4:$D$24</c:f>
              <c:strCache>
                <c:ptCount val="0"/>
              </c:strCache>
            </c:strRef>
          </c:cat>
          <c:val>
            <c:numRef>
              <c:f>'Inclined_Tests'!$M$4:$M$24</c:f>
              <c:numCache>
                <c:formatCode>General</c:formatCode>
                <c:ptCount val="0"/>
              </c:numCache>
            </c:numRef>
          </c:val>
        </c:ser>
        <c:ser>
          <c:idx val="1"/>
          <c:order val="1"/>
          <c:tx>
            <c:v>Y amplitude</c:v>
          </c:tx>
          <c:marker>
            <c:symbol val="none"/>
          </c:marker>
          <c:cat>
            <c:strRef>
              <c:f>'Inclined_Tests'!$D$4:$D$24</c:f>
              <c:strCache>
                <c:ptCount val="0"/>
              </c:strCache>
            </c:strRef>
          </c:cat>
          <c:val>
            <c:numRef>
              <c:f>'Inclined_Tests'!$N$4:$N$24</c:f>
              <c:numCache>
                <c:formatCode>General</c:formatCode>
                <c:ptCount val="0"/>
              </c:numCache>
            </c:numRef>
          </c:val>
        </c:ser>
        <c:ser>
          <c:idx val="2"/>
          <c:order val="2"/>
          <c:tx>
            <c:v>Z amplitude</c:v>
          </c:tx>
          <c:marker>
            <c:symbol val="none"/>
          </c:marker>
          <c:cat>
            <c:strRef>
              <c:f>'Inclined_Tests'!$D$4:$D$24</c:f>
              <c:strCache>
                <c:ptCount val="0"/>
              </c:strCache>
            </c:strRef>
          </c:cat>
          <c:val>
            <c:numRef>
              <c:f>'Inclined_Tests'!$O$4:$O$24</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ineChart>
        <c:grouping val="standard"/>
        <c:varyColors val="0"/>
        <c:ser>
          <c:idx val="0"/>
          <c:order val="0"/>
          <c:tx>
            <c:v>X error</c:v>
          </c:tx>
          <c:marker>
            <c:symbol val="none"/>
          </c:marker>
          <c:cat>
            <c:strRef>
              <c:f>'Inclined_Tests'!$D$4:$D$24</c:f>
              <c:strCache>
                <c:ptCount val="0"/>
              </c:strCache>
            </c:strRef>
          </c:cat>
          <c:val>
            <c:numRef>
              <c:f>'Inclined_Tests'!$F$4:$F$24</c:f>
              <c:numCache>
                <c:formatCode>General</c:formatCode>
                <c:ptCount val="0"/>
              </c:numCache>
            </c:numRef>
          </c:val>
        </c:ser>
        <c:ser>
          <c:idx val="1"/>
          <c:order val="1"/>
          <c:tx>
            <c:v>Y error</c:v>
          </c:tx>
          <c:marker>
            <c:symbol val="none"/>
          </c:marker>
          <c:cat>
            <c:strRef>
              <c:f>'Inclined_Tests'!$D$4:$D$24</c:f>
              <c:strCache>
                <c:ptCount val="0"/>
              </c:strCache>
            </c:strRef>
          </c:cat>
          <c:val>
            <c:numRef>
              <c:f>'Inclined_Tests'!$H$4:$H$24</c:f>
              <c:numCache>
                <c:formatCode>General</c:formatCode>
                <c:ptCount val="0"/>
              </c:numCache>
            </c:numRef>
          </c:val>
        </c:ser>
        <c:ser>
          <c:idx val="2"/>
          <c:order val="2"/>
          <c:tx>
            <c:v>Z error</c:v>
          </c:tx>
          <c:marker>
            <c:symbol val="none"/>
          </c:marker>
          <c:cat>
            <c:strRef>
              <c:f>'Inclined_Tests'!$D$4:$D$24</c:f>
              <c:strCache>
                <c:ptCount val="0"/>
              </c:strCache>
            </c:strRef>
          </c:cat>
          <c:val>
            <c:numRef>
              <c:f>'Inclined_Tests'!$J$4:$J$24</c:f>
              <c:numCache>
                <c:formatCode>General</c:formatCode>
                <c:ptCount val="0"/>
              </c:numCache>
            </c:numRef>
          </c:val>
        </c:ser>
        <c:ser>
          <c:idx val="3"/>
          <c:order val="3"/>
          <c:tx>
            <c:v>Vector error</c:v>
          </c:tx>
          <c:marker>
            <c:symbol val="none"/>
          </c:marker>
          <c:cat>
            <c:strRef>
              <c:f>'Inclined_Tests'!$D$4:$D$24</c:f>
              <c:strCache>
                <c:ptCount val="0"/>
              </c:strCache>
            </c:strRef>
          </c:cat>
          <c:val>
            <c:numRef>
              <c:f>'Inclined_Tests'!$L$4:$L$24</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plotArea>
      <c:lineChart>
        <c:grouping val="standard"/>
        <c:varyColors val="0"/>
        <c:ser>
          <c:idx val="0"/>
          <c:order val="0"/>
          <c:tx>
            <c:v>X sync</c:v>
          </c:tx>
          <c:marker>
            <c:symbol val="none"/>
          </c:marker>
          <c:cat>
            <c:strRef>
              <c:f>'Inclined_Tests'!$D$4:$D$24</c:f>
              <c:strCache>
                <c:ptCount val="0"/>
              </c:strCache>
            </c:strRef>
          </c:cat>
          <c:val>
            <c:numRef>
              <c:f>'Inclined_Tests'!$U$4:$U$24</c:f>
              <c:numCache>
                <c:formatCode>General</c:formatCode>
                <c:ptCount val="0"/>
              </c:numCache>
            </c:numRef>
          </c:val>
        </c:ser>
        <c:ser>
          <c:idx val="1"/>
          <c:order val="1"/>
          <c:tx>
            <c:v>Y sync</c:v>
          </c:tx>
          <c:marker>
            <c:symbol val="none"/>
          </c:marker>
          <c:cat>
            <c:strRef>
              <c:f>'Inclined_Tests'!$D$4:$D$24</c:f>
              <c:strCache>
                <c:ptCount val="0"/>
              </c:strCache>
            </c:strRef>
          </c:cat>
          <c:val>
            <c:numRef>
              <c:f>'Inclined_Tests'!$V$4:$V$24</c:f>
              <c:numCache>
                <c:formatCode>General</c:formatCode>
                <c:ptCount val="0"/>
              </c:numCache>
            </c:numRef>
          </c:val>
        </c:ser>
        <c:ser>
          <c:idx val="2"/>
          <c:order val="2"/>
          <c:tx>
            <c:v>Z sync</c:v>
          </c:tx>
          <c:marker>
            <c:symbol val="none"/>
          </c:marker>
          <c:cat>
            <c:strRef>
              <c:f>'Inclined_Tests'!$D$4:$D$24</c:f>
              <c:strCache>
                <c:ptCount val="0"/>
              </c:strCache>
            </c:strRef>
          </c:cat>
          <c:val>
            <c:numRef>
              <c:f>'Inclined_Tests'!$W$4:$W$24</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Inclined actuator amplitude vs frequency at DAC 15</a:t>
            </a:r>
          </a:p>
        </c:rich>
      </c:tx>
    </c:title>
    <c:plotArea>
      <c:lineChart>
        <c:grouping val="standard"/>
        <c:ser>
          <c:idx val="0"/>
          <c:order val="0"/>
          <c:tx>
            <c:v>X @ DAC15</c:v>
          </c:tx>
          <c:marker>
            <c:symbol val="none"/>
          </c:marker>
          <c:cat>
            <c:strRef>
              <c:f>'Phase_Sweep_Decision'!$A$31:$A$42</c:f>
              <c:strCache>
                <c:ptCount val="0"/>
              </c:strCache>
            </c:strRef>
          </c:cat>
          <c:val>
            <c:numRef>
              <c:f>'Phase_Sweep_Decision'!$B$31:$B$42</c:f>
              <c:numCache>
                <c:formatCode>General</c:formatCode>
                <c:ptCount val="0"/>
              </c:numCache>
            </c:numRef>
          </c:val>
        </c:ser>
        <c:ser>
          <c:idx val="1"/>
          <c:order val="1"/>
          <c:tx>
            <c:v>Y @ DAC15</c:v>
          </c:tx>
          <c:marker>
            <c:symbol val="none"/>
          </c:marker>
          <c:cat>
            <c:strRef>
              <c:f>'Phase_Sweep_Decision'!$A$31:$A$42</c:f>
              <c:strCache>
                <c:ptCount val="0"/>
              </c:strCache>
            </c:strRef>
          </c:cat>
          <c:val>
            <c:numRef>
              <c:f>'Phase_Sweep_Decision'!$C$31:$C$42</c:f>
              <c:numCache>
                <c:formatCode>General</c:formatCode>
                <c:ptCount val="0"/>
              </c:numCache>
            </c:numRef>
          </c:val>
        </c:ser>
        <c:ser>
          <c:idx val="2"/>
          <c:order val="2"/>
          <c:tx>
            <c:v>Z @ DAC15</c:v>
          </c:tx>
          <c:marker>
            <c:symbol val="none"/>
          </c:marker>
          <c:cat>
            <c:strRef>
              <c:f>'Phase_Sweep_Decision'!$A$31:$A$42</c:f>
              <c:strCache>
                <c:ptCount val="0"/>
              </c:strCache>
            </c:strRef>
          </c:cat>
          <c:val>
            <c:numRef>
              <c:f>'Phase_Sweep_Decision'!$D$31:$D$42</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Synchronous ratio vs frequency at DAC 15</a:t>
            </a:r>
          </a:p>
        </c:rich>
      </c:tx>
    </c:title>
    <c:plotArea>
      <c:lineChart>
        <c:grouping val="standard"/>
        <c:ser>
          <c:idx val="0"/>
          <c:order val="0"/>
          <c:tx>
            <c:v>X sync @ DAC15</c:v>
          </c:tx>
          <c:marker>
            <c:symbol val="none"/>
          </c:marker>
          <c:cat>
            <c:strRef>
              <c:f>'Phase_Sweep_Decision'!$F$31:$F$42</c:f>
              <c:strCache>
                <c:ptCount val="0"/>
              </c:strCache>
            </c:strRef>
          </c:cat>
          <c:val>
            <c:numRef>
              <c:f>'Phase_Sweep_Decision'!$G$31:$G$42</c:f>
              <c:numCache>
                <c:formatCode>General</c:formatCode>
                <c:ptCount val="0"/>
              </c:numCache>
            </c:numRef>
          </c:val>
        </c:ser>
        <c:ser>
          <c:idx val="1"/>
          <c:order val="1"/>
          <c:tx>
            <c:v>Y sync @ DAC15</c:v>
          </c:tx>
          <c:marker>
            <c:symbol val="none"/>
          </c:marker>
          <c:cat>
            <c:strRef>
              <c:f>'Phase_Sweep_Decision'!$F$31:$F$42</c:f>
              <c:strCache>
                <c:ptCount val="0"/>
              </c:strCache>
            </c:strRef>
          </c:cat>
          <c:val>
            <c:numRef>
              <c:f>'Phase_Sweep_Decision'!$H$31:$H$42</c:f>
              <c:numCache>
                <c:formatCode>General</c:formatCode>
                <c:ptCount val="0"/>
              </c:numCache>
            </c:numRef>
          </c:val>
        </c:ser>
        <c:ser>
          <c:idx val="2"/>
          <c:order val="2"/>
          <c:tx>
            <c:v>Z sync @ DAC15</c:v>
          </c:tx>
          <c:marker>
            <c:symbol val="none"/>
          </c:marker>
          <c:cat>
            <c:strRef>
              <c:f>'Phase_Sweep_Decision'!$F$31:$F$42</c:f>
              <c:strCache>
                <c:ptCount val="0"/>
              </c:strCache>
            </c:strRef>
          </c:cat>
          <c:val>
            <c:numRef>
              <c:f>'Phase_Sweep_Decision'!$I$31:$I$42</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16</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4eeb0205d2405c"/>
        </a:graphicData>
      </a:graphic>
    </xdr:graphicFrame>
    <xdr:clientData/>
  </xdr:twoCellAnchor>
  <xdr:twoCellAnchor>
    <xdr:from>
      <xdr:col>7</xdr:col>
      <xdr:colOff>0</xdr:colOff>
      <xdr:row>20</xdr:row>
      <xdr:rowOff>0</xdr:rowOff>
    </xdr:from>
    <xdr:to>
      <xdr:col>16</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2df10e5a74436b"/>
        </a:graphicData>
      </a:graphic>
    </xdr:graphicFrame>
    <xdr:clientData/>
  </xdr:twoCellAnchor>
</xdr:wsDr>
</file>

<file path=xl/drawings/drawing2.xml><?xml version="1.0" encoding="utf-8"?>
<xdr:wsDr xmlns:xdr="http://schemas.openxmlformats.org/drawingml/2006/spreadsheetDrawing">
  <xdr:twoCellAnchor>
    <xdr:from>
      <xdr:col>33</xdr:col>
      <xdr:colOff>0</xdr:colOff>
      <xdr:row>2</xdr:row>
      <xdr:rowOff>0</xdr:rowOff>
    </xdr:from>
    <xdr:to>
      <xdr:col>42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5a26d73252406b"/>
        </a:graphicData>
      </a:graphic>
    </xdr:graphicFrame>
    <xdr:clientData/>
  </xdr:twoCellAnchor>
  <xdr:twoCellAnchor>
    <xdr:from>
      <xdr:col>33</xdr:col>
      <xdr:colOff>0</xdr:colOff>
      <xdr:row>19</xdr:row>
      <xdr:rowOff>0</xdr:rowOff>
    </xdr:from>
    <xdr:to>
      <xdr:col>42</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a6c9f3dbbb4ceb"/>
        </a:graphicData>
      </a:graphic>
    </xdr:graphicFrame>
    <xdr:clientData/>
  </xdr:twoCellAnchor>
  <xdr:twoCellAnchor>
    <xdr:from>
      <xdr:col>33</xdr:col>
      <xdr:colOff>0</xdr:colOff>
      <xdr:row>36</xdr:row>
      <xdr:rowOff>0</xdr:rowOff>
    </xdr:from>
    <xdr:to>
      <xdr:col>42</xdr:col>
      <xdr:colOff>0</xdr:colOff>
      <xdr:row>52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fd5c87f1154c93"/>
        </a:graphicData>
      </a:graphic>
    </xdr:graphicFrame>
    <xdr:clientData/>
  </xdr:twoCellAnchor>
</xdr:wsDr>
</file>

<file path=xl/drawings/drawing3.xml><?xml version="1.0" encoding="utf-8"?>
<xdr:wsDr xmlns:xdr="http://schemas.openxmlformats.org/drawingml/2006/spreadsheetDrawing">
  <xdr:twoCellAnchor>
    <xdr:from>
      <xdr:col>19</xdr:col>
      <xdr:colOff>0</xdr:colOff>
      <xdr:row>3</xdr:row>
      <xdr:rowOff>0</xdr:rowOff>
    </xdr:from>
    <xdr:to>
      <xdr:col>29</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eff9622f654d30"/>
        </a:graphicData>
      </a:graphic>
    </xdr:graphicFrame>
    <xdr:clientData/>
  </xdr:twoCellAnchor>
  <xdr:twoCellAnchor>
    <xdr:from>
      <xdr:col>19</xdr:col>
      <xdr:colOff>0</xdr:colOff>
      <xdr:row>18</xdr:row>
      <xdr:rowOff>0</xdr:rowOff>
    </xdr:from>
    <xdr:to>
      <xdr:col>29</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e48dfa3a4b7429d"/>
        </a:graphicData>
      </a:graphic>
    </xdr:graphicFrame>
    <xdr:clientData/>
  </xdr:twoCellAnchor>
</xdr:wsDr>
</file>

<file path=xl/tables/table1.xml><?xml version="1.0" encoding="utf-8"?>
<x:table xmlns:x="http://schemas.openxmlformats.org/spreadsheetml/2006/main" id="1" name="MasterSummaryTable" displayName="MasterSummaryTable" ref="A3:AM95" headerRowCount="1" totalsRowCount="0" totalsRowShown="0">
  <x:tableColumns count="39">
    <x:tableColumn id="1" name="Test ID"/>
    <x:tableColumn id="2" name="Orientation"/>
    <x:tableColumn id="3" name="Gain label"/>
    <x:tableColumn id="4" name="Source file"/>
    <x:tableColumn id="5" name="Cmd Freq (Hz)"/>
    <x:tableColumn id="6" name="DAC"/>
    <x:tableColumn id="7" name="Valid repeats"/>
    <x:tableColumn id="8" name="Vector Local Freq (Hz)"/>
    <x:tableColumn id="9" name="Vector Error (Hz)"/>
    <x:tableColumn id="10" name="|Vector Error| (Hz)"/>
    <x:tableColumn id="11" name="Vector Error (%)"/>
    <x:tableColumn id="12" name="X Local Freq (Hz)"/>
    <x:tableColumn id="13" name="X Error (Hz)"/>
    <x:tableColumn id="14" name="Y Local Freq (Hz)"/>
    <x:tableColumn id="15" name="Y Error (Hz)"/>
    <x:tableColumn id="16" name="Z Local Freq (Hz)"/>
    <x:tableColumn id="17" name="Z Error (Hz)"/>
    <x:tableColumn id="18" name="Quad X (m/s²)"/>
    <x:tableColumn id="19" name="Quad Y (m/s²)"/>
    <x:tableColumn id="20" name="Quad Z (m/s²)"/>
    <x:tableColumn id="21" name="Resultant (m/s²)"/>
    <x:tableColumn id="22" name="X CV (%)"/>
    <x:tableColumn id="23" name="Y CV (%)"/>
    <x:tableColumn id="24" name="Z CV (%)"/>
    <x:tableColumn id="25" name="Total CV (%)"/>
    <x:tableColumn id="26" name="X Energy Share (%)"/>
    <x:tableColumn id="27" name="Y Energy Share (%)"/>
    <x:tableColumn id="28" name="Z Energy Share (%)"/>
    <x:tableColumn id="29" name="Dominant Axis"/>
    <x:tableColumn id="30" name="Y/X"/>
    <x:tableColumn id="31" name="Z/X"/>
    <x:tableColumn id="32" name="X/DAC"/>
    <x:tableColumn id="33" name="Y/DAC"/>
    <x:tableColumn id="34" name="Z/DAC"/>
    <x:tableColumn id="35" name="Total/DAC"/>
    <x:tableColumn id="36" name="Frequency Review"/>
    <x:tableColumn id="37" name="Repeatability Review"/>
    <x:tableColumn id="38" name="Purpose"/>
    <x:tableColumn id="39" name="Notes"/>
  </x:tableColumns>
  <x:tableStyleInfo name="TableStyleMedium2" showFirstColumn="0" showLastColumn="0" showRowStripes="1" showColumnStripes="0"/>
</x:table>
</file>

<file path=xl/tables/table2.xml><?xml version="1.0" encoding="utf-8"?>
<x:table xmlns:x="http://schemas.openxmlformats.org/spreadsheetml/2006/main" id="2" name="InclinedCurrentTable" displayName="InclinedCurrentTable" ref="A3:AF24" headerRowCount="1" totalsRowCount="0" totalsRowShown="0">
  <x:tableColumns count="32">
    <x:tableColumn id="1" name="Test ID"/>
    <x:tableColumn id="2" name="Repeat"/>
    <x:tableColumn id="3" name="Cmd Freq (Hz)"/>
    <x:tableColumn id="4" name="DAC"/>
    <x:tableColumn id="5" name="X Local Freq"/>
    <x:tableColumn id="6" name="X Error"/>
    <x:tableColumn id="7" name="Y Local Freq"/>
    <x:tableColumn id="8" name="Y Error"/>
    <x:tableColumn id="9" name="Z Local Freq"/>
    <x:tableColumn id="10" name="Z Error"/>
    <x:tableColumn id="11" name="Vector Freq"/>
    <x:tableColumn id="12" name="Vector Error"/>
    <x:tableColumn id="13" name="Quad X (m/s²)"/>
    <x:tableColumn id="14" name="Quad Y (m/s²)"/>
    <x:tableColumn id="15" name="Quad Z (m/s²)"/>
    <x:tableColumn id="16" name="Resultant (m/s²)"/>
    <x:tableColumn id="17" name="X Phase (deg)"/>
    <x:tableColumn id="18" name="Y Phase (deg)"/>
    <x:tableColumn id="19" name="Z Phase (deg)"/>
    <x:tableColumn id="20" name="|Y-Z Phase Sep| (deg)"/>
    <x:tableColumn id="21" name="X Sync"/>
    <x:tableColumn id="22" name="Y Sync"/>
    <x:tableColumn id="23" name="Z Sync"/>
    <x:tableColumn id="24" name="X CV (%)"/>
    <x:tableColumn id="25" name="Y CV (%)"/>
    <x:tableColumn id="26" name="Z CV (%)"/>
    <x:tableColumn id="27" name="Total CV (%)"/>
    <x:tableColumn id="28" name="X Energy (%)"/>
    <x:tableColumn id="29" name="Y Energy (%)"/>
    <x:tableColumn id="30" name="Z Energy (%)"/>
    <x:tableColumn id="31" name="Dominant Axis"/>
    <x:tableColumn id="32" name="Interpretation"/>
  </x:tableColumns>
  <x:tableStyleInfo name="TableStyleMedium2" showFirstColumn="0" showLastColumn="0" showRowStripes="1" showColumnStripes="0"/>
</x:table>
</file>

<file path=xl/tables/table3.xml><?xml version="1.0" encoding="utf-8"?>
<x:table xmlns:x="http://schemas.openxmlformats.org/spreadsheetml/2006/main" id="3" name="RawMeasurementsTable" displayName="RawMeasurementsTable" ref="A3:AX177" headerRowCount="1" totalsRowCount="0" totalsRowShown="0">
  <x:tableColumns count="50">
    <x:tableColumn id="1" name="Test ID"/>
    <x:tableColumn id="2" name="Orientation"/>
    <x:tableColumn id="3" name="Gain label"/>
    <x:tableColumn id="4" name="Source file"/>
    <x:tableColumn id="5" name="Mode"/>
    <x:tableColumn id="6" name="Point"/>
    <x:tableColumn id="7" name="Repeat"/>
    <x:tableColumn id="8" name="CmdFreq_Hz"/>
    <x:tableColumn id="9" name="DAC"/>
    <x:tableColumn id="10" name="FFT_X_Dom_Hz"/>
    <x:tableColumn id="11" name="FFT_X_Dom_A"/>
    <x:tableColumn id="12" name="FFT_X_Dom_SNR"/>
    <x:tableColumn id="13" name="FFT_Y_Dom_Hz"/>
    <x:tableColumn id="14" name="FFT_Y_Dom_A"/>
    <x:tableColumn id="15" name="FFT_Y_Dom_SNR"/>
    <x:tableColumn id="16" name="FFT_Z_Dom_Hz"/>
    <x:tableColumn id="17" name="FFT_Z_Dom_A"/>
    <x:tableColumn id="18" name="FFT_Z_Dom_SNR"/>
    <x:tableColumn id="19" name="FFT_X_Local_Hz"/>
    <x:tableColumn id="20" name="FFT_X_Local_A"/>
    <x:tableColumn id="21" name="FFT_Y_Local_Hz"/>
    <x:tableColumn id="22" name="FFT_Y_Local_A"/>
    <x:tableColumn id="23" name="FFT_Z_Local_Hz"/>
    <x:tableColumn id="24" name="FFT_Z_Local_A"/>
    <x:tableColumn id="25" name="FFT_Vector_Local_Hz"/>
    <x:tableColumn id="26" name="FFT_Vector_FreqError_Hz"/>
    <x:tableColumn id="27" name="FFT_Vector_X_A"/>
    <x:tableColumn id="28" name="FFT_Vector_Y_A"/>
    <x:tableColumn id="29" name="FFT_Vector_Z_A"/>
    <x:tableColumn id="30" name="FFT_Vector_Total_A"/>
    <x:tableColumn id="31" name="FFT_Vector_SNR"/>
    <x:tableColumn id="32" name="FFT_Vector_DomAxis"/>
    <x:tableColumn id="33" name="Quad_X_A"/>
    <x:tableColumn id="34" name="Quad_X_Phase_deg"/>
    <x:tableColumn id="35" name="Quad_X_SyncRatio"/>
    <x:tableColumn id="36" name="Quad_X_CV_pct"/>
    <x:tableColumn id="37" name="Quad_Y_A"/>
    <x:tableColumn id="38" name="Quad_Y_Phase_deg"/>
    <x:tableColumn id="39" name="Quad_Y_SyncRatio"/>
    <x:tableColumn id="40" name="Quad_Y_CV_pct"/>
    <x:tableColumn id="41" name="Quad_Z_A"/>
    <x:tableColumn id="42" name="Quad_Z_Phase_deg"/>
    <x:tableColumn id="43" name="Quad_Z_SyncRatio"/>
    <x:tableColumn id="44" name="Quad_Z_CV_pct"/>
    <x:tableColumn id="45" name="Quad_Total_A"/>
    <x:tableColumn id="46" name="Quad_Total_CV_pct"/>
    <x:tableColumn id="47" name="X_Fraction"/>
    <x:tableColumn id="48" name="Y_Fraction"/>
    <x:tableColumn id="49" name="Z_Fraction"/>
    <x:tableColumn id="50" name="Valid"/>
  </x:tableColumns>
  <x:tableStyleInfo name="TableStyleMedium2" showFirstColumn="0" showLastColumn="0" showRowStripes="1" showColumnStripes="0"/>
</x:table>
</file>

<file path=xl/tables/table4.xml><?xml version="1.0" encoding="utf-8"?>
<x:table xmlns:x="http://schemas.openxmlformats.org/spreadsheetml/2006/main" id="4" name="FutureInclinedInputTable" displayName="FutureInclinedInputTable" ref="A5:W45" headerRowCount="1" totalsRowCount="0" totalsRowShown="0">
  <x:tableColumns count="23">
    <x:tableColumn id="1" name="Test ID"/>
    <x:tableColumn id="2" name="Date"/>
    <x:tableColumn id="3" name="Orientation description"/>
    <x:tableColumn id="4" name="Inclination angle (deg)"/>
    <x:tableColumn id="5" name="Knob mark / gain reference"/>
    <x:tableColumn id="6" name="Cmd Freq (Hz)"/>
    <x:tableColumn id="7" name="DAC"/>
    <x:tableColumn id="8" name="Repeat"/>
    <x:tableColumn id="9" name="X Local Freq"/>
    <x:tableColumn id="10" name="Y Local Freq"/>
    <x:tableColumn id="11" name="Z Local Freq"/>
    <x:tableColumn id="12" name="Vector Freq"/>
    <x:tableColumn id="13" name="Quad X"/>
    <x:tableColumn id="14" name="Quad Y"/>
    <x:tableColumn id="15" name="Quad Z"/>
    <x:tableColumn id="16" name="Resultant"/>
    <x:tableColumn id="17" name="X Phase"/>
    <x:tableColumn id="18" name="Y Phase"/>
    <x:tableColumn id="19" name="Z Phase"/>
    <x:tableColumn id="20" name="X Sync"/>
    <x:tableColumn id="21" name="Y Sync"/>
    <x:tableColumn id="22" name="Z Sync"/>
    <x:tableColumn id="23" name="Mount / sensor notes"/>
  </x:tableColumns>
  <x:tableStyleInfo name="TableStyleMedium2" showFirstColumn="0" showLastColumn="0" showRowStripes="1" showColumnStripes="0"/>
</x:table>
</file>

<file path=xl/tables/table5.xml><?xml version="1.0" encoding="utf-8"?>
<x:table xmlns:x="http://schemas.openxmlformats.org/spreadsheetml/2006/main" id="5" name="InclinedFreqRawTable" displayName="InclinedFreqRawTable" ref="A1:AC131" headerRowCount="1" totalsRowCount="0" totalsRowShown="0">
  <x:tableColumns count="29">
    <x:tableColumn id="1" name="Run_ID"/>
    <x:tableColumn id="2" name="CmdFreq_Hz"/>
    <x:tableColumn id="3" name="DAC"/>
    <x:tableColumn id="4" name="VectorFreq_Hz"/>
    <x:tableColumn id="5" name="VectorFreqError_Hz"/>
    <x:tableColumn id="6" name="X_A_mps2"/>
    <x:tableColumn id="7" name="X_Phase_deg"/>
    <x:tableColumn id="8" name="X_Sync"/>
    <x:tableColumn id="9" name="X_CV_pct"/>
    <x:tableColumn id="10" name="Y_A_mps2"/>
    <x:tableColumn id="11" name="Y_Phase_deg"/>
    <x:tableColumn id="12" name="Y_Sync"/>
    <x:tableColumn id="13" name="Y_CV_pct"/>
    <x:tableColumn id="14" name="Z_A_mps2"/>
    <x:tableColumn id="15" name="Z_Phase_deg"/>
    <x:tableColumn id="16" name="Z_Sync"/>
    <x:tableColumn id="17" name="Z_CV_pct"/>
    <x:tableColumn id="18" name="Total_A_mps2"/>
    <x:tableColumn id="19" name="Total_CV_pct"/>
    <x:tableColumn id="20" name="X_Energy_pct"/>
    <x:tableColumn id="21" name="Y_Energy_pct"/>
    <x:tableColumn id="22" name="Z_Energy_pct"/>
    <x:tableColumn id="23" name="Dominant_Axis"/>
    <x:tableColumn id="24" name="YZ_PhaseSep_deg"/>
    <x:tableColumn id="25" name="X_LocalFreq_Hz"/>
    <x:tableColumn id="26" name="Y_LocalFreq_Hz"/>
    <x:tableColumn id="27" name="Z_LocalFreq_Hz"/>
    <x:tableColumn id="28" name="FFT_Vector_SNR"/>
    <x:tableColumn id="29" name="Val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bbed584a1454c67" /></Relationships>
</file>

<file path=xl/worksheets/_rels/sheet4.xml.rels>&#65279;<?xml version="1.0" encoding="utf-8"?><Relationships xmlns="http://schemas.openxmlformats.org/package/2006/relationships"><Relationship Type="http://schemas.openxmlformats.org/officeDocument/2006/relationships/table" Target="/xl/tables/table1.xml" Id="Rcde315bbf006468e" /></Relationships>
</file>

<file path=xl/worksheets/_rels/sheet5.xml.rels>&#65279;<?xml version="1.0" encoding="utf-8"?><Relationships xmlns="http://schemas.openxmlformats.org/package/2006/relationships"><Relationship Type="http://schemas.openxmlformats.org/officeDocument/2006/relationships/drawing" Target="/xl/drawings/drawing2.xml" Id="Rb86daebc918247c6" /><Relationship Type="http://schemas.openxmlformats.org/officeDocument/2006/relationships/table" Target="/xl/tables/table2.xml" Id="Rb611cc5b692e493f" /></Relationships>
</file>

<file path=xl/worksheets/_rels/sheet6.xml.rels>&#65279;<?xml version="1.0" encoding="utf-8"?><Relationships xmlns="http://schemas.openxmlformats.org/package/2006/relationships"><Relationship Type="http://schemas.openxmlformats.org/officeDocument/2006/relationships/table" Target="/xl/tables/table3.xml" Id="R5ec9149e17674118" /></Relationships>
</file>

<file path=xl/worksheets/_rels/sheet9.xml.rels>&#65279;<?xml version="1.0" encoding="utf-8"?><Relationships xmlns="http://schemas.openxmlformats.org/package/2006/relationships"><Relationship Type="http://schemas.openxmlformats.org/officeDocument/2006/relationships/table" Target="/xl/tables/table4.xml" Id="R9e54a99d450b42be" /></Relationships>
</file>

<file path=xl/worksheets/_rels/sheet10.xml.rels>&#65279;<?xml version="1.0" encoding="utf-8"?><Relationships xmlns="http://schemas.openxmlformats.org/package/2006/relationships"><Relationship Type="http://schemas.openxmlformats.org/officeDocument/2006/relationships/table" Target="/xl/tables/table5.xml" Id="Rc1ab6d1060524163" /></Relationships>
</file>

<file path=xl/worksheets/_rels/sheet13.xml.rels>&#65279;<?xml version="1.0" encoding="utf-8"?><Relationships xmlns="http://schemas.openxmlformats.org/package/2006/relationships"><Relationship Type="http://schemas.openxmlformats.org/officeDocument/2006/relationships/drawing" Target="/xl/drawings/drawing3.xml" Id="Rb4a5d05e4c304981" /></Relationships>
</file>

<file path=xl/worksheets/sheet1.xml><?xml version="1.0" encoding="utf-8"?>
<x:worksheet xmlns:x="http://schemas.openxmlformats.org/spreadsheetml/2006/main">
  <x:sheetFormatPr defaultRowHeight="15"/>
  <x:cols>
    <x:col min="1" max="1" width="34" hidden="0" customWidth="1"/>
    <x:col min="2" max="2" width="68" hidden="0" customWidth="1"/>
    <x:col min="3" max="3" width="26" hidden="0" customWidth="1"/>
  </x:cols>
  <x:sheetData>
    <x:row r="1" ht="28" customHeight="1">
      <x:c r="A1" s="6" t="str">
        <x:v>START HERE — VISATON EX 45 S CHARACTERIZATION WORKBOOK</x:v>
      </x:c>
      <x:c r="B1" s="6"/>
      <x:c r="C1" s="6"/>
      <x:c r="D1" s="6"/>
      <x:c r="E1" s="6"/>
      <x:c r="F1" s="6"/>
      <x:c r="G1" s="6"/>
      <x:c r="H1" s="6"/>
    </x:row>
    <x:row r="3">
      <x:c r="A3" s="28" t="str">
        <x:v>This workbook turns the standalone Visaton tests into a traceable master-thesis dataset. It is designed to answer four practical questions: (1) does the measured vibration frequency follow the commanded control frequency on X/Y/Z? (2) how much X/Y/Z acceleration is produced at each DAC? (3) how do amplifier gain and mounting orientation change the response? and (4) which axis offers enough stable, phase-coherent authority for active cancellation?</x:v>
      </x:c>
      <x:c r="B3" s="28"/>
      <x:c r="C3" s="28"/>
      <x:c r="D3" s="28"/>
      <x:c r="E3" s="28"/>
      <x:c r="F3" s="28"/>
      <x:c r="G3" s="28"/>
      <x:c r="H3" s="28"/>
    </x:row>
    <x:row r="4">
      <x:c r="A4" s="28"/>
      <x:c r="B4" s="28"/>
      <x:c r="C4" s="28"/>
      <x:c r="D4" s="28"/>
      <x:c r="E4" s="28"/>
      <x:c r="F4" s="28"/>
      <x:c r="G4" s="28"/>
      <x:c r="H4" s="28"/>
    </x:row>
    <x:row r="5">
      <x:c r="A5" s="28"/>
      <x:c r="B5" s="28"/>
      <x:c r="C5" s="28"/>
      <x:c r="D5" s="28"/>
      <x:c r="E5" s="28"/>
      <x:c r="F5" s="28"/>
      <x:c r="G5" s="28"/>
      <x:c r="H5" s="28"/>
    </x:row>
    <x:row r="7" ht="32" customHeight="1">
      <x:c r="A7" s="16" t="str">
        <x:v>Sheet</x:v>
      </x:c>
      <x:c r="B7" s="16" t="str">
        <x:v>Use it for</x:v>
      </x:c>
      <x:c r="C7" s="16" t="str">
        <x:v>Audience</x:v>
      </x:c>
    </x:row>
    <x:row r="8" ht="34" customHeight="1">
      <x:c r="A8" s="26" t="str">
        <x:v>Dashboard</x:v>
      </x:c>
      <x:c r="B8" s="26" t="str">
        <x:v>Fast visual overview and current control conclusion.</x:v>
      </x:c>
      <x:c r="C8" s="26" t="str">
        <x:v>Anyone / supervisor</x:v>
      </x:c>
    </x:row>
    <x:row r="9" ht="34" customHeight="1">
      <x:c r="A9" s="26" t="str">
        <x:v>Test_Register</x:v>
      </x:c>
      <x:c r="B9" s="26" t="str">
        <x:v>What changed between K1–K5 and inclined tests.</x:v>
      </x:c>
      <x:c r="C9" s="26" t="str">
        <x:v>Thesis methods / traceability</x:v>
      </x:c>
    </x:row>
    <x:row r="10" ht="34" customHeight="1">
      <x:c r="A10" s="26" t="str">
        <x:v>Master_Summary</x:v>
      </x:c>
      <x:c r="B10" s="26" t="str">
        <x:v>Standardized frequency and amplitude results per DAC point.</x:v>
      </x:c>
      <x:c r="C10" s="26" t="str">
        <x:v>Main analysis</x:v>
      </x:c>
    </x:row>
    <x:row r="11" ht="34" customHeight="1">
      <x:c r="A11" s="26" t="str">
        <x:v>Inclined_Tests</x:v>
      </x:c>
      <x:c r="B11" s="26" t="str">
        <x:v>Detailed wearable-like X/Y/Z frequency, amplitude, phase, sync and CV.</x:v>
      </x:c>
      <x:c r="C11" s="26" t="str">
        <x:v>Control-axis decision</x:v>
      </x:c>
    </x:row>
    <x:row r="12" ht="34" customHeight="1">
      <x:c r="A12" s="26" t="str">
        <x:v>Control_Comparison</x:v>
      </x:c>
      <x:c r="B12" s="26" t="str">
        <x:v>Common-DAC comparisons that isolate gain/orientation effects.</x:v>
      </x:c>
      <x:c r="C12" s="26" t="str">
        <x:v>Results &amp; discussion</x:v>
      </x:c>
    </x:row>
    <x:row r="13" ht="34" customHeight="1">
      <x:c r="A13" s="26" t="str">
        <x:v>Raw_Measurements</x:v>
      </x:c>
      <x:c r="B13" s="26" t="str">
        <x:v>Original repeat-level program output.</x:v>
      </x:c>
      <x:c r="C13" s="26" t="str">
        <x:v>Technical audit</x:v>
      </x:c>
    </x:row>
    <x:row r="14" ht="34" customHeight="1">
      <x:c r="A14" s="26" t="str">
        <x:v>Future_Inclined_Template</x:v>
      </x:c>
      <x:c r="B14" s="26" t="str">
        <x:v>Structured place for future inclined runs / angles / frequencies.</x:v>
      </x:c>
      <x:c r="C14" s="26" t="str">
        <x:v>Future experiments</x:v>
      </x:c>
    </x:row>
    <x:row r="15" ht="34" customHeight="1">
      <x:c r="A15" s="26" t="str">
        <x:v>Settings_Glossary</x:v>
      </x:c>
      <x:c r="B15" s="26" t="str">
        <x:v>Editable review thresholds and plain-language definitions.</x:v>
      </x:c>
      <x:c r="C15" s="26" t="str">
        <x:v>Interpretation</x:v>
      </x:c>
    </x:row>
    <x:row r="18">
      <x:c r="A18" s="24" t="str">
        <x:v>RECOMMENDED DATA-COLLECTION DISCIPLINE FOR FUTURE TESTS</x:v>
      </x:c>
      <x:c r="B18" s="24"/>
      <x:c r="C18" s="24"/>
      <x:c r="D18" s="24"/>
      <x:c r="E18" s="24"/>
      <x:c r="F18" s="24"/>
      <x:c r="G18" s="24"/>
      <x:c r="H18" s="24"/>
    </x:row>
    <x:row r="19">
      <x:c r="A19" s="26" t="str">
        <x:v>1</x:v>
      </x:c>
      <x:c r="B19" s="26" t="str">
        <x:v>Freeze or mark amplifier knob position before a comparison.</x:v>
      </x:c>
    </x:row>
    <x:row r="20">
      <x:c r="A20" s="26" t="str">
        <x:v>2</x:v>
      </x:c>
      <x:c r="B20" s="26" t="str">
        <x:v>Record the actual actuator/ADXL orientation and, if possible, the inclination angle.</x:v>
      </x:c>
    </x:row>
    <x:row r="21">
      <x:c r="A21" s="26" t="str">
        <x:v>3</x:v>
      </x:c>
      <x:c r="B21" s="26" t="str">
        <x:v>Keep Visaton, final plate, sensor attachment and wiring unchanged within a repeatability set.</x:v>
      </x:c>
    </x:row>
    <x:row r="22">
      <x:c r="A22" s="26" t="str">
        <x:v>4</x:v>
      </x:c>
      <x:c r="B22" s="26" t="str">
        <x:v>At every control frequency, record X/Y/Z local frequency AND exact-frequency X/Y/Z amplitude.</x:v>
      </x:c>
    </x:row>
    <x:row r="23">
      <x:c r="A23" s="26" t="str">
        <x:v>5</x:v>
      </x:c>
      <x:c r="B23" s="26" t="str">
        <x:v>Use 3–5 independent repeats at selected final operating points for thesis-quality repeatability.</x:v>
      </x:c>
    </x:row>
    <x:row r="24">
      <x:c r="A24" s="26" t="str">
        <x:v>6</x:v>
      </x:c>
      <x:c r="B24" s="26" t="str">
        <x:v>During phase sweep, optimize the selected axis but always monitor X, Y, Z and resultant vibration.</x:v>
      </x:c>
    </x:row>
    <x:row r="27">
      <x:c r="A27" s="24" t="str">
        <x:v>CURRENT CONTROL TAKEAWAY</x:v>
      </x:c>
      <x:c r="B27" s="24"/>
      <x:c r="C27" s="24"/>
      <x:c r="D27" s="24"/>
      <x:c r="E27" s="24"/>
      <x:c r="F27" s="24"/>
      <x:c r="G27" s="24"/>
      <x:c r="H27" s="24"/>
    </x:row>
    <x:row r="28">
      <x:c r="A28" s="26" t="str">
        <x:v>Horizontal testing shows predominantly Z-directed response, while the wearable-like inclined test rotates the measured response into a coherent Y–Z plane. X remains much weaker and less synchronized. Therefore, between X and Z, the current actuator-only evidence supports Z as the first phase-sweep control axis — while all three axes must still be monitored and the tool-only vibration should be checked in the final worn geometry.</x:v>
      </x:c>
      <x:c r="B28" s="26"/>
      <x:c r="C28" s="26"/>
      <x:c r="D28" s="26"/>
      <x:c r="E28" s="26"/>
      <x:c r="F28" s="26"/>
      <x:c r="G28" s="26"/>
      <x:c r="H28" s="26"/>
    </x:row>
    <x:row r="29">
      <x:c r="A29" s="26"/>
      <x:c r="B29" s="26"/>
      <x:c r="C29" s="26"/>
      <x:c r="D29" s="26"/>
      <x:c r="E29" s="26"/>
      <x:c r="F29" s="26"/>
      <x:c r="G29" s="26"/>
      <x:c r="H29" s="26"/>
    </x:row>
    <x:row r="30">
      <x:c r="A30" s="26"/>
      <x:c r="B30" s="26"/>
      <x:c r="C30" s="26"/>
      <x:c r="D30" s="26"/>
      <x:c r="E30" s="26"/>
      <x:c r="F30" s="26"/>
      <x:c r="G30" s="26"/>
      <x:c r="H30" s="26"/>
    </x:row>
    <x:row r="31">
      <x:c r="A31" s="26"/>
      <x:c r="B31" s="26"/>
      <x:c r="C31" s="26"/>
      <x:c r="D31" s="26"/>
      <x:c r="E31" s="26"/>
      <x:c r="F31" s="26"/>
      <x:c r="G31" s="26"/>
      <x:c r="H31" s="26"/>
    </x:row>
  </x:sheetData>
  <x:mergeCells>
    <x:mergeCell ref="A1:H1"/>
    <x:mergeCell ref="A3:H5"/>
    <x:mergeCell ref="A18:H18"/>
    <x:mergeCell ref="A27:H27"/>
    <x:mergeCell ref="A28:H3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70" hidden="0" customWidth="1"/>
    <x:col min="3" max="3" width="72" hidden="0" customWidth="1"/>
    <x:col min="4" max="4" width="4" hidden="0" customWidth="1"/>
    <x:col min="5" max="5" width="4" hidden="0" customWidth="1"/>
    <x:col min="6" max="6" width="4" hidden="0" customWidth="1"/>
  </x:cols>
  <x:sheetData>
    <x:row r="1" ht="28" customHeight="1">
      <x:c r="A1" s="6" t="str">
        <x:v>VISATON EX 45 S — CHARACTERIZATION DASHBOARD</x:v>
      </x:c>
      <x:c r="B1" s="6"/>
      <x:c r="C1" s="6"/>
      <x:c r="D1" s="6"/>
      <x:c r="E1" s="6"/>
      <x:c r="F1" s="6"/>
      <x:c r="G1" s="6"/>
      <x:c r="H1" s="6"/>
      <x:c r="I1" s="6"/>
      <x:c r="J1" s="6"/>
      <x:c r="K1" s="6"/>
      <x:c r="L1" s="6"/>
      <x:c r="M1" s="6"/>
    </x:row>
    <x:row r="2">
      <x:c r="A2" s="26" t="str">
        <x:v>Purpose: verify whether commanded frequency and amplitude can be produced and measured on X/Y/Z across DAC, amplifier gain, control frequency, and realistic installation orientation.</x:v>
      </x:c>
      <x:c r="B2" s="26"/>
      <x:c r="C2" s="26"/>
      <x:c r="D2" s="26"/>
      <x:c r="E2" s="26"/>
      <x:c r="F2" s="26"/>
      <x:c r="G2" s="26"/>
      <x:c r="H2" s="26"/>
      <x:c r="I2" s="26"/>
      <x:c r="J2" s="26"/>
      <x:c r="K2" s="26"/>
      <x:c r="L2" s="26"/>
      <x:c r="M2" s="26"/>
    </x:row>
    <x:row r="4" ht="32" customHeight="1">
      <x:c r="A4" s="16" t="str">
        <x:v>Current evidence</x:v>
      </x:c>
      <x:c r="B4" s="16" t="str">
        <x:v>Value</x:v>
      </x:c>
    </x:row>
    <x:row r="5">
      <x:c r="A5" s="26" t="str">
        <x:v>Number of test configurations</x:v>
      </x:c>
      <x:c r="B5" s="39" t="n">
        <x:f>COUNTA(Test_Register!A4:A50)</x:f>
        <x:v>7</x:v>
      </x:c>
    </x:row>
    <x:row r="6">
      <x:c r="A6" s="26" t="str">
        <x:v>Current characterized control frequency (Hz)</x:v>
      </x:c>
      <x:c r="B6" s="39" t="n">
        <x:f>MIN(Master_Summary!E4:E500)</x:f>
        <x:v>268</x:v>
      </x:c>
    </x:row>
    <x:row r="7">
      <x:c r="A7" s="26" t="str">
        <x:v>Highest measured resultant amplitude (m/s²)</x:v>
      </x:c>
      <x:c r="B7" s="39" t="n">
        <x:f>MAX(Master_Summary!U4:U500)</x:f>
        <x:v>8.51885</x:v>
      </x:c>
    </x:row>
    <x:row r="8">
      <x:c r="A8" s="26" t="str">
        <x:v>Wearable-like dominant sensor axis at DAC 30</x:v>
      </x:c>
      <x:c r="B8" s="26" t="str">
        <x:f>Inclined_Tests!AE24</x:f>
        <x:v>Y</x:v>
      </x:c>
    </x:row>
    <x:row r="9">
      <x:c r="A9" s="26" t="str">
        <x:v>Current X-vs-Z phase-sweep screening</x:v>
      </x:c>
      <x:c r="B9" s="26" t="str">
        <x:v>Z favored</x:v>
      </x:c>
    </x:row>
    <x:row r="12">
      <x:c r="A12" s="24" t="str">
        <x:v>KEY FINDINGS FOR CONTROL DESIGN</x:v>
      </x:c>
      <x:c r="B12" s="24"/>
      <x:c r="C12" s="24"/>
      <x:c r="D12" s="24"/>
      <x:c r="E12" s="24"/>
      <x:c r="F12" s="24"/>
    </x:row>
    <x:row r="13">
      <x:c r="A13" s="26" t="str">
        <x:v>1</x:v>
      </x:c>
      <x:c r="B13" s="26" t="str">
        <x:v>Frequency control</x:v>
      </x:c>
      <x:c r="C13" s="26" t="str">
        <x:v>At good SNR, the measured local/vector frequency remains very close to the commanded 268 Hz on all axes.</x:v>
      </x:c>
      <x:c r="D13" s="26"/>
      <x:c r="E13" s="26"/>
      <x:c r="F13" s="26"/>
    </x:row>
    <x:row r="14">
      <x:c r="A14" s="26" t="str">
        <x:v>2</x:v>
      </x:c>
      <x:c r="B14" s="26" t="str">
        <x:v>Amplitude control</x:v>
      </x:c>
      <x:c r="C14" s="26" t="str">
        <x:v>DAC increases response, but DAC-to-acceleration gain depends strongly on amplifier knob setting and becomes nonlinear at high drive.</x:v>
      </x:c>
      <x:c r="D14" s="26"/>
      <x:c r="E14" s="26"/>
      <x:c r="F14" s="26"/>
    </x:row>
    <x:row r="15">
      <x:c r="A15" s="26" t="str">
        <x:v>3</x:v>
      </x:c>
      <x:c r="B15" s="26" t="str">
        <x:v>Horizontal geometry</x:v>
      </x:c>
      <x:c r="C15" s="26" t="str">
        <x:v>K1–K5 are predominantly Z-directed in ADXL coordinates; K4 develops stronger Y coupling at high drive.</x:v>
      </x:c>
      <x:c r="D15" s="26"/>
      <x:c r="E15" s="26"/>
      <x:c r="F15" s="26"/>
    </x:row>
    <x:row r="16">
      <x:c r="A16" s="26" t="str">
        <x:v>4</x:v>
      </x:c>
      <x:c r="B16" s="26" t="str">
        <x:v>Wearable-like inclination</x:v>
      </x:c>
      <x:c r="C16" s="26" t="str">
        <x:v>Dominance rotates to Y with a strong Z component; Y and Z remain closely phase-aligned while X is much weaker.</x:v>
      </x:c>
      <x:c r="D16" s="26"/>
      <x:c r="E16" s="26"/>
      <x:c r="F16" s="26"/>
    </x:row>
    <x:row r="17">
      <x:c r="A17" s="26" t="str">
        <x:v>5</x:v>
      </x:c>
      <x:c r="B17" s="26" t="str">
        <x:v>Phase-sweep implication</x:v>
      </x:c>
      <x:c r="C17" s="26" t="str">
        <x:v>Between X and Z, Z presently offers much greater coherent control authority. Continue recording all three axes during phase sweep.</x:v>
      </x:c>
      <x:c r="D17" s="26"/>
      <x:c r="E17" s="26"/>
      <x:c r="F17" s="26"/>
    </x:row>
    <x:row r="18">
      <x:c r="A18" s="26" t="str">
        <x:v>6</x:v>
      </x:c>
      <x:c r="B18" s="26" t="str">
        <x:v>Thesis caution</x:v>
      </x:c>
      <x:c r="C18" s="26" t="str">
        <x:v>The inclined run has one independent repeat per DAC; repeat selected points before claiming full repeatability.</x:v>
      </x:c>
      <x:c r="D18" s="26"/>
      <x:c r="E18" s="26"/>
      <x:c r="F18" s="26"/>
    </x:row>
    <x:row r="21">
      <x:c r="A21" s="24" t="str">
        <x:v>HOW TO READ THE DATA</x:v>
      </x:c>
      <x:c r="B21" s="24"/>
      <x:c r="C21" s="24"/>
      <x:c r="D21" s="24"/>
      <x:c r="E21" s="24"/>
      <x:c r="F21" s="24"/>
    </x:row>
    <x:row r="22">
      <x:c r="A22" s="52" t="str">
        <x:v>Command frequency</x:v>
      </x:c>
      <x:c r="B22" s="26" t="str">
        <x:v>What the ESP32 asks the Visaton to generate.</x:v>
      </x:c>
      <x:c r="C22" s="26" t="str"/>
    </x:row>
    <x:row r="23">
      <x:c r="A23" s="52" t="str">
        <x:v>Local FFT frequency</x:v>
      </x:c>
      <x:c r="B23" s="26" t="str">
        <x:v>What the ADXL detects near the commanded frequency.</x:v>
      </x:c>
      <x:c r="C23" s="26" t="str"/>
    </x:row>
    <x:row r="24">
      <x:c r="A24" s="52" t="str">
        <x:v>Quadrature X/Y/Z</x:v>
      </x:c>
      <x:c r="B24" s="26" t="str">
        <x:v>Acceleration specifically at the commanded frequency; primary control-amplitude metric.</x:v>
      </x:c>
      <x:c r="C24" s="26" t="str"/>
    </x:row>
    <x:row r="25">
      <x:c r="A25" s="52" t="str">
        <x:v>Energy share</x:v>
      </x:c>
      <x:c r="B25" s="26" t="str">
        <x:v>How the exact-frequency vibration is distributed among sensor X/Y/Z.</x:v>
      </x:c>
      <x:c r="C25" s="26" t="str"/>
    </x:row>
    <x:row r="26">
      <x:c r="A26" s="52" t="str">
        <x:v>Dominant axis</x:v>
      </x:c>
      <x:c r="B26" s="26" t="str">
        <x:v>Largest ADXL-axis component in that installation; not a permanent actuator label.</x:v>
      </x:c>
      <x:c r="C26" s="26" t="str"/>
    </x:row>
  </x:sheetData>
  <x:mergeCells>
    <x:mergeCell ref="A1:M1"/>
    <x:mergeCell ref="A2:M2"/>
    <x:mergeCell ref="A12:F12"/>
    <x:mergeCell ref="A21:F21"/>
  </x:mergeCells>
  <x:pageMargins left="0.7" right="0.7" top="0.75" bottom="0.75" header="0.3" footer="0.3"/>
  <x:drawing xmlns:r="http://schemas.openxmlformats.org/officeDocument/2006/relationships" r:id="R1bbed584a1454c67"/>
</x:worksheet>
</file>

<file path=xl/worksheets/sheet3.xml><?xml version="1.0" encoding="utf-8"?>
<x:worksheet xmlns:x="http://schemas.openxmlformats.org/spreadsheetml/2006/main">
  <x:sheetFormatPr defaultRowHeight="15"/>
  <x:cols>
    <x:col min="1" max="1" width="10" hidden="0" customWidth="1"/>
    <x:col min="2" max="2" width="24" hidden="0" customWidth="1"/>
    <x:col min="3" max="3" width="16" hidden="0" customWidth="1"/>
    <x:col min="4" max="4" width="20" hidden="0" customWidth="1"/>
    <x:col min="5" max="5" width="14" hidden="0" customWidth="1"/>
    <x:col min="6" max="6" width="12" hidden="0" customWidth="1"/>
    <x:col min="7" max="7" width="9" hidden="0" customWidth="1"/>
    <x:col min="8" max="8" width="9" hidden="0" customWidth="1"/>
    <x:col min="9" max="9" width="31" hidden="0" customWidth="1"/>
    <x:col min="10" max="10" width="34" hidden="0" customWidth="1"/>
    <x:col min="11" max="11" width="36" hidden="0" customWidth="1"/>
    <x:col min="12" max="12" width="30" hidden="0" customWidth="1"/>
    <x:col min="13" max="13" width="28" hidden="0" customWidth="1"/>
  </x:cols>
  <x:sheetData>
    <x:row r="1" ht="28" customHeight="1">
      <x:c r="A1" s="6" t="str">
        <x:v>TEST REGISTER — WHAT WAS CHANGED AND WHY</x:v>
      </x:c>
      <x:c r="B1" s="6"/>
      <x:c r="C1" s="6"/>
      <x:c r="D1" s="6"/>
      <x:c r="E1" s="6"/>
      <x:c r="F1" s="6"/>
      <x:c r="G1" s="6"/>
      <x:c r="H1" s="6"/>
      <x:c r="I1" s="6"/>
      <x:c r="J1" s="6"/>
      <x:c r="K1" s="6"/>
      <x:c r="L1" s="6"/>
      <x:c r="M1" s="6"/>
    </x:row>
    <x:row r="3" ht="32" customHeight="1">
      <x:c r="A3" s="16" t="str">
        <x:v>Test ID</x:v>
      </x:c>
      <x:c r="B3" s="16" t="str">
        <x:v>Orientation / geometry</x:v>
      </x:c>
      <x:c r="C3" s="16" t="str">
        <x:v>Gain label</x:v>
      </x:c>
      <x:c r="D3" s="16" t="str">
        <x:v>Inclination angle (deg)</x:v>
      </x:c>
      <x:c r="E3" s="16" t="str">
        <x:v>Command freq. (Hz)</x:v>
      </x:c>
      <x:c r="F3" s="16" t="str">
        <x:v>DAC range</x:v>
      </x:c>
      <x:c r="G3" s="16" t="str">
        <x:v>Step</x:v>
      </x:c>
      <x:c r="H3" s="16" t="str">
        <x:v>Repeats</x:v>
      </x:c>
      <x:c r="I3" s="16" t="str">
        <x:v>Purpose</x:v>
      </x:c>
      <x:c r="J3" s="16" t="str">
        <x:v>Main finding</x:v>
      </x:c>
      <x:c r="K3" s="16" t="str">
        <x:v>Control implication</x:v>
      </x:c>
      <x:c r="L3" s="16" t="str">
        <x:v>Source file</x:v>
      </x:c>
      <x:c r="M3" s="16" t="str">
        <x:v>Notes</x:v>
      </x:c>
    </x:row>
    <x:row r="4">
      <x:c r="A4" s="26" t="str">
        <x:v>K1</x:v>
      </x:c>
      <x:c r="B4" s="26" t="str">
        <x:v>Horizontal / flat</x:v>
      </x:c>
      <x:c r="C4" s="26" t="str">
        <x:v>Low</x:v>
      </x:c>
      <x:c r="D4" s="26" t="str">
        <x:v>Unknown / N.A.</x:v>
      </x:c>
      <x:c r="E4" s="26" t="n">
        <x:v>268</x:v>
      </x:c>
      <x:c r="F4" s="26" t="str">
        <x:v>1–15</x:v>
      </x:c>
      <x:c r="G4" s="26" t="n">
        <x:v>1</x:v>
      </x:c>
      <x:c r="H4" s="26" t="n">
        <x:v>2</x:v>
      </x:c>
      <x:c r="I4" s="26" t="str">
        <x:v>Low-gain baseline.</x:v>
      </x:c>
      <x:c r="J4" s="26" t="str">
        <x:v>Weak response; Z-dominant once measurable.</x:v>
      </x:c>
      <x:c r="K4" s="26" t="str">
        <x:v>Not preferred for control; X authority very small.</x:v>
      </x:c>
      <x:c r="L4" s="26" t="str">
        <x:v>Pasted text(20260812-094446).txt</x:v>
      </x:c>
      <x:c r="M4" s="26" t="str">
        <x:v>Relative knob label; not calibrated gain.</x:v>
      </x:c>
    </x:row>
    <x:row r="5">
      <x:c r="A5" s="26" t="str">
        <x:v>K2</x:v>
      </x:c>
      <x:c r="B5" s="26" t="str">
        <x:v>Horizontal / flat</x:v>
      </x:c>
      <x:c r="C5" s="26" t="str">
        <x:v>Low–medium</x:v>
      </x:c>
      <x:c r="D5" s="26" t="str">
        <x:v>Unknown / N.A.</x:v>
      </x:c>
      <x:c r="E5" s="26" t="n">
        <x:v>268</x:v>
      </x:c>
      <x:c r="F5" s="26" t="str">
        <x:v>1–15</x:v>
      </x:c>
      <x:c r="G5" s="26" t="n">
        <x:v>1</x:v>
      </x:c>
      <x:c r="H5" s="26" t="n">
        <x:v>2</x:v>
      </x:c>
      <x:c r="I5" s="26" t="str">
        <x:v>Check gain scaling.</x:v>
      </x:c>
      <x:c r="J5" s="26" t="str">
        <x:v>~2× K1 high-DAC response; strongly Z-dominant.</x:v>
      </x:c>
      <x:c r="K5" s="26" t="str">
        <x:v>Shows knob mainly scales magnitude at low/moderate gain.</x:v>
      </x:c>
      <x:c r="L5" s="26" t="str">
        <x:v>Pasted text (2)(2).txt</x:v>
      </x:c>
      <x:c r="M5" s="26" t="str">
        <x:v>Relative knob label; not calibrated gain.</x:v>
      </x:c>
    </x:row>
    <x:row r="6">
      <x:c r="A6" s="26" t="str">
        <x:v>K3</x:v>
      </x:c>
      <x:c r="B6" s="26" t="str">
        <x:v>Horizontal / flat</x:v>
      </x:c>
      <x:c r="C6" s="26" t="str">
        <x:v>High</x:v>
      </x:c>
      <x:c r="D6" s="26" t="str">
        <x:v>Unknown / N.A.</x:v>
      </x:c>
      <x:c r="E6" s="26" t="n">
        <x:v>268</x:v>
      </x:c>
      <x:c r="F6" s="26" t="str">
        <x:v>1–15</x:v>
      </x:c>
      <x:c r="G6" s="26" t="n">
        <x:v>1</x:v>
      </x:c>
      <x:c r="H6" s="26" t="n">
        <x:v>2</x:v>
      </x:c>
      <x:c r="I6" s="26" t="str">
        <x:v>Characterize strong response / nonlinearity.</x:v>
      </x:c>
      <x:c r="J6" s="26" t="str">
        <x:v>Strong repeatable response; Z dominant; gain per DAC increases with drive.</x:v>
      </x:c>
      <x:c r="K6" s="26" t="str">
        <x:v>High coherence and useful authority; nonlinear mapping requires feedback.</x:v>
      </x:c>
      <x:c r="L6" s="26" t="str">
        <x:v>Pasted text (3).txt</x:v>
      </x:c>
      <x:c r="M6" s="26" t="str">
        <x:v>Relative knob label; not calibrated gain.</x:v>
      </x:c>
    </x:row>
    <x:row r="7">
      <x:c r="A7" s="26" t="str">
        <x:v>K4</x:v>
      </x:c>
      <x:c r="B7" s="26" t="str">
        <x:v>Horizontal / flat</x:v>
      </x:c>
      <x:c r="C7" s="26" t="str">
        <x:v>Highest tested</x:v>
      </x:c>
      <x:c r="D7" s="26" t="str">
        <x:v>Unknown / N.A.</x:v>
      </x:c>
      <x:c r="E7" s="26" t="n">
        <x:v>268</x:v>
      </x:c>
      <x:c r="F7" s="26" t="str">
        <x:v>1–15</x:v>
      </x:c>
      <x:c r="G7" s="26" t="n">
        <x:v>1</x:v>
      </x:c>
      <x:c r="H7" s="26" t="n">
        <x:v>2</x:v>
      </x:c>
      <x:c r="I7" s="26" t="str">
        <x:v>Assess highest horizontal drive.</x:v>
      </x:c>
      <x:c r="J7" s="26" t="str">
        <x:v>Very strong response; Y approaches Z at high DAC.</x:v>
      </x:c>
      <x:c r="K7" s="26" t="str">
        <x:v>High drive changes coupling/phase; avoid assuming simple scalar gain.</x:v>
      </x:c>
      <x:c r="L7" s="26" t="str">
        <x:v>Pasted text (4).txt</x:v>
      </x:c>
      <x:c r="M7" s="26" t="str">
        <x:v>Relative knob label; not calibrated gain.</x:v>
      </x:c>
    </x:row>
    <x:row r="8">
      <x:c r="A8" s="26" t="str">
        <x:v>K5</x:v>
      </x:c>
      <x:c r="B8" s="26" t="str">
        <x:v>Horizontal / flat</x:v>
      </x:c>
      <x:c r="C8" s="26" t="str">
        <x:v>Intermediate</x:v>
      </x:c>
      <x:c r="D8" s="26" t="str">
        <x:v>Unknown / N.A.</x:v>
      </x:c>
      <x:c r="E8" s="26" t="n">
        <x:v>268</x:v>
      </x:c>
      <x:c r="F8" s="26" t="str">
        <x:v>1–6</x:v>
      </x:c>
      <x:c r="G8" s="26" t="n">
        <x:v>0.5</x:v>
      </x:c>
      <x:c r="H8" s="26" t="n">
        <x:v>3</x:v>
      </x:c>
      <x:c r="I8" s="26" t="str">
        <x:v>Resolve K2–K3 region with finer DAC steps.</x:v>
      </x:c>
      <x:c r="J8" s="26" t="str">
        <x:v>Stable intermediate response; Z-dominant.</x:v>
      </x:c>
      <x:c r="K8" s="26" t="str">
        <x:v>Supports smooth gain trend; previous extreme jumps not reproduced.</x:v>
      </x:c>
      <x:c r="L8" s="26" t="str">
        <x:v>Pasted text(20260812-103624).txt</x:v>
      </x:c>
      <x:c r="M8" s="26" t="str">
        <x:v>Finer DAC steps and 3 repeats.</x:v>
      </x:c>
    </x:row>
    <x:row r="9">
      <x:c r="A9" s="26" t="str">
        <x:v>INC-01</x:v>
      </x:c>
      <x:c r="B9" s="26" t="str">
        <x:v>Inclined / wearable-like</x:v>
      </x:c>
      <x:c r="C9" s="26" t="str">
        <x:v>As tested</x:v>
      </x:c>
      <x:c r="D9" s="26" t="str">
        <x:v>Not measured</x:v>
      </x:c>
      <x:c r="E9" s="26" t="n">
        <x:v>268</x:v>
      </x:c>
      <x:c r="F9" s="26" t="str">
        <x:v>10–30</x:v>
      </x:c>
      <x:c r="G9" s="26" t="n">
        <x:v>1</x:v>
      </x:c>
      <x:c r="H9" s="26" t="n">
        <x:v>1</x:v>
      </x:c>
      <x:c r="I9" s="26" t="str">
        <x:v>Mimic likely back-of-hand installation while gripping tool.</x:v>
      </x:c>
      <x:c r="J9" s="26" t="str">
        <x:v>Dominant measured motion rotates into Y–Z plane; Y &gt; Z &gt;&gt; X.</x:v>
      </x:c>
      <x:c r="K9" s="26" t="str">
        <x:v>Most relevant geometry; Z much more coherent/controllable than X for first phase sweep.</x:v>
      </x:c>
      <x:c r="L9" s="26" t="str">
        <x:v>Pasted text(20260812-103956).txt</x:v>
      </x:c>
      <x:c r="M9" s="26" t="str">
        <x:v>Repeat selected points before final repeatability claim.</x:v>
      </x:c>
    </x:row>
    <x:row r="10">
      <x:c r="A10" s="26" t="str">
        <x:v>INC-FREQ-01</x:v>
      </x:c>
      <x:c r="B10" s="26" t="str">
        <x:v>Inclined / wearable-like frequency map</x:v>
      </x:c>
      <x:c r="C10" s="26" t="str">
        <x:v>As tested</x:v>
      </x:c>
      <x:c r="D10" s="26" t="str">
        <x:v>Not measured</x:v>
      </x:c>
      <x:c r="E10" s="26" t="str">
        <x:v>100–325</x:v>
      </x:c>
      <x:c r="F10" s="26" t="str">
        <x:v>11–20</x:v>
      </x:c>
      <x:c r="G10" s="26" t="str">
        <x:v>1</x:v>
      </x:c>
      <x:c r="H10" s="26" t="str">
        <x:v>1 per DAC; 225 repeated sweep</x:v>
      </x:c>
      <x:c r="I10" s="26" t="str">
        <x:v>Map frequency-dependent 3-axis actuator authority, phase quality and DAC scaling in final-like geometry.</x:v>
      </x:c>
      <x:c r="J10" s="26" t="str">
        <x:v>100–225 Hz Z-dominant; 250–275 Hz Y-Z crossover; 300–325 Hz increasingly strong Z. X never dominant.</x:v>
      </x:c>
      <x:c r="K10" s="26" t="str">
        <x:v>For the final 268–275 Hz phase sweep, Z is preferred over X and slightly preferred over Y because its synchronization and phase stability are consistently stronger.</x:v>
      </x:c>
      <x:c r="L10" s="26" t="str">
        <x:v>Pasted text(20260812-165734).txt</x:v>
      </x:c>
      <x:c r="M10" s="26" t="str">
        <x:v>Do not infer population repeatability from n=1. The repeated 225 Hz sweep shows total response within ~5–8% but axis partition can shift.</x:v>
      </x:c>
    </x:row>
  </x:sheetData>
  <x:mergeCells>
    <x:mergeCell ref="A1:M1"/>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23" hidden="0" customWidth="1"/>
    <x:col min="3" max="3" width="16" hidden="0" customWidth="1"/>
    <x:col min="4" max="4" width="30" hidden="0" customWidth="1"/>
    <x:col min="5" max="5" width="13" hidden="0" customWidth="1"/>
    <x:col min="6" max="6" width="9" hidden="0" customWidth="1"/>
    <x:col min="7" max="7" width="11" hidden="0" customWidth="1"/>
    <x:col min="8" max="8" width="16" hidden="0" customWidth="1"/>
    <x:col min="9" max="9" width="13" hidden="0" customWidth="1"/>
    <x:col min="10" max="10" width="14" hidden="0" customWidth="1"/>
    <x:col min="11" max="11" width="13" hidden="0" customWidth="1"/>
    <x:col min="12" max="12" width="15" hidden="0" customWidth="1"/>
    <x:col min="13" max="13" width="12" hidden="0" customWidth="1"/>
    <x:col min="14" max="14" width="15" hidden="0" customWidth="1"/>
    <x:col min="15" max="15" width="12" hidden="0" customWidth="1"/>
    <x:col min="16" max="16" width="15" hidden="0" customWidth="1"/>
    <x:col min="17" max="17" width="12" hidden="0" customWidth="1"/>
    <x:col min="18" max="18" width="13" hidden="0" customWidth="1"/>
    <x:col min="19" max="19" width="13" hidden="0" customWidth="1"/>
    <x:col min="20" max="20" width="13" hidden="0" customWidth="1"/>
    <x:col min="21" max="21" width="15" hidden="0" customWidth="1"/>
    <x:col min="22" max="22" width="10" hidden="0" customWidth="1"/>
    <x:col min="23" max="23" width="10" hidden="0" customWidth="1"/>
    <x:col min="24" max="24" width="10" hidden="0" customWidth="1"/>
    <x:col min="25" max="25" width="11" hidden="0" customWidth="1"/>
    <x:col min="26" max="26" width="13" hidden="0" customWidth="1"/>
    <x:col min="27" max="27" width="13" hidden="0" customWidth="1"/>
    <x:col min="28" max="28" width="13" hidden="0" customWidth="1"/>
    <x:col min="29" max="29" width="11" hidden="0" customWidth="1"/>
    <x:col min="30" max="30" width="9" hidden="0" customWidth="1"/>
    <x:col min="31" max="31" width="9" hidden="0" customWidth="1"/>
    <x:col min="32" max="32" width="10" hidden="0" customWidth="1"/>
    <x:col min="33" max="33" width="10" hidden="0" customWidth="1"/>
    <x:col min="34" max="34" width="10" hidden="0" customWidth="1"/>
    <x:col min="35" max="35" width="11" hidden="0" customWidth="1"/>
    <x:col min="36" max="36" width="16" hidden="0" customWidth="1"/>
    <x:col min="37" max="37" width="24" hidden="0" customWidth="1"/>
    <x:col min="38" max="38" width="31" hidden="0" customWidth="1"/>
    <x:col min="39" max="39" width="28" hidden="0" customWidth="1"/>
  </x:cols>
  <x:sheetData>
    <x:row r="1" ht="28" customHeight="1">
      <x:c r="A1" s="6" t="str">
        <x:v>MASTER SUMMARY — FREQUENCY &amp; AMPLITUDE CONTROL ACROSS ALL TESTS</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row>
    <x:row r="2">
      <x:c r="A2" s="26" t="str">
        <x:v>One row = one DAC point summarized across the valid independent repeats. Blank amplitudes mean the program reported no valid summarized record at that point. Derived columns are formula-based so future data can be analysed consistently.</x:v>
      </x:c>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row>
    <x:row r="3" ht="32" customHeight="1">
      <x:c r="A3" s="16" t="str">
        <x:v>Test ID</x:v>
      </x:c>
      <x:c r="B3" s="16" t="str">
        <x:v>Orientation</x:v>
      </x:c>
      <x:c r="C3" s="16" t="str">
        <x:v>Gain label</x:v>
      </x:c>
      <x:c r="D3" s="16" t="str">
        <x:v>Source file</x:v>
      </x:c>
      <x:c r="E3" s="16" t="str">
        <x:v>Cmd Freq (Hz)</x:v>
      </x:c>
      <x:c r="F3" s="16" t="str">
        <x:v>DAC</x:v>
      </x:c>
      <x:c r="G3" s="16" t="str">
        <x:v>Valid repeats</x:v>
      </x:c>
      <x:c r="H3" s="16" t="str">
        <x:v>Vector Local Freq (Hz)</x:v>
      </x:c>
      <x:c r="I3" s="16" t="str">
        <x:v>Vector Error (Hz)</x:v>
      </x:c>
      <x:c r="J3" s="16" t="str">
        <x:v>|Vector Error| (Hz)</x:v>
      </x:c>
      <x:c r="K3" s="16" t="str">
        <x:v>Vector Error (%)</x:v>
      </x:c>
      <x:c r="L3" s="16" t="str">
        <x:v>X Local Freq (Hz)</x:v>
      </x:c>
      <x:c r="M3" s="16" t="str">
        <x:v>X Error (Hz)</x:v>
      </x:c>
      <x:c r="N3" s="16" t="str">
        <x:v>Y Local Freq (Hz)</x:v>
      </x:c>
      <x:c r="O3" s="16" t="str">
        <x:v>Y Error (Hz)</x:v>
      </x:c>
      <x:c r="P3" s="16" t="str">
        <x:v>Z Local Freq (Hz)</x:v>
      </x:c>
      <x:c r="Q3" s="16" t="str">
        <x:v>Z Error (Hz)</x:v>
      </x:c>
      <x:c r="R3" s="16" t="str">
        <x:v>Quad X (m/s²)</x:v>
      </x:c>
      <x:c r="S3" s="16" t="str">
        <x:v>Quad Y (m/s²)</x:v>
      </x:c>
      <x:c r="T3" s="16" t="str">
        <x:v>Quad Z (m/s²)</x:v>
      </x:c>
      <x:c r="U3" s="16" t="str">
        <x:v>Resultant (m/s²)</x:v>
      </x:c>
      <x:c r="V3" s="16" t="str">
        <x:v>X CV (%)</x:v>
      </x:c>
      <x:c r="W3" s="16" t="str">
        <x:v>Y CV (%)</x:v>
      </x:c>
      <x:c r="X3" s="16" t="str">
        <x:v>Z CV (%)</x:v>
      </x:c>
      <x:c r="Y3" s="16" t="str">
        <x:v>Total CV (%)</x:v>
      </x:c>
      <x:c r="Z3" s="16" t="str">
        <x:v>X Energy Share (%)</x:v>
      </x:c>
      <x:c r="AA3" s="16" t="str">
        <x:v>Y Energy Share (%)</x:v>
      </x:c>
      <x:c r="AB3" s="16" t="str">
        <x:v>Z Energy Share (%)</x:v>
      </x:c>
      <x:c r="AC3" s="16" t="str">
        <x:v>Dominant Axis</x:v>
      </x:c>
      <x:c r="AD3" s="16" t="str">
        <x:v>Y/X</x:v>
      </x:c>
      <x:c r="AE3" s="16" t="str">
        <x:v>Z/X</x:v>
      </x:c>
      <x:c r="AF3" s="16" t="str">
        <x:v>X/DAC</x:v>
      </x:c>
      <x:c r="AG3" s="16" t="str">
        <x:v>Y/DAC</x:v>
      </x:c>
      <x:c r="AH3" s="16" t="str">
        <x:v>Z/DAC</x:v>
      </x:c>
      <x:c r="AI3" s="16" t="str">
        <x:v>Total/DAC</x:v>
      </x:c>
      <x:c r="AJ3" s="16" t="str">
        <x:v>Frequency Review</x:v>
      </x:c>
      <x:c r="AK3" s="16" t="str">
        <x:v>Repeatability Review</x:v>
      </x:c>
      <x:c r="AL3" s="16" t="str">
        <x:v>Purpose</x:v>
      </x:c>
      <x:c r="AM3" s="16" t="str">
        <x:v>Notes</x:v>
      </x:c>
    </x:row>
    <x:row r="4">
      <x:c r="A4" s="26" t="str">
        <x:v>K1</x:v>
      </x:c>
      <x:c r="B4" s="26" t="str">
        <x:v>Horizontal / flat</x:v>
      </x:c>
      <x:c r="C4" s="26" t="str">
        <x:v>Low</x:v>
      </x:c>
      <x:c r="D4" s="26" t="str">
        <x:v>Pasted text(20260812-094446).txt</x:v>
      </x:c>
      <x:c r="E4" s="36" t="n">
        <x:v>268</x:v>
      </x:c>
      <x:c r="F4" s="37" t="n">
        <x:v>1</x:v>
      </x:c>
      <x:c r="G4" s="38" t="n">
        <x:v>0</x:v>
      </x:c>
      <x:c r="H4" s="36"/>
      <x:c r="I4" s="36" t="str">
        <x:f>IF(H4="","",H4-E4)</x:f>
      </x:c>
      <x:c r="J4" s="36" t="str">
        <x:f>IF(I4="","",ABS(I4))</x:f>
      </x:c>
      <x:c r="K4" s="39" t="str">
        <x:f>IF(I4="","",ABS(I4/E4)*100)</x:f>
      </x:c>
      <x:c r="L4" s="36"/>
      <x:c r="M4" s="36" t="str">
        <x:f>IF(L4="","",L4-E4)</x:f>
      </x:c>
      <x:c r="N4" s="36"/>
      <x:c r="O4" s="36" t="str">
        <x:f>IF(N4="","",N4-E4)</x:f>
      </x:c>
      <x:c r="P4" s="36"/>
      <x:c r="Q4" s="36" t="str">
        <x:f>IF(P4="","",P4-E4)</x:f>
      </x:c>
      <x:c r="R4" s="36"/>
      <x:c r="S4" s="36"/>
      <x:c r="T4" s="36"/>
      <x:c r="U4" s="36"/>
      <x:c r="V4" s="37"/>
      <x:c r="W4" s="37"/>
      <x:c r="X4" s="37"/>
      <x:c r="Y4" s="37"/>
      <x:c r="Z4" s="37" t="str">
        <x:f>IF(OR(U4="",U4=0),"",R4^2/U4^2*100)</x:f>
      </x:c>
      <x:c r="AA4" s="37" t="str">
        <x:f>IF(OR(U4="",U4=0),"",S4^2/U4^2*100)</x:f>
      </x:c>
      <x:c r="AB4" s="37" t="str">
        <x:f>IF(OR(U4="",U4=0),"",T4^2/U4^2*100)</x:f>
      </x:c>
      <x:c r="AC4" s="26" t="str">
        <x:f>IF(U4="","",IF(R4=MAX(R4:T4),"X",IF(S4=MAX(R4:T4),"Y","Z")))</x:f>
      </x:c>
      <x:c r="AD4" s="36" t="str">
        <x:f>IF(OR(R4="",R4=0,S4=""),"",S4/R4)</x:f>
      </x:c>
      <x:c r="AE4" s="36" t="str">
        <x:f>IF(OR(R4="",R4=0,T4=""),"",T4/R4)</x:f>
      </x:c>
      <x:c r="AF4" s="36" t="str">
        <x:f>IF(OR(R4="",F4=0),"",R4/F4)</x:f>
      </x:c>
      <x:c r="AG4" s="36" t="str">
        <x:f>IF(OR(S4="",F4=0),"",S4/F4)</x:f>
      </x:c>
      <x:c r="AH4" s="36" t="str">
        <x:f>IF(OR(T4="",F4=0),"",T4/F4)</x:f>
      </x:c>
      <x:c r="AI4" s="36" t="str">
        <x:f>IF(OR(U4="",F4=0),"",U4/F4)</x:f>
      </x:c>
      <x:c r="AJ4" s="26" t="str">
        <x:f>IF(G4=0,"NO VALID SUMMARY",IF(J4&lt;=Settings_Glossary!$B$4,"Excellent",IF(J4&lt;=Settings_Glossary!$B$5,"Acceptable","Review")))</x:f>
        <x:v>NO VALID SUMMARY</x:v>
      </x:c>
      <x:c r="AK4" s="26" t="str">
        <x:f>IF(G4=0,"No valid repeats",IF(G4&lt;2,"Single repeat / repeat needed",IF(Y4&lt;=Settings_Glossary!$B$6,"Good","Review")))</x:f>
        <x:v>No valid repeats</x:v>
      </x:c>
      <x:c r="AL4" s="26" t="str">
        <x:v>Low-gain baseline; identify minimum measurable response</x:v>
      </x:c>
      <x:c r="AM4" s="26" t="str">
        <x:v>2 repeats per DAC, 268 Hz, DAC 1–15</x:v>
      </x:c>
    </x:row>
    <x:row r="5">
      <x:c r="A5" s="26" t="str">
        <x:v>K1</x:v>
      </x:c>
      <x:c r="B5" s="26" t="str">
        <x:v>Horizontal / flat</x:v>
      </x:c>
      <x:c r="C5" s="26" t="str">
        <x:v>Low</x:v>
      </x:c>
      <x:c r="D5" s="26" t="str">
        <x:v>Pasted text(20260812-094446).txt</x:v>
      </x:c>
      <x:c r="E5" s="36" t="n">
        <x:v>268</x:v>
      </x:c>
      <x:c r="F5" s="37" t="n">
        <x:v>2</x:v>
      </x:c>
      <x:c r="G5" s="38" t="n">
        <x:v>0</x:v>
      </x:c>
      <x:c r="H5" s="36"/>
      <x:c r="I5" s="36" t="str">
        <x:f>IF(H5="","",H5-E5)</x:f>
      </x:c>
      <x:c r="J5" s="36" t="str">
        <x:f>IF(I5="","",ABS(I5))</x:f>
      </x:c>
      <x:c r="K5" s="39" t="str">
        <x:f>IF(I5="","",ABS(I5/E5)*100)</x:f>
      </x:c>
      <x:c r="L5" s="36"/>
      <x:c r="M5" s="36" t="str">
        <x:f>IF(L5="","",L5-E5)</x:f>
      </x:c>
      <x:c r="N5" s="36"/>
      <x:c r="O5" s="36" t="str">
        <x:f>IF(N5="","",N5-E5)</x:f>
      </x:c>
      <x:c r="P5" s="36"/>
      <x:c r="Q5" s="36" t="str">
        <x:f>IF(P5="","",P5-E5)</x:f>
      </x:c>
      <x:c r="R5" s="36"/>
      <x:c r="S5" s="36"/>
      <x:c r="T5" s="36"/>
      <x:c r="U5" s="36"/>
      <x:c r="V5" s="37"/>
      <x:c r="W5" s="37"/>
      <x:c r="X5" s="37"/>
      <x:c r="Y5" s="37"/>
      <x:c r="Z5" s="37" t="str">
        <x:f>IF(OR(U5="",U5=0),"",R5^2/U5^2*100)</x:f>
      </x:c>
      <x:c r="AA5" s="37" t="str">
        <x:f>IF(OR(U5="",U5=0),"",S5^2/U5^2*100)</x:f>
      </x:c>
      <x:c r="AB5" s="37" t="str">
        <x:f>IF(OR(U5="",U5=0),"",T5^2/U5^2*100)</x:f>
      </x:c>
      <x:c r="AC5" s="26" t="str">
        <x:f>IF(U5="","",IF(R5=MAX(R5:T5),"X",IF(S5=MAX(R5:T5),"Y","Z")))</x:f>
      </x:c>
      <x:c r="AD5" s="36" t="str">
        <x:f>IF(OR(R5="",R5=0,S5=""),"",S5/R5)</x:f>
      </x:c>
      <x:c r="AE5" s="36" t="str">
        <x:f>IF(OR(R5="",R5=0,T5=""),"",T5/R5)</x:f>
      </x:c>
      <x:c r="AF5" s="36" t="str">
        <x:f>IF(OR(R5="",F5=0),"",R5/F5)</x:f>
      </x:c>
      <x:c r="AG5" s="36" t="str">
        <x:f>IF(OR(S5="",F5=0),"",S5/F5)</x:f>
      </x:c>
      <x:c r="AH5" s="36" t="str">
        <x:f>IF(OR(T5="",F5=0),"",T5/F5)</x:f>
      </x:c>
      <x:c r="AI5" s="36" t="str">
        <x:f>IF(OR(U5="",F5=0),"",U5/F5)</x:f>
      </x:c>
      <x:c r="AJ5" s="26" t="str">
        <x:f>IF(G5=0,"NO VALID SUMMARY",IF(J5&lt;=Settings_Glossary!$B$4,"Excellent",IF(J5&lt;=Settings_Glossary!$B$5,"Acceptable","Review")))</x:f>
        <x:v>NO VALID SUMMARY</x:v>
      </x:c>
      <x:c r="AK5" s="26" t="str">
        <x:f>IF(G5=0,"No valid repeats",IF(G5&lt;2,"Single repeat / repeat needed",IF(Y5&lt;=Settings_Glossary!$B$6,"Good","Review")))</x:f>
        <x:v>No valid repeats</x:v>
      </x:c>
      <x:c r="AL5" s="26" t="str">
        <x:v>Low-gain baseline; identify minimum measurable response</x:v>
      </x:c>
      <x:c r="AM5" s="26" t="str">
        <x:v>2 repeats per DAC, 268 Hz, DAC 1–15</x:v>
      </x:c>
    </x:row>
    <x:row r="6">
      <x:c r="A6" s="26" t="str">
        <x:v>K1</x:v>
      </x:c>
      <x:c r="B6" s="26" t="str">
        <x:v>Horizontal / flat</x:v>
      </x:c>
      <x:c r="C6" s="26" t="str">
        <x:v>Low</x:v>
      </x:c>
      <x:c r="D6" s="26" t="str">
        <x:v>Pasted text(20260812-094446).txt</x:v>
      </x:c>
      <x:c r="E6" s="36" t="n">
        <x:v>268</x:v>
      </x:c>
      <x:c r="F6" s="37" t="n">
        <x:v>3</x:v>
      </x:c>
      <x:c r="G6" s="38" t="n">
        <x:v>0</x:v>
      </x:c>
      <x:c r="H6" s="36"/>
      <x:c r="I6" s="36" t="str">
        <x:f>IF(H6="","",H6-E6)</x:f>
      </x:c>
      <x:c r="J6" s="36" t="str">
        <x:f>IF(I6="","",ABS(I6))</x:f>
      </x:c>
      <x:c r="K6" s="39" t="str">
        <x:f>IF(I6="","",ABS(I6/E6)*100)</x:f>
      </x:c>
      <x:c r="L6" s="36"/>
      <x:c r="M6" s="36" t="str">
        <x:f>IF(L6="","",L6-E6)</x:f>
      </x:c>
      <x:c r="N6" s="36"/>
      <x:c r="O6" s="36" t="str">
        <x:f>IF(N6="","",N6-E6)</x:f>
      </x:c>
      <x:c r="P6" s="36"/>
      <x:c r="Q6" s="36" t="str">
        <x:f>IF(P6="","",P6-E6)</x:f>
      </x:c>
      <x:c r="R6" s="36"/>
      <x:c r="S6" s="36"/>
      <x:c r="T6" s="36"/>
      <x:c r="U6" s="36"/>
      <x:c r="V6" s="37"/>
      <x:c r="W6" s="37"/>
      <x:c r="X6" s="37"/>
      <x:c r="Y6" s="37"/>
      <x:c r="Z6" s="37" t="str">
        <x:f>IF(OR(U6="",U6=0),"",R6^2/U6^2*100)</x:f>
      </x:c>
      <x:c r="AA6" s="37" t="str">
        <x:f>IF(OR(U6="",U6=0),"",S6^2/U6^2*100)</x:f>
      </x:c>
      <x:c r="AB6" s="37" t="str">
        <x:f>IF(OR(U6="",U6=0),"",T6^2/U6^2*100)</x:f>
      </x:c>
      <x:c r="AC6" s="26" t="str">
        <x:f>IF(U6="","",IF(R6=MAX(R6:T6),"X",IF(S6=MAX(R6:T6),"Y","Z")))</x:f>
      </x:c>
      <x:c r="AD6" s="36" t="str">
        <x:f>IF(OR(R6="",R6=0,S6=""),"",S6/R6)</x:f>
      </x:c>
      <x:c r="AE6" s="36" t="str">
        <x:f>IF(OR(R6="",R6=0,T6=""),"",T6/R6)</x:f>
      </x:c>
      <x:c r="AF6" s="36" t="str">
        <x:f>IF(OR(R6="",F6=0),"",R6/F6)</x:f>
      </x:c>
      <x:c r="AG6" s="36" t="str">
        <x:f>IF(OR(S6="",F6=0),"",S6/F6)</x:f>
      </x:c>
      <x:c r="AH6" s="36" t="str">
        <x:f>IF(OR(T6="",F6=0),"",T6/F6)</x:f>
      </x:c>
      <x:c r="AI6" s="36" t="str">
        <x:f>IF(OR(U6="",F6=0),"",U6/F6)</x:f>
      </x:c>
      <x:c r="AJ6" s="26" t="str">
        <x:f>IF(G6=0,"NO VALID SUMMARY",IF(J6&lt;=Settings_Glossary!$B$4,"Excellent",IF(J6&lt;=Settings_Glossary!$B$5,"Acceptable","Review")))</x:f>
        <x:v>NO VALID SUMMARY</x:v>
      </x:c>
      <x:c r="AK6" s="26" t="str">
        <x:f>IF(G6=0,"No valid repeats",IF(G6&lt;2,"Single repeat / repeat needed",IF(Y6&lt;=Settings_Glossary!$B$6,"Good","Review")))</x:f>
        <x:v>No valid repeats</x:v>
      </x:c>
      <x:c r="AL6" s="26" t="str">
        <x:v>Low-gain baseline; identify minimum measurable response</x:v>
      </x:c>
      <x:c r="AM6" s="26" t="str">
        <x:v>2 repeats per DAC, 268 Hz, DAC 1–15</x:v>
      </x:c>
    </x:row>
    <x:row r="7">
      <x:c r="A7" s="26" t="str">
        <x:v>K1</x:v>
      </x:c>
      <x:c r="B7" s="26" t="str">
        <x:v>Horizontal / flat</x:v>
      </x:c>
      <x:c r="C7" s="26" t="str">
        <x:v>Low</x:v>
      </x:c>
      <x:c r="D7" s="26" t="str">
        <x:v>Pasted text(20260812-094446).txt</x:v>
      </x:c>
      <x:c r="E7" s="36" t="n">
        <x:v>268</x:v>
      </x:c>
      <x:c r="F7" s="37" t="n">
        <x:v>4</x:v>
      </x:c>
      <x:c r="G7" s="38" t="n">
        <x:v>0</x:v>
      </x:c>
      <x:c r="H7" s="36"/>
      <x:c r="I7" s="36" t="str">
        <x:f>IF(H7="","",H7-E7)</x:f>
      </x:c>
      <x:c r="J7" s="36" t="str">
        <x:f>IF(I7="","",ABS(I7))</x:f>
      </x:c>
      <x:c r="K7" s="39" t="str">
        <x:f>IF(I7="","",ABS(I7/E7)*100)</x:f>
      </x:c>
      <x:c r="L7" s="36"/>
      <x:c r="M7" s="36" t="str">
        <x:f>IF(L7="","",L7-E7)</x:f>
      </x:c>
      <x:c r="N7" s="36"/>
      <x:c r="O7" s="36" t="str">
        <x:f>IF(N7="","",N7-E7)</x:f>
      </x:c>
      <x:c r="P7" s="36"/>
      <x:c r="Q7" s="36" t="str">
        <x:f>IF(P7="","",P7-E7)</x:f>
      </x:c>
      <x:c r="R7" s="36"/>
      <x:c r="S7" s="36"/>
      <x:c r="T7" s="36"/>
      <x:c r="U7" s="36"/>
      <x:c r="V7" s="37"/>
      <x:c r="W7" s="37"/>
      <x:c r="X7" s="37"/>
      <x:c r="Y7" s="37"/>
      <x:c r="Z7" s="37" t="str">
        <x:f>IF(OR(U7="",U7=0),"",R7^2/U7^2*100)</x:f>
      </x:c>
      <x:c r="AA7" s="37" t="str">
        <x:f>IF(OR(U7="",U7=0),"",S7^2/U7^2*100)</x:f>
      </x:c>
      <x:c r="AB7" s="37" t="str">
        <x:f>IF(OR(U7="",U7=0),"",T7^2/U7^2*100)</x:f>
      </x:c>
      <x:c r="AC7" s="26" t="str">
        <x:f>IF(U7="","",IF(R7=MAX(R7:T7),"X",IF(S7=MAX(R7:T7),"Y","Z")))</x:f>
      </x:c>
      <x:c r="AD7" s="36" t="str">
        <x:f>IF(OR(R7="",R7=0,S7=""),"",S7/R7)</x:f>
      </x:c>
      <x:c r="AE7" s="36" t="str">
        <x:f>IF(OR(R7="",R7=0,T7=""),"",T7/R7)</x:f>
      </x:c>
      <x:c r="AF7" s="36" t="str">
        <x:f>IF(OR(R7="",F7=0),"",R7/F7)</x:f>
      </x:c>
      <x:c r="AG7" s="36" t="str">
        <x:f>IF(OR(S7="",F7=0),"",S7/F7)</x:f>
      </x:c>
      <x:c r="AH7" s="36" t="str">
        <x:f>IF(OR(T7="",F7=0),"",T7/F7)</x:f>
      </x:c>
      <x:c r="AI7" s="36" t="str">
        <x:f>IF(OR(U7="",F7=0),"",U7/F7)</x:f>
      </x:c>
      <x:c r="AJ7" s="26" t="str">
        <x:f>IF(G7=0,"NO VALID SUMMARY",IF(J7&lt;=Settings_Glossary!$B$4,"Excellent",IF(J7&lt;=Settings_Glossary!$B$5,"Acceptable","Review")))</x:f>
        <x:v>NO VALID SUMMARY</x:v>
      </x:c>
      <x:c r="AK7" s="26" t="str">
        <x:f>IF(G7=0,"No valid repeats",IF(G7&lt;2,"Single repeat / repeat needed",IF(Y7&lt;=Settings_Glossary!$B$6,"Good","Review")))</x:f>
        <x:v>No valid repeats</x:v>
      </x:c>
      <x:c r="AL7" s="26" t="str">
        <x:v>Low-gain baseline; identify minimum measurable response</x:v>
      </x:c>
      <x:c r="AM7" s="26" t="str">
        <x:v>2 repeats per DAC, 268 Hz, DAC 1–15</x:v>
      </x:c>
    </x:row>
    <x:row r="8">
      <x:c r="A8" s="26" t="str">
        <x:v>K1</x:v>
      </x:c>
      <x:c r="B8" s="26" t="str">
        <x:v>Horizontal / flat</x:v>
      </x:c>
      <x:c r="C8" s="26" t="str">
        <x:v>Low</x:v>
      </x:c>
      <x:c r="D8" s="26" t="str">
        <x:v>Pasted text(20260812-094446).txt</x:v>
      </x:c>
      <x:c r="E8" s="36" t="n">
        <x:v>268</x:v>
      </x:c>
      <x:c r="F8" s="37" t="n">
        <x:v>5</x:v>
      </x:c>
      <x:c r="G8" s="38" t="n">
        <x:v>2</x:v>
      </x:c>
      <x:c r="H8" s="36" t="n">
        <x:v>268.14205</x:v>
      </x:c>
      <x:c r="I8" s="36" t="n">
        <x:f>IF(H8="","",H8-E8)</x:f>
        <x:v>0.14204999999998336</x:v>
      </x:c>
      <x:c r="J8" s="36" t="n">
        <x:f>IF(I8="","",ABS(I8))</x:f>
        <x:v>0.14204999999998336</x:v>
      </x:c>
      <x:c r="K8" s="39" t="n">
        <x:f>IF(I8="","",ABS(I8/E8)*100)</x:f>
        <x:v>0.05300373134327737</x:v>
      </x:c>
      <x:c r="L8" s="36" t="n">
        <x:v>270.44393</x:v>
      </x:c>
      <x:c r="M8" s="36" t="n">
        <x:f>IF(L8="","",L8-E8)</x:f>
        <x:v>2.443930000000023</x:v>
      </x:c>
      <x:c r="N8" s="36" t="n">
        <x:v>267.685</x:v>
      </x:c>
      <x:c r="O8" s="36" t="n">
        <x:f>IF(N8="","",N8-E8)</x:f>
        <x:v>-0.3149999999999977</x:v>
      </x:c>
      <x:c r="P8" s="36" t="n">
        <x:v>268.15747</x:v>
      </x:c>
      <x:c r="Q8" s="36" t="n">
        <x:f>IF(P8="","",P8-E8)</x:f>
        <x:v>0.15746999999998934</x:v>
      </x:c>
      <x:c r="R8" s="36" t="n">
        <x:v>0.01228</x:v>
      </x:c>
      <x:c r="S8" s="36" t="n">
        <x:v>0.02294</x:v>
      </x:c>
      <x:c r="T8" s="36" t="n">
        <x:v>0.04457</x:v>
      </x:c>
      <x:c r="U8" s="36" t="n">
        <x:v>0.05331</x:v>
      </x:c>
      <x:c r="V8" s="37" t="n">
        <x:v>4.7</x:v>
      </x:c>
      <x:c r="W8" s="37" t="n">
        <x:v>4.06</x:v>
      </x:c>
      <x:c r="X8" s="37" t="n">
        <x:v>14.85</x:v>
      </x:c>
      <x:c r="Y8" s="37" t="n">
        <x:v>9.58</x:v>
      </x:c>
      <x:c r="Z8" s="37" t="n">
        <x:f>IF(OR(U8="",U8=0),"",R8^2/U8^2*100)</x:f>
        <x:v>5.306148113969809</x:v>
      </x:c>
      <x:c r="AA8" s="37" t="n">
        <x:f>IF(OR(U8="",U8=0),"",S8^2/U8^2*100)</x:f>
        <x:v>18.516950349796033</x:v>
      </x:c>
      <x:c r="AB8" s="37" t="n">
        <x:f>IF(OR(U8="",U8=0),"",T8^2/U8^2*100)</x:f>
        <x:v>69.89850758074692</x:v>
      </x:c>
      <x:c r="AC8" s="26" t="str">
        <x:f>IF(U8="","",IF(R8=MAX(R8:T8),"X",IF(S8=MAX(R8:T8),"Y","Z")))</x:f>
        <x:v>Z</x:v>
      </x:c>
      <x:c r="AD8" s="36" t="n">
        <x:f>IF(OR(R8="",R8=0,S8=""),"",S8/R8)</x:f>
        <x:v>1.8680781758957654</x:v>
      </x:c>
      <x:c r="AE8" s="36" t="n">
        <x:f>IF(OR(R8="",R8=0,T8=""),"",T8/R8)</x:f>
        <x:v>3.6294788273615635</x:v>
      </x:c>
      <x:c r="AF8" s="36" t="n">
        <x:f>IF(OR(R8="",F8=0),"",R8/F8)</x:f>
        <x:v>0.002456</x:v>
      </x:c>
      <x:c r="AG8" s="36" t="n">
        <x:f>IF(OR(S8="",F8=0),"",S8/F8)</x:f>
        <x:v>0.004588</x:v>
      </x:c>
      <x:c r="AH8" s="36" t="n">
        <x:f>IF(OR(T8="",F8=0),"",T8/F8)</x:f>
        <x:v>0.008914</x:v>
      </x:c>
      <x:c r="AI8" s="36" t="n">
        <x:f>IF(OR(U8="",F8=0),"",U8/F8)</x:f>
        <x:v>0.010662000000000001</x:v>
      </x:c>
      <x:c r="AJ8" s="26" t="str">
        <x:f>IF(G8=0,"NO VALID SUMMARY",IF(J8&lt;=Settings_Glossary!$B$4,"Excellent",IF(J8&lt;=Settings_Glossary!$B$5,"Acceptable","Review")))</x:f>
        <x:v>Acceptable</x:v>
      </x:c>
      <x:c r="AK8" s="26" t="str">
        <x:f>IF(G8=0,"No valid repeats",IF(G8&lt;2,"Single repeat / repeat needed",IF(Y8&lt;=Settings_Glossary!$B$6,"Good","Review")))</x:f>
        <x:v>Good</x:v>
      </x:c>
      <x:c r="AL8" s="26" t="str">
        <x:v>Low-gain baseline; identify minimum measurable response</x:v>
      </x:c>
      <x:c r="AM8" s="26" t="str">
        <x:v>2 repeats per DAC, 268 Hz, DAC 1–15</x:v>
      </x:c>
    </x:row>
    <x:row r="9">
      <x:c r="A9" s="26" t="str">
        <x:v>K1</x:v>
      </x:c>
      <x:c r="B9" s="26" t="str">
        <x:v>Horizontal / flat</x:v>
      </x:c>
      <x:c r="C9" s="26" t="str">
        <x:v>Low</x:v>
      </x:c>
      <x:c r="D9" s="26" t="str">
        <x:v>Pasted text(20260812-094446).txt</x:v>
      </x:c>
      <x:c r="E9" s="36" t="n">
        <x:v>268</x:v>
      </x:c>
      <x:c r="F9" s="37" t="n">
        <x:v>6</x:v>
      </x:c>
      <x:c r="G9" s="38" t="n">
        <x:v>2</x:v>
      </x:c>
      <x:c r="H9" s="36" t="n">
        <x:v>268.23601</x:v>
      </x:c>
      <x:c r="I9" s="36" t="n">
        <x:f>IF(H9="","",H9-E9)</x:f>
        <x:v>0.2360100000000216</x:v>
      </x:c>
      <x:c r="J9" s="36" t="n">
        <x:f>IF(I9="","",ABS(I9))</x:f>
        <x:v>0.2360100000000216</x:v>
      </x:c>
      <x:c r="K9" s="39" t="n">
        <x:f>IF(I9="","",ABS(I9/E9)*100)</x:f>
        <x:v>0.08806343283582894</x:v>
      </x:c>
      <x:c r="L9" s="36" t="n">
        <x:v>269.84825</x:v>
      </x:c>
      <x:c r="M9" s="36" t="n">
        <x:f>IF(L9="","",L9-E9)</x:f>
        <x:v>1.8482500000000073</x:v>
      </x:c>
      <x:c r="N9" s="36" t="n">
        <x:v>272.21878</x:v>
      </x:c>
      <x:c r="O9" s="36" t="n">
        <x:f>IF(N9="","",N9-E9)</x:f>
        <x:v>4.218779999999981</x:v>
      </x:c>
      <x:c r="P9" s="36" t="n">
        <x:v>268.14663</x:v>
      </x:c>
      <x:c r="Q9" s="36" t="n">
        <x:f>IF(P9="","",P9-E9)</x:f>
        <x:v>0.14663000000001603</x:v>
      </x:c>
      <x:c r="R9" s="36" t="n">
        <x:v>0.00978</x:v>
      </x:c>
      <x:c r="S9" s="36" t="n">
        <x:v>0.02858</x:v>
      </x:c>
      <x:c r="T9" s="36" t="n">
        <x:v>0.04084</x:v>
      </x:c>
      <x:c r="U9" s="36" t="n">
        <x:v>0.05209</x:v>
      </x:c>
      <x:c r="V9" s="37" t="n">
        <x:v>27.87</x:v>
      </x:c>
      <x:c r="W9" s="37" t="n">
        <x:v>24.09</x:v>
      </x:c>
      <x:c r="X9" s="37" t="n">
        <x:v>16.45</x:v>
      </x:c>
      <x:c r="Y9" s="37" t="n">
        <x:v>20.31</x:v>
      </x:c>
      <x:c r="Z9" s="37" t="n">
        <x:f>IF(OR(U9="",U9=0),"",R9^2/U9^2*100)</x:f>
        <x:v>3.5250801393294187</x:v>
      </x:c>
      <x:c r="AA9" s="37" t="n">
        <x:f>IF(OR(U9="",U9=0),"",S9^2/U9^2*100)</x:f>
        <x:v>30.103412802708196</x:v>
      </x:c>
      <x:c r="AB9" s="37" t="n">
        <x:f>IF(OR(U9="",U9=0),"",T9^2/U9^2*100)</x:f>
        <x:v>61.46993472798623</x:v>
      </x:c>
      <x:c r="AC9" s="26" t="str">
        <x:f>IF(U9="","",IF(R9=MAX(R9:T9),"X",IF(S9=MAX(R9:T9),"Y","Z")))</x:f>
        <x:v>Z</x:v>
      </x:c>
      <x:c r="AD9" s="36" t="n">
        <x:f>IF(OR(R9="",R9=0,S9=""),"",S9/R9)</x:f>
        <x:v>2.922290388548057</x:v>
      </x:c>
      <x:c r="AE9" s="36" t="n">
        <x:f>IF(OR(R9="",R9=0,T9=""),"",T9/R9)</x:f>
        <x:v>4.175869120654396</x:v>
      </x:c>
      <x:c r="AF9" s="36" t="n">
        <x:f>IF(OR(R9="",F9=0),"",R9/F9)</x:f>
        <x:v>0.0016300000000000002</x:v>
      </x:c>
      <x:c r="AG9" s="36" t="n">
        <x:f>IF(OR(S9="",F9=0),"",S9/F9)</x:f>
        <x:v>0.004763333333333334</x:v>
      </x:c>
      <x:c r="AH9" s="36" t="n">
        <x:f>IF(OR(T9="",F9=0),"",T9/F9)</x:f>
        <x:v>0.006806666666666667</x:v>
      </x:c>
      <x:c r="AI9" s="36" t="n">
        <x:f>IF(OR(U9="",F9=0),"",U9/F9)</x:f>
        <x:v>0.008681666666666666</x:v>
      </x:c>
      <x:c r="AJ9" s="26" t="str">
        <x:f>IF(G9=0,"NO VALID SUMMARY",IF(J9&lt;=Settings_Glossary!$B$4,"Excellent",IF(J9&lt;=Settings_Glossary!$B$5,"Acceptable","Review")))</x:f>
        <x:v>Acceptable</x:v>
      </x:c>
      <x:c r="AK9" s="26" t="str">
        <x:f>IF(G9=0,"No valid repeats",IF(G9&lt;2,"Single repeat / repeat needed",IF(Y9&lt;=Settings_Glossary!$B$6,"Good","Review")))</x:f>
        <x:v>Review</x:v>
      </x:c>
      <x:c r="AL9" s="26" t="str">
        <x:v>Low-gain baseline; identify minimum measurable response</x:v>
      </x:c>
      <x:c r="AM9" s="26" t="str">
        <x:v>2 repeats per DAC, 268 Hz, DAC 1–15</x:v>
      </x:c>
    </x:row>
    <x:row r="10">
      <x:c r="A10" s="26" t="str">
        <x:v>K1</x:v>
      </x:c>
      <x:c r="B10" s="26" t="str">
        <x:v>Horizontal / flat</x:v>
      </x:c>
      <x:c r="C10" s="26" t="str">
        <x:v>Low</x:v>
      </x:c>
      <x:c r="D10" s="26" t="str">
        <x:v>Pasted text(20260812-094446).txt</x:v>
      </x:c>
      <x:c r="E10" s="36" t="n">
        <x:v>268</x:v>
      </x:c>
      <x:c r="F10" s="37" t="n">
        <x:v>7</x:v>
      </x:c>
      <x:c r="G10" s="38" t="n">
        <x:v>2</x:v>
      </x:c>
      <x:c r="H10" s="36" t="n">
        <x:v>268.07383</x:v>
      </x:c>
      <x:c r="I10" s="36" t="n">
        <x:f>IF(H10="","",H10-E10)</x:f>
        <x:v>0.07382999999998674</x:v>
      </x:c>
      <x:c r="J10" s="36" t="n">
        <x:f>IF(I10="","",ABS(I10))</x:f>
        <x:v>0.07382999999998674</x:v>
      </x:c>
      <x:c r="K10" s="39" t="n">
        <x:f>IF(I10="","",ABS(I10/E10)*100)</x:f>
        <x:v>0.02754850746268162</x:v>
      </x:c>
      <x:c r="L10" s="36" t="n">
        <x:v>263.26142</x:v>
      </x:c>
      <x:c r="M10" s="36" t="n">
        <x:f>IF(L10="","",L10-E10)</x:f>
        <x:v>-4.738580000000013</x:v>
      </x:c>
      <x:c r="N10" s="36" t="n">
        <x:v>268.07312</x:v>
      </x:c>
      <x:c r="O10" s="36" t="n">
        <x:f>IF(N10="","",N10-E10)</x:f>
        <x:v>0.07312000000001717</x:v>
      </x:c>
      <x:c r="P10" s="36" t="n">
        <x:v>268.08805</x:v>
      </x:c>
      <x:c r="Q10" s="36" t="n">
        <x:f>IF(P10="","",P10-E10)</x:f>
        <x:v>0.08805000000000973</x:v>
      </x:c>
      <x:c r="R10" s="36" t="n">
        <x:v>0.00853</x:v>
      </x:c>
      <x:c r="S10" s="36" t="n">
        <x:v>0.02073</x:v>
      </x:c>
      <x:c r="T10" s="36" t="n">
        <x:v>0.05251</x:v>
      </x:c>
      <x:c r="U10" s="36" t="n">
        <x:v>0.05807</x:v>
      </x:c>
      <x:c r="V10" s="37" t="n">
        <x:v>11.02</x:v>
      </x:c>
      <x:c r="W10" s="37" t="n">
        <x:v>7.37</x:v>
      </x:c>
      <x:c r="X10" s="37" t="n">
        <x:v>13.4</x:v>
      </x:c>
      <x:c r="Y10" s="37" t="n">
        <x:v>11.91</x:v>
      </x:c>
      <x:c r="Z10" s="37" t="n">
        <x:f>IF(OR(U10="",U10=0),"",R10^2/U10^2*100)</x:f>
        <x:v>2.157716637364173</x:v>
      </x:c>
      <x:c r="AA10" s="37" t="n">
        <x:f>IF(OR(U10="",U10=0),"",S10^2/U10^2*100)</x:f>
        <x:v>12.743682774027734</x:v>
      </x:c>
      <x:c r="AB10" s="37" t="n">
        <x:f>IF(OR(U10="",U10=0),"",T10^2/U10^2*100)</x:f>
        <x:v>81.76743690602922</x:v>
      </x:c>
      <x:c r="AC10" s="26" t="str">
        <x:f>IF(U10="","",IF(R10=MAX(R10:T10),"X",IF(S10=MAX(R10:T10),"Y","Z")))</x:f>
        <x:v>Z</x:v>
      </x:c>
      <x:c r="AD10" s="36" t="n">
        <x:f>IF(OR(R10="",R10=0,S10=""),"",S10/R10)</x:f>
        <x:v>2.430246189917937</x:v>
      </x:c>
      <x:c r="AE10" s="36" t="n">
        <x:f>IF(OR(R10="",R10=0,T10=""),"",T10/R10)</x:f>
        <x:v>6.155920281359907</x:v>
      </x:c>
      <x:c r="AF10" s="36" t="n">
        <x:f>IF(OR(R10="",F10=0),"",R10/F10)</x:f>
        <x:v>0.0012185714285714285</x:v>
      </x:c>
      <x:c r="AG10" s="36" t="n">
        <x:f>IF(OR(S10="",F10=0),"",S10/F10)</x:f>
        <x:v>0.002961428571428571</x:v>
      </x:c>
      <x:c r="AH10" s="36" t="n">
        <x:f>IF(OR(T10="",F10=0),"",T10/F10)</x:f>
        <x:v>0.007501428571428571</x:v>
      </x:c>
      <x:c r="AI10" s="36" t="n">
        <x:f>IF(OR(U10="",F10=0),"",U10/F10)</x:f>
        <x:v>0.008295714285714285</x:v>
      </x:c>
      <x:c r="AJ10" s="26" t="str">
        <x:f>IF(G10=0,"NO VALID SUMMARY",IF(J10&lt;=Settings_Glossary!$B$4,"Excellent",IF(J10&lt;=Settings_Glossary!$B$5,"Acceptable","Review")))</x:f>
        <x:v>Excellent</x:v>
      </x:c>
      <x:c r="AK10" s="26" t="str">
        <x:f>IF(G10=0,"No valid repeats",IF(G10&lt;2,"Single repeat / repeat needed",IF(Y10&lt;=Settings_Glossary!$B$6,"Good","Review")))</x:f>
        <x:v>Review</x:v>
      </x:c>
      <x:c r="AL10" s="26" t="str">
        <x:v>Low-gain baseline; identify minimum measurable response</x:v>
      </x:c>
      <x:c r="AM10" s="26" t="str">
        <x:v>2 repeats per DAC, 268 Hz, DAC 1–15</x:v>
      </x:c>
    </x:row>
    <x:row r="11">
      <x:c r="A11" s="26" t="str">
        <x:v>K1</x:v>
      </x:c>
      <x:c r="B11" s="26" t="str">
        <x:v>Horizontal / flat</x:v>
      </x:c>
      <x:c r="C11" s="26" t="str">
        <x:v>Low</x:v>
      </x:c>
      <x:c r="D11" s="26" t="str">
        <x:v>Pasted text(20260812-094446).txt</x:v>
      </x:c>
      <x:c r="E11" s="36" t="n">
        <x:v>268</x:v>
      </x:c>
      <x:c r="F11" s="37" t="n">
        <x:v>8</x:v>
      </x:c>
      <x:c r="G11" s="38" t="n">
        <x:v>2</x:v>
      </x:c>
      <x:c r="H11" s="36" t="n">
        <x:v>268.0919</x:v>
      </x:c>
      <x:c r="I11" s="36" t="n">
        <x:f>IF(H11="","",H11-E11)</x:f>
        <x:v>0.09190000000000964</x:v>
      </x:c>
      <x:c r="J11" s="36" t="n">
        <x:f>IF(I11="","",ABS(I11))</x:f>
        <x:v>0.09190000000000964</x:v>
      </x:c>
      <x:c r="K11" s="39" t="n">
        <x:f>IF(I11="","",ABS(I11/E11)*100)</x:f>
        <x:v>0.034291044776123</x:v>
      </x:c>
      <x:c r="L11" s="36" t="n">
        <x:v>268.75005</x:v>
      </x:c>
      <x:c r="M11" s="36" t="n">
        <x:f>IF(L11="","",L11-E11)</x:f>
        <x:v>0.7500499999999874</x:v>
      </x:c>
      <x:c r="N11" s="36" t="n">
        <x:v>267.78338</x:v>
      </x:c>
      <x:c r="O11" s="36" t="n">
        <x:f>IF(N11="","",N11-E11)</x:f>
        <x:v>-0.2166199999999776</x:v>
      </x:c>
      <x:c r="P11" s="36" t="n">
        <x:v>268.16047</x:v>
      </x:c>
      <x:c r="Q11" s="36" t="n">
        <x:f>IF(P11="","",P11-E11)</x:f>
        <x:v>0.16046999999997524</x:v>
      </x:c>
      <x:c r="R11" s="36" t="n">
        <x:v>0.00977</x:v>
      </x:c>
      <x:c r="S11" s="36" t="n">
        <x:v>0.03375</x:v>
      </x:c>
      <x:c r="T11" s="36" t="n">
        <x:v>0.07365</x:v>
      </x:c>
      <x:c r="U11" s="36" t="n">
        <x:v>0.08232</x:v>
      </x:c>
      <x:c r="V11" s="37" t="n">
        <x:v>13.71</x:v>
      </x:c>
      <x:c r="W11" s="37" t="n">
        <x:v>9.82</x:v>
      </x:c>
      <x:c r="X11" s="37" t="n">
        <x:v>6.33</x:v>
      </x:c>
      <x:c r="Y11" s="37" t="n">
        <x:v>6.44</x:v>
      </x:c>
      <x:c r="Z11" s="37" t="n">
        <x:f>IF(OR(U11="",U11=0),"",R11^2/U11^2*100)</x:f>
        <x:v>1.408569900957745</x:v>
      </x:c>
      <x:c r="AA11" s="37" t="n">
        <x:f>IF(OR(U11="",U11=0),"",S11^2/U11^2*100)</x:f>
        <x:v>16.80880468597268</x:v>
      </x:c>
      <x:c r="AB11" s="37" t="n">
        <x:f>IF(OR(U11="",U11=0),"",T11^2/U11^2*100)</x:f>
        <x:v>80.04510503701687</x:v>
      </x:c>
      <x:c r="AC11" s="26" t="str">
        <x:f>IF(U11="","",IF(R11=MAX(R11:T11),"X",IF(S11=MAX(R11:T11),"Y","Z")))</x:f>
        <x:v>Z</x:v>
      </x:c>
      <x:c r="AD11" s="36" t="n">
        <x:f>IF(OR(R11="",R11=0,S11=""),"",S11/R11)</x:f>
        <x:v>3.454452405322416</x:v>
      </x:c>
      <x:c r="AE11" s="36" t="n">
        <x:f>IF(OR(R11="",R11=0,T11=""),"",T11/R11)</x:f>
        <x:v>7.538382804503582</x:v>
      </x:c>
      <x:c r="AF11" s="36" t="n">
        <x:f>IF(OR(R11="",F11=0),"",R11/F11)</x:f>
        <x:v>0.00122125</x:v>
      </x:c>
      <x:c r="AG11" s="36" t="n">
        <x:f>IF(OR(S11="",F11=0),"",S11/F11)</x:f>
        <x:v>0.00421875</x:v>
      </x:c>
      <x:c r="AH11" s="36" t="n">
        <x:f>IF(OR(T11="",F11=0),"",T11/F11)</x:f>
        <x:v>0.00920625</x:v>
      </x:c>
      <x:c r="AI11" s="36" t="n">
        <x:f>IF(OR(U11="",F11=0),"",U11/F11)</x:f>
        <x:v>0.01029</x:v>
      </x:c>
      <x:c r="AJ11" s="26" t="str">
        <x:f>IF(G11=0,"NO VALID SUMMARY",IF(J11&lt;=Settings_Glossary!$B$4,"Excellent",IF(J11&lt;=Settings_Glossary!$B$5,"Acceptable","Review")))</x:f>
        <x:v>Excellent</x:v>
      </x:c>
      <x:c r="AK11" s="26" t="str">
        <x:f>IF(G11=0,"No valid repeats",IF(G11&lt;2,"Single repeat / repeat needed",IF(Y11&lt;=Settings_Glossary!$B$6,"Good","Review")))</x:f>
        <x:v>Good</x:v>
      </x:c>
      <x:c r="AL11" s="26" t="str">
        <x:v>Low-gain baseline; identify minimum measurable response</x:v>
      </x:c>
      <x:c r="AM11" s="26" t="str">
        <x:v>2 repeats per DAC, 268 Hz, DAC 1–15</x:v>
      </x:c>
    </x:row>
    <x:row r="12">
      <x:c r="A12" s="26" t="str">
        <x:v>K1</x:v>
      </x:c>
      <x:c r="B12" s="26" t="str">
        <x:v>Horizontal / flat</x:v>
      </x:c>
      <x:c r="C12" s="26" t="str">
        <x:v>Low</x:v>
      </x:c>
      <x:c r="D12" s="26" t="str">
        <x:v>Pasted text(20260812-094446).txt</x:v>
      </x:c>
      <x:c r="E12" s="36" t="n">
        <x:v>268</x:v>
      </x:c>
      <x:c r="F12" s="37" t="n">
        <x:v>9</x:v>
      </x:c>
      <x:c r="G12" s="38" t="n">
        <x:v>2</x:v>
      </x:c>
      <x:c r="H12" s="36" t="n">
        <x:v>268.15961</x:v>
      </x:c>
      <x:c r="I12" s="36" t="n">
        <x:f>IF(H12="","",H12-E12)</x:f>
        <x:v>0.15960999999998648</x:v>
      </x:c>
      <x:c r="J12" s="36" t="n">
        <x:f>IF(I12="","",ABS(I12))</x:f>
        <x:v>0.15960999999998648</x:v>
      </x:c>
      <x:c r="K12" s="39" t="n">
        <x:f>IF(I12="","",ABS(I12/E12)*100)</x:f>
        <x:v>0.05955597014924869</x:v>
      </x:c>
      <x:c r="L12" s="36" t="n">
        <x:v>269.34025</x:v>
      </x:c>
      <x:c r="M12" s="36" t="n">
        <x:f>IF(L12="","",L12-E12)</x:f>
        <x:v>1.340250000000026</x:v>
      </x:c>
      <x:c r="N12" s="36" t="n">
        <x:v>268.33888</x:v>
      </x:c>
      <x:c r="O12" s="36" t="n">
        <x:f>IF(N12="","",N12-E12)</x:f>
        <x:v>0.3388800000000174</x:v>
      </x:c>
      <x:c r="P12" s="36" t="n">
        <x:v>268.09869</x:v>
      </x:c>
      <x:c r="Q12" s="36" t="n">
        <x:f>IF(P12="","",P12-E12)</x:f>
        <x:v>0.09868999999997641</x:v>
      </x:c>
      <x:c r="R12" s="36" t="n">
        <x:v>0.01217</x:v>
      </x:c>
      <x:c r="S12" s="36" t="n">
        <x:v>0.03647</x:v>
      </x:c>
      <x:c r="T12" s="36" t="n">
        <x:v>0.08691</x:v>
      </x:c>
      <x:c r="U12" s="36" t="n">
        <x:v>0.09596</x:v>
      </x:c>
      <x:c r="V12" s="37" t="n">
        <x:v>44.07</x:v>
      </x:c>
      <x:c r="W12" s="37" t="n">
        <x:v>2.75</x:v>
      </x:c>
      <x:c r="X12" s="37" t="n">
        <x:v>13.65</x:v>
      </x:c>
      <x:c r="Y12" s="37" t="n">
        <x:v>12.39</x:v>
      </x:c>
      <x:c r="Z12" s="37" t="n">
        <x:f>IF(OR(U12="",U12=0),"",R12^2/U12^2*100)</x:f>
        <x:v>1.6084244929065028</x:v>
      </x:c>
      <x:c r="AA12" s="37" t="n">
        <x:f>IF(OR(U12="",U12=0),"",S12^2/U12^2*100)</x:f>
        <x:v>14.444118676306875</x:v>
      </x:c>
      <x:c r="AB12" s="37" t="n">
        <x:f>IF(OR(U12="",U12=0),"",T12^2/U12^2*100)</x:f>
        <x:v>82.0274142032572</x:v>
      </x:c>
      <x:c r="AC12" s="26" t="str">
        <x:f>IF(U12="","",IF(R12=MAX(R12:T12),"X",IF(S12=MAX(R12:T12),"Y","Z")))</x:f>
        <x:v>Z</x:v>
      </x:c>
      <x:c r="AD12" s="36" t="n">
        <x:f>IF(OR(R12="",R12=0,S12=""),"",S12/R12)</x:f>
        <x:v>2.9967132292522596</x:v>
      </x:c>
      <x:c r="AE12" s="36" t="n">
        <x:f>IF(OR(R12="",R12=0,T12=""),"",T12/R12)</x:f>
        <x:v>7.1413311421528345</x:v>
      </x:c>
      <x:c r="AF12" s="36" t="n">
        <x:f>IF(OR(R12="",F12=0),"",R12/F12)</x:f>
        <x:v>0.0013522222222222223</x:v>
      </x:c>
      <x:c r="AG12" s="36" t="n">
        <x:f>IF(OR(S12="",F12=0),"",S12/F12)</x:f>
        <x:v>0.004052222222222223</x:v>
      </x:c>
      <x:c r="AH12" s="36" t="n">
        <x:f>IF(OR(T12="",F12=0),"",T12/F12)</x:f>
        <x:v>0.009656666666666668</x:v>
      </x:c>
      <x:c r="AI12" s="36" t="n">
        <x:f>IF(OR(U12="",F12=0),"",U12/F12)</x:f>
        <x:v>0.010662222222222222</x:v>
      </x:c>
      <x:c r="AJ12" s="26" t="str">
        <x:f>IF(G12=0,"NO VALID SUMMARY",IF(J12&lt;=Settings_Glossary!$B$4,"Excellent",IF(J12&lt;=Settings_Glossary!$B$5,"Acceptable","Review")))</x:f>
        <x:v>Acceptable</x:v>
      </x:c>
      <x:c r="AK12" s="26" t="str">
        <x:f>IF(G12=0,"No valid repeats",IF(G12&lt;2,"Single repeat / repeat needed",IF(Y12&lt;=Settings_Glossary!$B$6,"Good","Review")))</x:f>
        <x:v>Review</x:v>
      </x:c>
      <x:c r="AL12" s="26" t="str">
        <x:v>Low-gain baseline; identify minimum measurable response</x:v>
      </x:c>
      <x:c r="AM12" s="26" t="str">
        <x:v>2 repeats per DAC, 268 Hz, DAC 1–15</x:v>
      </x:c>
    </x:row>
    <x:row r="13">
      <x:c r="A13" s="26" t="str">
        <x:v>K1</x:v>
      </x:c>
      <x:c r="B13" s="26" t="str">
        <x:v>Horizontal / flat</x:v>
      </x:c>
      <x:c r="C13" s="26" t="str">
        <x:v>Low</x:v>
      </x:c>
      <x:c r="D13" s="26" t="str">
        <x:v>Pasted text(20260812-094446).txt</x:v>
      </x:c>
      <x:c r="E13" s="36" t="n">
        <x:v>268</x:v>
      </x:c>
      <x:c r="F13" s="37" t="n">
        <x:v>10</x:v>
      </x:c>
      <x:c r="G13" s="38" t="n">
        <x:v>2</x:v>
      </x:c>
      <x:c r="H13" s="36" t="n">
        <x:v>268.00081</x:v>
      </x:c>
      <x:c r="I13" s="36" t="n">
        <x:f>IF(H13="","",H13-E13)</x:f>
        <x:v>0.0008100000000013097</x:v>
      </x:c>
      <x:c r="J13" s="36" t="n">
        <x:f>IF(I13="","",ABS(I13))</x:f>
        <x:v>0.0008100000000013097</x:v>
      </x:c>
      <x:c r="K13" s="39" t="n">
        <x:f>IF(I13="","",ABS(I13/E13)*100)</x:f>
        <x:v>0.0003022388059706379</x:v>
      </x:c>
      <x:c r="L13" s="36" t="n">
        <x:v>273.24664</x:v>
      </x:c>
      <x:c r="M13" s="36" t="n">
        <x:f>IF(L13="","",L13-E13)</x:f>
        <x:v>5.2466400000000135</x:v>
      </x:c>
      <x:c r="N13" s="36" t="n">
        <x:v>268.03012</x:v>
      </x:c>
      <x:c r="O13" s="36" t="n">
        <x:f>IF(N13="","",N13-E13)</x:f>
        <x:v>0.030120000000010805</x:v>
      </x:c>
      <x:c r="P13" s="36" t="n">
        <x:v>267.98657</x:v>
      </x:c>
      <x:c r="Q13" s="36" t="n">
        <x:f>IF(P13="","",P13-E13)</x:f>
        <x:v>-0.01343000000002803</x:v>
      </x:c>
      <x:c r="R13" s="36" t="n">
        <x:v>0.01121</x:v>
      </x:c>
      <x:c r="S13" s="36" t="n">
        <x:v>0.0446</x:v>
      </x:c>
      <x:c r="T13" s="36" t="n">
        <x:v>0.09787</x:v>
      </x:c>
      <x:c r="U13" s="36" t="n">
        <x:v>0.10903</x:v>
      </x:c>
      <x:c r="V13" s="37" t="n">
        <x:v>23.11</x:v>
      </x:c>
      <x:c r="W13" s="37" t="n">
        <x:v>5.08</x:v>
      </x:c>
      <x:c r="X13" s="37" t="n">
        <x:v>7.94</x:v>
      </x:c>
      <x:c r="Y13" s="37" t="n">
        <x:v>7.16</x:v>
      </x:c>
      <x:c r="Z13" s="37" t="n">
        <x:f>IF(OR(U13="",U13=0),"",R13^2/U13^2*100)</x:f>
        <x:v>1.0571076142417308</x:v>
      </x:c>
      <x:c r="AA13" s="37" t="n">
        <x:f>IF(OR(U13="",U13=0),"",S13^2/U13^2*100)</x:f>
        <x:v>16.733149578480106</x:v>
      </x:c>
      <x:c r="AB13" s="37" t="n">
        <x:f>IF(OR(U13="",U13=0),"",T13^2/U13^2*100)</x:f>
        <x:v>80.57626872181781</x:v>
      </x:c>
      <x:c r="AC13" s="26" t="str">
        <x:f>IF(U13="","",IF(R13=MAX(R13:T13),"X",IF(S13=MAX(R13:T13),"Y","Z")))</x:f>
        <x:v>Z</x:v>
      </x:c>
      <x:c r="AD13" s="36" t="n">
        <x:f>IF(OR(R13="",R13=0,S13=""),"",S13/R13)</x:f>
        <x:v>3.978590544157003</x:v>
      </x:c>
      <x:c r="AE13" s="36" t="n">
        <x:f>IF(OR(R13="",R13=0,T13=""),"",T13/R13)</x:f>
        <x:v>8.730597680642283</x:v>
      </x:c>
      <x:c r="AF13" s="36" t="n">
        <x:f>IF(OR(R13="",F13=0),"",R13/F13)</x:f>
        <x:v>0.001121</x:v>
      </x:c>
      <x:c r="AG13" s="36" t="n">
        <x:f>IF(OR(S13="",F13=0),"",S13/F13)</x:f>
        <x:v>0.00446</x:v>
      </x:c>
      <x:c r="AH13" s="36" t="n">
        <x:f>IF(OR(T13="",F13=0),"",T13/F13)</x:f>
        <x:v>0.009787</x:v>
      </x:c>
      <x:c r="AI13" s="36" t="n">
        <x:f>IF(OR(U13="",F13=0),"",U13/F13)</x:f>
        <x:v>0.010903</x:v>
      </x:c>
      <x:c r="AJ13" s="26" t="str">
        <x:f>IF(G13=0,"NO VALID SUMMARY",IF(J13&lt;=Settings_Glossary!$B$4,"Excellent",IF(J13&lt;=Settings_Glossary!$B$5,"Acceptable","Review")))</x:f>
        <x:v>Excellent</x:v>
      </x:c>
      <x:c r="AK13" s="26" t="str">
        <x:f>IF(G13=0,"No valid repeats",IF(G13&lt;2,"Single repeat / repeat needed",IF(Y13&lt;=Settings_Glossary!$B$6,"Good","Review")))</x:f>
        <x:v>Good</x:v>
      </x:c>
      <x:c r="AL13" s="26" t="str">
        <x:v>Low-gain baseline; identify minimum measurable response</x:v>
      </x:c>
      <x:c r="AM13" s="26" t="str">
        <x:v>2 repeats per DAC, 268 Hz, DAC 1–15</x:v>
      </x:c>
    </x:row>
    <x:row r="14">
      <x:c r="A14" s="26" t="str">
        <x:v>K1</x:v>
      </x:c>
      <x:c r="B14" s="26" t="str">
        <x:v>Horizontal / flat</x:v>
      </x:c>
      <x:c r="C14" s="26" t="str">
        <x:v>Low</x:v>
      </x:c>
      <x:c r="D14" s="26" t="str">
        <x:v>Pasted text(20260812-094446).txt</x:v>
      </x:c>
      <x:c r="E14" s="36" t="n">
        <x:v>268</x:v>
      </x:c>
      <x:c r="F14" s="37" t="n">
        <x:v>11</x:v>
      </x:c>
      <x:c r="G14" s="38" t="n">
        <x:v>2</x:v>
      </x:c>
      <x:c r="H14" s="36" t="n">
        <x:v>267.87767</x:v>
      </x:c>
      <x:c r="I14" s="36" t="n">
        <x:f>IF(H14="","",H14-E14)</x:f>
        <x:v>-0.12232999999997674</x:v>
      </x:c>
      <x:c r="J14" s="36" t="n">
        <x:f>IF(I14="","",ABS(I14))</x:f>
        <x:v>0.12232999999997674</x:v>
      </x:c>
      <x:c r="K14" s="39" t="n">
        <x:f>IF(I14="","",ABS(I14/E14)*100)</x:f>
        <x:v>0.045645522388051016</x:v>
      </x:c>
      <x:c r="L14" s="36" t="n">
        <x:v>275.00511</x:v>
      </x:c>
      <x:c r="M14" s="36" t="n">
        <x:f>IF(L14="","",L14-E14)</x:f>
        <x:v>7.005110000000002</x:v>
      </x:c>
      <x:c r="N14" s="36" t="n">
        <x:v>268.16672</x:v>
      </x:c>
      <x:c r="O14" s="36" t="n">
        <x:f>IF(N14="","",N14-E14)</x:f>
        <x:v>0.16671999999999798</x:v>
      </x:c>
      <x:c r="P14" s="36" t="n">
        <x:v>267.82456</x:v>
      </x:c>
      <x:c r="Q14" s="36" t="n">
        <x:f>IF(P14="","",P14-E14)</x:f>
        <x:v>-0.1754399999999805</x:v>
      </x:c>
      <x:c r="R14" s="36" t="n">
        <x:v>0.01296</x:v>
      </x:c>
      <x:c r="S14" s="36" t="n">
        <x:v>0.04231</x:v>
      </x:c>
      <x:c r="T14" s="36" t="n">
        <x:v>0.09387</x:v>
      </x:c>
      <x:c r="U14" s="36" t="n">
        <x:v>0.10437</x:v>
      </x:c>
      <x:c r="V14" s="37" t="n">
        <x:v>38.62</x:v>
      </x:c>
      <x:c r="W14" s="37" t="n">
        <x:v>4.36</x:v>
      </x:c>
      <x:c r="X14" s="37" t="n">
        <x:v>3.33</x:v>
      </x:c>
      <x:c r="Y14" s="37" t="n">
        <x:v>4.04</x:v>
      </x:c>
      <x:c r="Z14" s="37" t="n">
        <x:f>IF(OR(U14="",U14=0),"",R14^2/U14^2*100)</x:f>
        <x:v>1.5419086192100244</x:v>
      </x:c>
      <x:c r="AA14" s="37" t="n">
        <x:f>IF(OR(U14="",U14=0),"",S14^2/U14^2*100)</x:f>
        <x:v>16.43367461460845</x:v>
      </x:c>
      <x:c r="AB14" s="37" t="n">
        <x:f>IF(OR(U14="",U14=0),"",T14^2/U14^2*100)</x:f>
        <x:v>80.89138452445052</x:v>
      </x:c>
      <x:c r="AC14" s="26" t="str">
        <x:f>IF(U14="","",IF(R14=MAX(R14:T14),"X",IF(S14=MAX(R14:T14),"Y","Z")))</x:f>
        <x:v>Z</x:v>
      </x:c>
      <x:c r="AD14" s="36" t="n">
        <x:f>IF(OR(R14="",R14=0,S14=""),"",S14/R14)</x:f>
        <x:v>3.2646604938271606</x:v>
      </x:c>
      <x:c r="AE14" s="36" t="n">
        <x:f>IF(OR(R14="",R14=0,T14=""),"",T14/R14)</x:f>
        <x:v>7.243055555555555</x:v>
      </x:c>
      <x:c r="AF14" s="36" t="n">
        <x:f>IF(OR(R14="",F14=0),"",R14/F14)</x:f>
        <x:v>0.001178181818181818</x:v>
      </x:c>
      <x:c r="AG14" s="36" t="n">
        <x:f>IF(OR(S14="",F14=0),"",S14/F14)</x:f>
        <x:v>0.0038463636363636365</x:v>
      </x:c>
      <x:c r="AH14" s="36" t="n">
        <x:f>IF(OR(T14="",F14=0),"",T14/F14)</x:f>
        <x:v>0.008533636363636363</x:v>
      </x:c>
      <x:c r="AI14" s="36" t="n">
        <x:f>IF(OR(U14="",F14=0),"",U14/F14)</x:f>
        <x:v>0.00948818181818182</x:v>
      </x:c>
      <x:c r="AJ14" s="26" t="str">
        <x:f>IF(G14=0,"NO VALID SUMMARY",IF(J14&lt;=Settings_Glossary!$B$4,"Excellent",IF(J14&lt;=Settings_Glossary!$B$5,"Acceptable","Review")))</x:f>
        <x:v>Acceptable</x:v>
      </x:c>
      <x:c r="AK14" s="26" t="str">
        <x:f>IF(G14=0,"No valid repeats",IF(G14&lt;2,"Single repeat / repeat needed",IF(Y14&lt;=Settings_Glossary!$B$6,"Good","Review")))</x:f>
        <x:v>Good</x:v>
      </x:c>
      <x:c r="AL14" s="26" t="str">
        <x:v>Low-gain baseline; identify minimum measurable response</x:v>
      </x:c>
      <x:c r="AM14" s="26" t="str">
        <x:v>2 repeats per DAC, 268 Hz, DAC 1–15</x:v>
      </x:c>
    </x:row>
    <x:row r="15">
      <x:c r="A15" s="26" t="str">
        <x:v>K1</x:v>
      </x:c>
      <x:c r="B15" s="26" t="str">
        <x:v>Horizontal / flat</x:v>
      </x:c>
      <x:c r="C15" s="26" t="str">
        <x:v>Low</x:v>
      </x:c>
      <x:c r="D15" s="26" t="str">
        <x:v>Pasted text(20260812-094446).txt</x:v>
      </x:c>
      <x:c r="E15" s="36" t="n">
        <x:v>268</x:v>
      </x:c>
      <x:c r="F15" s="37" t="n">
        <x:v>12</x:v>
      </x:c>
      <x:c r="G15" s="38" t="n">
        <x:v>2</x:v>
      </x:c>
      <x:c r="H15" s="36" t="n">
        <x:v>267.94886</x:v>
      </x:c>
      <x:c r="I15" s="36" t="n">
        <x:f>IF(H15="","",H15-E15)</x:f>
        <x:v>-0.051139999999975316</x:v>
      </x:c>
      <x:c r="J15" s="36" t="n">
        <x:f>IF(I15="","",ABS(I15))</x:f>
        <x:v>0.051139999999975316</x:v>
      </x:c>
      <x:c r="K15" s="39" t="n">
        <x:f>IF(I15="","",ABS(I15/E15)*100)</x:f>
        <x:v>0.019082089552229595</x:v>
      </x:c>
      <x:c r="L15" s="36" t="n">
        <x:v>271.63746</x:v>
      </x:c>
      <x:c r="M15" s="36" t="n">
        <x:f>IF(L15="","",L15-E15)</x:f>
        <x:v>3.637459999999976</x:v>
      </x:c>
      <x:c r="N15" s="36" t="n">
        <x:v>267.85282</x:v>
      </x:c>
      <x:c r="O15" s="36" t="n">
        <x:f>IF(N15="","",N15-E15)</x:f>
        <x:v>-0.14717999999999165</x:v>
      </x:c>
      <x:c r="P15" s="36" t="n">
        <x:v>267.96441</x:v>
      </x:c>
      <x:c r="Q15" s="36" t="n">
        <x:f>IF(P15="","",P15-E15)</x:f>
        <x:v>-0.03559000000001333</x:v>
      </x:c>
      <x:c r="R15" s="36" t="n">
        <x:v>0.01363</x:v>
      </x:c>
      <x:c r="S15" s="36" t="n">
        <x:v>0.05529</x:v>
      </x:c>
      <x:c r="T15" s="36" t="n">
        <x:v>0.10942</x:v>
      </x:c>
      <x:c r="U15" s="36" t="n">
        <x:v>0.12419</x:v>
      </x:c>
      <x:c r="V15" s="37" t="n">
        <x:v>12.82</x:v>
      </x:c>
      <x:c r="W15" s="37" t="n">
        <x:v>4.16</x:v>
      </x:c>
      <x:c r="X15" s="37" t="n">
        <x:v>0.17</x:v>
      </x:c>
      <x:c r="Y15" s="37" t="n">
        <x:v>0.71</x:v>
      </x:c>
      <x:c r="Z15" s="37" t="n">
        <x:f>IF(OR(U15="",U15=0),"",R15^2/U15^2*100)</x:f>
        <x:v>1.2045323200742293</x:v>
      </x:c>
      <x:c r="AA15" s="37" t="n">
        <x:f>IF(OR(U15="",U15=0),"",S15^2/U15^2*100)</x:f>
        <x:v>19.8207427855833</x:v>
      </x:c>
      <x:c r="AB15" s="37" t="n">
        <x:f>IF(OR(U15="",U15=0),"",T15^2/U15^2*100)</x:f>
        <x:v>77.62831629513236</x:v>
      </x:c>
      <x:c r="AC15" s="26" t="str">
        <x:f>IF(U15="","",IF(R15=MAX(R15:T15),"X",IF(S15=MAX(R15:T15),"Y","Z")))</x:f>
        <x:v>Z</x:v>
      </x:c>
      <x:c r="AD15" s="36" t="n">
        <x:f>IF(OR(R15="",R15=0,S15=""),"",S15/R15)</x:f>
        <x:v>4.056493030080705</x:v>
      </x:c>
      <x:c r="AE15" s="36" t="n">
        <x:f>IF(OR(R15="",R15=0,T15=""),"",T15/R15)</x:f>
        <x:v>8.027879677182685</x:v>
      </x:c>
      <x:c r="AF15" s="36" t="n">
        <x:f>IF(OR(R15="",F15=0),"",R15/F15)</x:f>
        <x:v>0.0011358333333333333</x:v>
      </x:c>
      <x:c r="AG15" s="36" t="n">
        <x:f>IF(OR(S15="",F15=0),"",S15/F15)</x:f>
        <x:v>0.0046075</x:v>
      </x:c>
      <x:c r="AH15" s="36" t="n">
        <x:f>IF(OR(T15="",F15=0),"",T15/F15)</x:f>
        <x:v>0.009118333333333334</x:v>
      </x:c>
      <x:c r="AI15" s="36" t="n">
        <x:f>IF(OR(U15="",F15=0),"",U15/F15)</x:f>
        <x:v>0.010349166666666666</x:v>
      </x:c>
      <x:c r="AJ15" s="26" t="str">
        <x:f>IF(G15=0,"NO VALID SUMMARY",IF(J15&lt;=Settings_Glossary!$B$4,"Excellent",IF(J15&lt;=Settings_Glossary!$B$5,"Acceptable","Review")))</x:f>
        <x:v>Excellent</x:v>
      </x:c>
      <x:c r="AK15" s="26" t="str">
        <x:f>IF(G15=0,"No valid repeats",IF(G15&lt;2,"Single repeat / repeat needed",IF(Y15&lt;=Settings_Glossary!$B$6,"Good","Review")))</x:f>
        <x:v>Good</x:v>
      </x:c>
      <x:c r="AL15" s="26" t="str">
        <x:v>Low-gain baseline; identify minimum measurable response</x:v>
      </x:c>
      <x:c r="AM15" s="26" t="str">
        <x:v>2 repeats per DAC, 268 Hz, DAC 1–15</x:v>
      </x:c>
    </x:row>
    <x:row r="16">
      <x:c r="A16" s="26" t="str">
        <x:v>K1</x:v>
      </x:c>
      <x:c r="B16" s="26" t="str">
        <x:v>Horizontal / flat</x:v>
      </x:c>
      <x:c r="C16" s="26" t="str">
        <x:v>Low</x:v>
      </x:c>
      <x:c r="D16" s="26" t="str">
        <x:v>Pasted text(20260812-094446).txt</x:v>
      </x:c>
      <x:c r="E16" s="36" t="n">
        <x:v>268</x:v>
      </x:c>
      <x:c r="F16" s="37" t="n">
        <x:v>13</x:v>
      </x:c>
      <x:c r="G16" s="38" t="n">
        <x:v>2</x:v>
      </x:c>
      <x:c r="H16" s="36" t="n">
        <x:v>268.05428</x:v>
      </x:c>
      <x:c r="I16" s="36" t="n">
        <x:f>IF(H16="","",H16-E16)</x:f>
        <x:v>0.05428000000000566</x:v>
      </x:c>
      <x:c r="J16" s="36" t="n">
        <x:f>IF(I16="","",ABS(I16))</x:f>
        <x:v>0.05428000000000566</x:v>
      </x:c>
      <x:c r="K16" s="39" t="n">
        <x:f>IF(I16="","",ABS(I16/E16)*100)</x:f>
        <x:v>0.020253731343285692</x:v>
      </x:c>
      <x:c r="L16" s="36" t="n">
        <x:v>270.87124</x:v>
      </x:c>
      <x:c r="M16" s="36" t="n">
        <x:f>IF(L16="","",L16-E16)</x:f>
        <x:v>2.8712400000000002</x:v>
      </x:c>
      <x:c r="N16" s="36" t="n">
        <x:v>267.85853</x:v>
      </x:c>
      <x:c r="O16" s="36" t="n">
        <x:f>IF(N16="","",N16-E16)</x:f>
        <x:v>-0.14147000000002663</x:v>
      </x:c>
      <x:c r="P16" s="36" t="n">
        <x:v>268.10003</x:v>
      </x:c>
      <x:c r="Q16" s="36" t="n">
        <x:f>IF(P16="","",P16-E16)</x:f>
        <x:v>0.10003000000000384</x:v>
      </x:c>
      <x:c r="R16" s="36" t="n">
        <x:v>0.01489</x:v>
      </x:c>
      <x:c r="S16" s="36" t="n">
        <x:v>0.0592</x:v>
      </x:c>
      <x:c r="T16" s="36" t="n">
        <x:v>0.12804</x:v>
      </x:c>
      <x:c r="U16" s="36" t="n">
        <x:v>0.14276</x:v>
      </x:c>
      <x:c r="V16" s="37" t="n">
        <x:v>9.87</x:v>
      </x:c>
      <x:c r="W16" s="37" t="n">
        <x:v>15.78</x:v>
      </x:c>
      <x:c r="X16" s="37" t="n">
        <x:v>3.04</x:v>
      </x:c>
      <x:c r="Y16" s="37" t="n">
        <x:v>4.85</x:v>
      </x:c>
      <x:c r="Z16" s="37" t="n">
        <x:f>IF(OR(U16="",U16=0),"",R16^2/U16^2*100)</x:f>
        <x:v>1.0878682878411676</x:v>
      </x:c>
      <x:c r="AA16" s="37" t="n">
        <x:f>IF(OR(U16="",U16=0),"",S16^2/U16^2*100)</x:f>
        <x:v>17.196114764596388</x:v>
      </x:c>
      <x:c r="AB16" s="37" t="n">
        <x:f>IF(OR(U16="",U16=0),"",T16^2/U16^2*100)</x:f>
        <x:v>80.44114660339442</x:v>
      </x:c>
      <x:c r="AC16" s="26" t="str">
        <x:f>IF(U16="","",IF(R16=MAX(R16:T16),"X",IF(S16=MAX(R16:T16),"Y","Z")))</x:f>
        <x:v>Z</x:v>
      </x:c>
      <x:c r="AD16" s="36" t="n">
        <x:f>IF(OR(R16="",R16=0,S16=""),"",S16/R16)</x:f>
        <x:v>3.9758226997985227</x:v>
      </x:c>
      <x:c r="AE16" s="36" t="n">
        <x:f>IF(OR(R16="",R16=0,T16=""),"",T16/R16)</x:f>
        <x:v>8.59905977165883</x:v>
      </x:c>
      <x:c r="AF16" s="36" t="n">
        <x:f>IF(OR(R16="",F16=0),"",R16/F16)</x:f>
        <x:v>0.0011453846153846154</x:v>
      </x:c>
      <x:c r="AG16" s="36" t="n">
        <x:f>IF(OR(S16="",F16=0),"",S16/F16)</x:f>
        <x:v>0.004553846153846154</x:v>
      </x:c>
      <x:c r="AH16" s="36" t="n">
        <x:f>IF(OR(T16="",F16=0),"",T16/F16)</x:f>
        <x:v>0.009849230769230768</x:v>
      </x:c>
      <x:c r="AI16" s="36" t="n">
        <x:f>IF(OR(U16="",F16=0),"",U16/F16)</x:f>
        <x:v>0.010981538461538461</x:v>
      </x:c>
      <x:c r="AJ16" s="26" t="str">
        <x:f>IF(G16=0,"NO VALID SUMMARY",IF(J16&lt;=Settings_Glossary!$B$4,"Excellent",IF(J16&lt;=Settings_Glossary!$B$5,"Acceptable","Review")))</x:f>
        <x:v>Excellent</x:v>
      </x:c>
      <x:c r="AK16" s="26" t="str">
        <x:f>IF(G16=0,"No valid repeats",IF(G16&lt;2,"Single repeat / repeat needed",IF(Y16&lt;=Settings_Glossary!$B$6,"Good","Review")))</x:f>
        <x:v>Good</x:v>
      </x:c>
      <x:c r="AL16" s="26" t="str">
        <x:v>Low-gain baseline; identify minimum measurable response</x:v>
      </x:c>
      <x:c r="AM16" s="26" t="str">
        <x:v>2 repeats per DAC, 268 Hz, DAC 1–15</x:v>
      </x:c>
    </x:row>
    <x:row r="17">
      <x:c r="A17" s="26" t="str">
        <x:v>K1</x:v>
      </x:c>
      <x:c r="B17" s="26" t="str">
        <x:v>Horizontal / flat</x:v>
      </x:c>
      <x:c r="C17" s="26" t="str">
        <x:v>Low</x:v>
      </x:c>
      <x:c r="D17" s="26" t="str">
        <x:v>Pasted text(20260812-094446).txt</x:v>
      </x:c>
      <x:c r="E17" s="36" t="n">
        <x:v>268</x:v>
      </x:c>
      <x:c r="F17" s="37" t="n">
        <x:v>14</x:v>
      </x:c>
      <x:c r="G17" s="38" t="n">
        <x:v>2</x:v>
      </x:c>
      <x:c r="H17" s="36" t="n">
        <x:v>267.97768</x:v>
      </x:c>
      <x:c r="I17" s="36" t="n">
        <x:f>IF(H17="","",H17-E17)</x:f>
        <x:v>-0.022319999999979245</x:v>
      </x:c>
      <x:c r="J17" s="36" t="n">
        <x:f>IF(I17="","",ABS(I17))</x:f>
        <x:v>0.022319999999979245</x:v>
      </x:c>
      <x:c r="K17" s="39" t="n">
        <x:f>IF(I17="","",ABS(I17/E17)*100)</x:f>
        <x:v>0.00832835820894748</x:v>
      </x:c>
      <x:c r="L17" s="36" t="n">
        <x:v>272.55611</x:v>
      </x:c>
      <x:c r="M17" s="36" t="n">
        <x:f>IF(L17="","",L17-E17)</x:f>
        <x:v>4.55610999999999</x:v>
      </x:c>
      <x:c r="N17" s="36" t="n">
        <x:v>267.89857</x:v>
      </x:c>
      <x:c r="O17" s="36" t="n">
        <x:f>IF(N17="","",N17-E17)</x:f>
        <x:v>-0.10142999999999347</x:v>
      </x:c>
      <x:c r="P17" s="36" t="n">
        <x:v>267.99225</x:v>
      </x:c>
      <x:c r="Q17" s="36" t="n">
        <x:f>IF(P17="","",P17-E17)</x:f>
        <x:v>-0.007749999999987267</x:v>
      </x:c>
      <x:c r="R17" s="36" t="n">
        <x:v>0.01039</x:v>
      </x:c>
      <x:c r="S17" s="36" t="n">
        <x:v>0.06525</x:v>
      </x:c>
      <x:c r="T17" s="36" t="n">
        <x:v>0.13094</x:v>
      </x:c>
      <x:c r="U17" s="36" t="n">
        <x:v>0.14716</x:v>
      </x:c>
      <x:c r="V17" s="37" t="n">
        <x:v>19.21</x:v>
      </x:c>
      <x:c r="W17" s="37" t="n">
        <x:v>14.41</x:v>
      </x:c>
      <x:c r="X17" s="37" t="n">
        <x:v>15.1</x:v>
      </x:c>
      <x:c r="Y17" s="37" t="n">
        <x:v>14.5</x:v>
      </x:c>
      <x:c r="Z17" s="37" t="n">
        <x:f>IF(OR(U17="",U17=0),"",R17^2/U17^2*100)</x:f>
        <x:v>0.49848435996610563</x:v>
      </x:c>
      <x:c r="AA17" s="37" t="n">
        <x:f>IF(OR(U17="",U17=0),"",S17^2/U17^2*100)</x:f>
        <x:v>19.65990766115891</x:v>
      </x:c>
      <x:c r="AB17" s="37" t="n">
        <x:f>IF(OR(U17="",U17=0),"",T17^2/U17^2*100)</x:f>
        <x:v>79.17081485013603</x:v>
      </x:c>
      <x:c r="AC17" s="26" t="str">
        <x:f>IF(U17="","",IF(R17=MAX(R17:T17),"X",IF(S17=MAX(R17:T17),"Y","Z")))</x:f>
        <x:v>Z</x:v>
      </x:c>
      <x:c r="AD17" s="36" t="n">
        <x:f>IF(OR(R17="",R17=0,S17=""),"",S17/R17)</x:f>
        <x:v>6.280076997112609</x:v>
      </x:c>
      <x:c r="AE17" s="36" t="n">
        <x:f>IF(OR(R17="",R17=0,T17=""),"",T17/R17)</x:f>
        <x:v>12.602502406159768</x:v>
      </x:c>
      <x:c r="AF17" s="36" t="n">
        <x:f>IF(OR(R17="",F17=0),"",R17/F17)</x:f>
        <x:v>0.0007421428571428571</x:v>
      </x:c>
      <x:c r="AG17" s="36" t="n">
        <x:f>IF(OR(S17="",F17=0),"",S17/F17)</x:f>
        <x:v>0.004660714285714286</x:v>
      </x:c>
      <x:c r="AH17" s="36" t="n">
        <x:f>IF(OR(T17="",F17=0),"",T17/F17)</x:f>
        <x:v>0.009352857142857144</x:v>
      </x:c>
      <x:c r="AI17" s="36" t="n">
        <x:f>IF(OR(U17="",F17=0),"",U17/F17)</x:f>
        <x:v>0.010511428571428573</x:v>
      </x:c>
      <x:c r="AJ17" s="26" t="str">
        <x:f>IF(G17=0,"NO VALID SUMMARY",IF(J17&lt;=Settings_Glossary!$B$4,"Excellent",IF(J17&lt;=Settings_Glossary!$B$5,"Acceptable","Review")))</x:f>
        <x:v>Excellent</x:v>
      </x:c>
      <x:c r="AK17" s="26" t="str">
        <x:f>IF(G17=0,"No valid repeats",IF(G17&lt;2,"Single repeat / repeat needed",IF(Y17&lt;=Settings_Glossary!$B$6,"Good","Review")))</x:f>
        <x:v>Review</x:v>
      </x:c>
      <x:c r="AL17" s="26" t="str">
        <x:v>Low-gain baseline; identify minimum measurable response</x:v>
      </x:c>
      <x:c r="AM17" s="26" t="str">
        <x:v>2 repeats per DAC, 268 Hz, DAC 1–15</x:v>
      </x:c>
    </x:row>
    <x:row r="18">
      <x:c r="A18" s="26" t="str">
        <x:v>K1</x:v>
      </x:c>
      <x:c r="B18" s="26" t="str">
        <x:v>Horizontal / flat</x:v>
      </x:c>
      <x:c r="C18" s="26" t="str">
        <x:v>Low</x:v>
      </x:c>
      <x:c r="D18" s="26" t="str">
        <x:v>Pasted text(20260812-094446).txt</x:v>
      </x:c>
      <x:c r="E18" s="36" t="n">
        <x:v>268</x:v>
      </x:c>
      <x:c r="F18" s="37" t="n">
        <x:v>15</x:v>
      </x:c>
      <x:c r="G18" s="38" t="n">
        <x:v>2</x:v>
      </x:c>
      <x:c r="H18" s="36" t="n">
        <x:v>268.06441</x:v>
      </x:c>
      <x:c r="I18" s="36" t="n">
        <x:f>IF(H18="","",H18-E18)</x:f>
        <x:v>0.0644100000000094</x:v>
      </x:c>
      <x:c r="J18" s="36" t="n">
        <x:f>IF(I18="","",ABS(I18))</x:f>
        <x:v>0.0644100000000094</x:v>
      </x:c>
      <x:c r="K18" s="39" t="n">
        <x:f>IF(I18="","",ABS(I18/E18)*100)</x:f>
        <x:v>0.024033582089555746</x:v>
      </x:c>
      <x:c r="L18" s="36" t="n">
        <x:v>270.38122</x:v>
      </x:c>
      <x:c r="M18" s="36" t="n">
        <x:f>IF(L18="","",L18-E18)</x:f>
        <x:v>2.381219999999985</x:v>
      </x:c>
      <x:c r="N18" s="36" t="n">
        <x:v>268.19678</x:v>
      </x:c>
      <x:c r="O18" s="36" t="n">
        <x:f>IF(N18="","",N18-E18)</x:f>
        <x:v>0.19677999999998974</x:v>
      </x:c>
      <x:c r="P18" s="36" t="n">
        <x:v>268.03565</x:v>
      </x:c>
      <x:c r="Q18" s="36" t="n">
        <x:f>IF(P18="","",P18-E18)</x:f>
        <x:v>0.035649999999975535</x:v>
      </x:c>
      <x:c r="R18" s="36" t="n">
        <x:v>0.0125</x:v>
      </x:c>
      <x:c r="S18" s="36" t="n">
        <x:v>0.06586</x:v>
      </x:c>
      <x:c r="T18" s="36" t="n">
        <x:v>0.14503</x:v>
      </x:c>
      <x:c r="U18" s="36" t="n">
        <x:v>0.16037</x:v>
      </x:c>
      <x:c r="V18" s="37" t="n">
        <x:v>59.71</x:v>
      </x:c>
      <x:c r="W18" s="37" t="n">
        <x:v>3.3</x:v>
      </x:c>
      <x:c r="X18" s="37" t="n">
        <x:v>1.73</x:v>
      </x:c>
      <x:c r="Y18" s="37" t="n">
        <x:v>2.23</x:v>
      </x:c>
      <x:c r="Z18" s="37" t="n">
        <x:f>IF(OR(U18="",U18=0),"",R18^2/U18^2*100)</x:f>
        <x:v>0.6075384482699714</x:v>
      </x:c>
      <x:c r="AA18" s="37" t="n">
        <x:f>IF(OR(U18="",U18=0),"",S18^2/U18^2*100)</x:f>
        <x:v>16.865421298518733</x:v>
      </x:c>
      <x:c r="AB18" s="37" t="n">
        <x:f>IF(OR(U18="",U18=0),"",T18^2/U18^2*100)</x:f>
        <x:v>81.78420483942845</x:v>
      </x:c>
      <x:c r="AC18" s="26" t="str">
        <x:f>IF(U18="","",IF(R18=MAX(R18:T18),"X",IF(S18=MAX(R18:T18),"Y","Z")))</x:f>
        <x:v>Z</x:v>
      </x:c>
      <x:c r="AD18" s="36" t="n">
        <x:f>IF(OR(R18="",R18=0,S18=""),"",S18/R18)</x:f>
        <x:v>5.2688</x:v>
      </x:c>
      <x:c r="AE18" s="36" t="n">
        <x:f>IF(OR(R18="",R18=0,T18=""),"",T18/R18)</x:f>
        <x:v>11.6024</x:v>
      </x:c>
      <x:c r="AF18" s="36" t="n">
        <x:f>IF(OR(R18="",F18=0),"",R18/F18)</x:f>
        <x:v>0.0008333333333333334</x:v>
      </x:c>
      <x:c r="AG18" s="36" t="n">
        <x:f>IF(OR(S18="",F18=0),"",S18/F18)</x:f>
        <x:v>0.004390666666666667</x:v>
      </x:c>
      <x:c r="AH18" s="36" t="n">
        <x:f>IF(OR(T18="",F18=0),"",T18/F18)</x:f>
        <x:v>0.009668666666666666</x:v>
      </x:c>
      <x:c r="AI18" s="36" t="n">
        <x:f>IF(OR(U18="",F18=0),"",U18/F18)</x:f>
        <x:v>0.010691333333333334</x:v>
      </x:c>
      <x:c r="AJ18" s="26" t="str">
        <x:f>IF(G18=0,"NO VALID SUMMARY",IF(J18&lt;=Settings_Glossary!$B$4,"Excellent",IF(J18&lt;=Settings_Glossary!$B$5,"Acceptable","Review")))</x:f>
        <x:v>Excellent</x:v>
      </x:c>
      <x:c r="AK18" s="26" t="str">
        <x:f>IF(G18=0,"No valid repeats",IF(G18&lt;2,"Single repeat / repeat needed",IF(Y18&lt;=Settings_Glossary!$B$6,"Good","Review")))</x:f>
        <x:v>Good</x:v>
      </x:c>
      <x:c r="AL18" s="26" t="str">
        <x:v>Low-gain baseline; identify minimum measurable response</x:v>
      </x:c>
      <x:c r="AM18" s="26" t="str">
        <x:v>2 repeats per DAC, 268 Hz, DAC 1–15</x:v>
      </x:c>
    </x:row>
    <x:row r="19">
      <x:c r="A19" s="26" t="str">
        <x:v>K2</x:v>
      </x:c>
      <x:c r="B19" s="26" t="str">
        <x:v>Horizontal / flat</x:v>
      </x:c>
      <x:c r="C19" s="26" t="str">
        <x:v>Low–medium</x:v>
      </x:c>
      <x:c r="D19" s="26" t="str">
        <x:v>Pasted text (2)(2).txt</x:v>
      </x:c>
      <x:c r="E19" s="36" t="n">
        <x:v>268</x:v>
      </x:c>
      <x:c r="F19" s="37" t="n">
        <x:v>1</x:v>
      </x:c>
      <x:c r="G19" s="38" t="n">
        <x:v>0</x:v>
      </x:c>
      <x:c r="H19" s="36"/>
      <x:c r="I19" s="36" t="str">
        <x:f>IF(H19="","",H19-E19)</x:f>
      </x:c>
      <x:c r="J19" s="36" t="str">
        <x:f>IF(I19="","",ABS(I19))</x:f>
      </x:c>
      <x:c r="K19" s="39" t="str">
        <x:f>IF(I19="","",ABS(I19/E19)*100)</x:f>
      </x:c>
      <x:c r="L19" s="36"/>
      <x:c r="M19" s="36" t="str">
        <x:f>IF(L19="","",L19-E19)</x:f>
      </x:c>
      <x:c r="N19" s="36"/>
      <x:c r="O19" s="36" t="str">
        <x:f>IF(N19="","",N19-E19)</x:f>
      </x:c>
      <x:c r="P19" s="36"/>
      <x:c r="Q19" s="36" t="str">
        <x:f>IF(P19="","",P19-E19)</x:f>
      </x:c>
      <x:c r="R19" s="36"/>
      <x:c r="S19" s="36"/>
      <x:c r="T19" s="36"/>
      <x:c r="U19" s="36"/>
      <x:c r="V19" s="37"/>
      <x:c r="W19" s="37"/>
      <x:c r="X19" s="37"/>
      <x:c r="Y19" s="37"/>
      <x:c r="Z19" s="37" t="str">
        <x:f>IF(OR(U19="",U19=0),"",R19^2/U19^2*100)</x:f>
      </x:c>
      <x:c r="AA19" s="37" t="str">
        <x:f>IF(OR(U19="",U19=0),"",S19^2/U19^2*100)</x:f>
      </x:c>
      <x:c r="AB19" s="37" t="str">
        <x:f>IF(OR(U19="",U19=0),"",T19^2/U19^2*100)</x:f>
      </x:c>
      <x:c r="AC19" s="26" t="str">
        <x:f>IF(U19="","",IF(R19=MAX(R19:T19),"X",IF(S19=MAX(R19:T19),"Y","Z")))</x:f>
      </x:c>
      <x:c r="AD19" s="36" t="str">
        <x:f>IF(OR(R19="",R19=0,S19=""),"",S19/R19)</x:f>
      </x:c>
      <x:c r="AE19" s="36" t="str">
        <x:f>IF(OR(R19="",R19=0,T19=""),"",T19/R19)</x:f>
      </x:c>
      <x:c r="AF19" s="36" t="str">
        <x:f>IF(OR(R19="",F19=0),"",R19/F19)</x:f>
      </x:c>
      <x:c r="AG19" s="36" t="str">
        <x:f>IF(OR(S19="",F19=0),"",S19/F19)</x:f>
      </x:c>
      <x:c r="AH19" s="36" t="str">
        <x:f>IF(OR(T19="",F19=0),"",T19/F19)</x:f>
      </x:c>
      <x:c r="AI19" s="36" t="str">
        <x:f>IF(OR(U19="",F19=0),"",U19/F19)</x:f>
      </x:c>
      <x:c r="AJ19" s="26" t="str">
        <x:f>IF(G19=0,"NO VALID SUMMARY",IF(J19&lt;=Settings_Glossary!$B$4,"Excellent",IF(J19&lt;=Settings_Glossary!$B$5,"Acceptable","Review")))</x:f>
        <x:v>NO VALID SUMMARY</x:v>
      </x:c>
      <x:c r="AK19" s="26" t="str">
        <x:f>IF(G19=0,"No valid repeats",IF(G19&lt;2,"Single repeat / repeat needed",IF(Y19&lt;=Settings_Glossary!$B$6,"Good","Review")))</x:f>
        <x:v>No valid repeats</x:v>
      </x:c>
      <x:c r="AL19" s="26" t="str">
        <x:v>Check gain scaling and directionality at higher amplifier setting</x:v>
      </x:c>
      <x:c r="AM19" s="26" t="str">
        <x:v>2 repeats per DAC, 268 Hz, DAC 1–15</x:v>
      </x:c>
    </x:row>
    <x:row r="20">
      <x:c r="A20" s="26" t="str">
        <x:v>K2</x:v>
      </x:c>
      <x:c r="B20" s="26" t="str">
        <x:v>Horizontal / flat</x:v>
      </x:c>
      <x:c r="C20" s="26" t="str">
        <x:v>Low–medium</x:v>
      </x:c>
      <x:c r="D20" s="26" t="str">
        <x:v>Pasted text (2)(2).txt</x:v>
      </x:c>
      <x:c r="E20" s="36" t="n">
        <x:v>268</x:v>
      </x:c>
      <x:c r="F20" s="37" t="n">
        <x:v>2</x:v>
      </x:c>
      <x:c r="G20" s="38" t="n">
        <x:v>2</x:v>
      </x:c>
      <x:c r="H20" s="36" t="n">
        <x:v>268.64836</x:v>
      </x:c>
      <x:c r="I20" s="36" t="n">
        <x:f>IF(H20="","",H20-E20)</x:f>
        <x:v>0.6483600000000251</x:v>
      </x:c>
      <x:c r="J20" s="36" t="n">
        <x:f>IF(I20="","",ABS(I20))</x:f>
        <x:v>0.6483600000000251</x:v>
      </x:c>
      <x:c r="K20" s="39" t="n">
        <x:f>IF(I20="","",ABS(I20/E20)*100)</x:f>
        <x:v>0.24192537313433773</x:v>
      </x:c>
      <x:c r="L20" s="36" t="n">
        <x:v>272.62765</x:v>
      </x:c>
      <x:c r="M20" s="36" t="n">
        <x:f>IF(L20="","",L20-E20)</x:f>
        <x:v>4.627650000000017</x:v>
      </x:c>
      <x:c r="N20" s="36" t="n">
        <x:v>268.71942</x:v>
      </x:c>
      <x:c r="O20" s="36" t="n">
        <x:f>IF(N20="","",N20-E20)</x:f>
        <x:v>0.7194200000000137</x:v>
      </x:c>
      <x:c r="P20" s="36" t="n">
        <x:v>267.64301</x:v>
      </x:c>
      <x:c r="Q20" s="36" t="n">
        <x:f>IF(P20="","",P20-E20)</x:f>
        <x:v>-0.35698999999999614</x:v>
      </x:c>
      <x:c r="R20" s="36" t="n">
        <x:v>0.01086</x:v>
      </x:c>
      <x:c r="S20" s="36" t="n">
        <x:v>0.03397</x:v>
      </x:c>
      <x:c r="T20" s="36" t="n">
        <x:v>0.02898</x:v>
      </x:c>
      <x:c r="U20" s="36" t="n">
        <x:v>0.04842</x:v>
      </x:c>
      <x:c r="V20" s="37" t="n">
        <x:v>30.48</x:v>
      </x:c>
      <x:c r="W20" s="37" t="n">
        <x:v>21.68</x:v>
      </x:c>
      <x:c r="X20" s="37" t="n">
        <x:v>19.91</x:v>
      </x:c>
      <x:c r="Y20" s="37" t="n">
        <x:v>21.22</x:v>
      </x:c>
      <x:c r="Z20" s="37" t="n">
        <x:f>IF(OR(U20="",U20=0),"",R20^2/U20^2*100)</x:f>
        <x:v>5.030487570806251</x:v>
      </x:c>
      <x:c r="AA20" s="37" t="n">
        <x:f>IF(OR(U20="",U20=0),"",S20^2/U20^2*100)</x:f>
        <x:v>49.219990271684786</x:v>
      </x:c>
      <x:c r="AB20" s="37" t="n">
        <x:f>IF(OR(U20="",U20=0),"",T20^2/U20^2*100)</x:f>
        <x:v>35.82178245187325</x:v>
      </x:c>
      <x:c r="AC20" s="26" t="str">
        <x:f>IF(U20="","",IF(R20=MAX(R20:T20),"X",IF(S20=MAX(R20:T20),"Y","Z")))</x:f>
        <x:v>Y</x:v>
      </x:c>
      <x:c r="AD20" s="36" t="n">
        <x:f>IF(OR(R20="",R20=0,S20=""),"",S20/R20)</x:f>
        <x:v>3.1279926335174952</x:v>
      </x:c>
      <x:c r="AE20" s="36" t="n">
        <x:f>IF(OR(R20="",R20=0,T20=""),"",T20/R20)</x:f>
        <x:v>2.6685082872928176</x:v>
      </x:c>
      <x:c r="AF20" s="36" t="n">
        <x:f>IF(OR(R20="",F20=0),"",R20/F20)</x:f>
        <x:v>0.00543</x:v>
      </x:c>
      <x:c r="AG20" s="36" t="n">
        <x:f>IF(OR(S20="",F20=0),"",S20/F20)</x:f>
        <x:v>0.016985</x:v>
      </x:c>
      <x:c r="AH20" s="36" t="n">
        <x:f>IF(OR(T20="",F20=0),"",T20/F20)</x:f>
        <x:v>0.01449</x:v>
      </x:c>
      <x:c r="AI20" s="36" t="n">
        <x:f>IF(OR(U20="",F20=0),"",U20/F20)</x:f>
        <x:v>0.02421</x:v>
      </x:c>
      <x:c r="AJ20" s="26" t="str">
        <x:f>IF(G20=0,"NO VALID SUMMARY",IF(J20&lt;=Settings_Glossary!$B$4,"Excellent",IF(J20&lt;=Settings_Glossary!$B$5,"Acceptable","Review")))</x:f>
        <x:v>Review</x:v>
      </x:c>
      <x:c r="AK20" s="26" t="str">
        <x:f>IF(G20=0,"No valid repeats",IF(G20&lt;2,"Single repeat / repeat needed",IF(Y20&lt;=Settings_Glossary!$B$6,"Good","Review")))</x:f>
        <x:v>Review</x:v>
      </x:c>
      <x:c r="AL20" s="26" t="str">
        <x:v>Check gain scaling and directionality at higher amplifier setting</x:v>
      </x:c>
      <x:c r="AM20" s="26" t="str">
        <x:v>2 repeats per DAC, 268 Hz, DAC 1–15</x:v>
      </x:c>
    </x:row>
    <x:row r="21">
      <x:c r="A21" s="26" t="str">
        <x:v>K2</x:v>
      </x:c>
      <x:c r="B21" s="26" t="str">
        <x:v>Horizontal / flat</x:v>
      </x:c>
      <x:c r="C21" s="26" t="str">
        <x:v>Low–medium</x:v>
      </x:c>
      <x:c r="D21" s="26" t="str">
        <x:v>Pasted text (2)(2).txt</x:v>
      </x:c>
      <x:c r="E21" s="36" t="n">
        <x:v>268</x:v>
      </x:c>
      <x:c r="F21" s="37" t="n">
        <x:v>3</x:v>
      </x:c>
      <x:c r="G21" s="38" t="n">
        <x:v>2</x:v>
      </x:c>
      <x:c r="H21" s="36" t="n">
        <x:v>268.46769</x:v>
      </x:c>
      <x:c r="I21" s="36" t="n">
        <x:f>IF(H21="","",H21-E21)</x:f>
        <x:v>0.4676900000000046</x:v>
      </x:c>
      <x:c r="J21" s="36" t="n">
        <x:f>IF(I21="","",ABS(I21))</x:f>
        <x:v>0.4676900000000046</x:v>
      </x:c>
      <x:c r="K21" s="39" t="n">
        <x:f>IF(I21="","",ABS(I21/E21)*100)</x:f>
        <x:v>0.17451119402985246</x:v>
      </x:c>
      <x:c r="L21" s="36" t="n">
        <x:v>274.33741</x:v>
      </x:c>
      <x:c r="M21" s="36" t="n">
        <x:f>IF(L21="","",L21-E21)</x:f>
        <x:v>6.337409999999977</x:v>
      </x:c>
      <x:c r="N21" s="36" t="n">
        <x:v>268.51409</x:v>
      </x:c>
      <x:c r="O21" s="36" t="n">
        <x:f>IF(N21="","",N21-E21)</x:f>
        <x:v>0.5140900000000101</x:v>
      </x:c>
      <x:c r="P21" s="36" t="n">
        <x:v>268.45169</x:v>
      </x:c>
      <x:c r="Q21" s="36" t="n">
        <x:f>IF(P21="","",P21-E21)</x:f>
        <x:v>0.45168999999998505</x:v>
      </x:c>
      <x:c r="R21" s="36" t="n">
        <x:v>0.0136</x:v>
      </x:c>
      <x:c r="S21" s="36" t="n">
        <x:v>0.02756</x:v>
      </x:c>
      <x:c r="T21" s="36" t="n">
        <x:v>0.05082</x:v>
      </x:c>
      <x:c r="U21" s="36" t="n">
        <x:v>0.06189</x:v>
      </x:c>
      <x:c r="V21" s="37" t="n">
        <x:v>9.42</x:v>
      </x:c>
      <x:c r="W21" s="37" t="n">
        <x:v>42.97</x:v>
      </x:c>
      <x:c r="X21" s="37" t="n">
        <x:v>11.06</x:v>
      </x:c>
      <x:c r="Y21" s="37" t="n">
        <x:v>1.06</x:v>
      </x:c>
      <x:c r="Z21" s="37" t="n">
        <x:f>IF(OR(U21="",U21=0),"",R21^2/U21^2*100)</x:f>
        <x:v>4.828773684937816</x:v>
      </x:c>
      <x:c r="AA21" s="37" t="n">
        <x:f>IF(OR(U21="",U21=0),"",S21^2/U21^2*100)</x:f>
        <x:v>19.829760142624263</x:v>
      </x:c>
      <x:c r="AB21" s="37" t="n">
        <x:f>IF(OR(U21="",U21=0),"",T21^2/U21^2*100)</x:f>
        <x:v>67.42614901565307</x:v>
      </x:c>
      <x:c r="AC21" s="26" t="str">
        <x:f>IF(U21="","",IF(R21=MAX(R21:T21),"X",IF(S21=MAX(R21:T21),"Y","Z")))</x:f>
        <x:v>Z</x:v>
      </x:c>
      <x:c r="AD21" s="36" t="n">
        <x:f>IF(OR(R21="",R21=0,S21=""),"",S21/R21)</x:f>
        <x:v>2.0264705882352945</x:v>
      </x:c>
      <x:c r="AE21" s="36" t="n">
        <x:f>IF(OR(R21="",R21=0,T21=""),"",T21/R21)</x:f>
        <x:v>3.736764705882353</x:v>
      </x:c>
      <x:c r="AF21" s="36" t="n">
        <x:f>IF(OR(R21="",F21=0),"",R21/F21)</x:f>
        <x:v>0.004533333333333333</x:v>
      </x:c>
      <x:c r="AG21" s="36" t="n">
        <x:f>IF(OR(S21="",F21=0),"",S21/F21)</x:f>
        <x:v>0.009186666666666668</x:v>
      </x:c>
      <x:c r="AH21" s="36" t="n">
        <x:f>IF(OR(T21="",F21=0),"",T21/F21)</x:f>
        <x:v>0.01694</x:v>
      </x:c>
      <x:c r="AI21" s="36" t="n">
        <x:f>IF(OR(U21="",F21=0),"",U21/F21)</x:f>
        <x:v>0.02063</x:v>
      </x:c>
      <x:c r="AJ21" s="26" t="str">
        <x:f>IF(G21=0,"NO VALID SUMMARY",IF(J21&lt;=Settings_Glossary!$B$4,"Excellent",IF(J21&lt;=Settings_Glossary!$B$5,"Acceptable","Review")))</x:f>
        <x:v>Acceptable</x:v>
      </x:c>
      <x:c r="AK21" s="26" t="str">
        <x:f>IF(G21=0,"No valid repeats",IF(G21&lt;2,"Single repeat / repeat needed",IF(Y21&lt;=Settings_Glossary!$B$6,"Good","Review")))</x:f>
        <x:v>Good</x:v>
      </x:c>
      <x:c r="AL21" s="26" t="str">
        <x:v>Check gain scaling and directionality at higher amplifier setting</x:v>
      </x:c>
      <x:c r="AM21" s="26" t="str">
        <x:v>2 repeats per DAC, 268 Hz, DAC 1–15</x:v>
      </x:c>
    </x:row>
    <x:row r="22">
      <x:c r="A22" s="26" t="str">
        <x:v>K2</x:v>
      </x:c>
      <x:c r="B22" s="26" t="str">
        <x:v>Horizontal / flat</x:v>
      </x:c>
      <x:c r="C22" s="26" t="str">
        <x:v>Low–medium</x:v>
      </x:c>
      <x:c r="D22" s="26" t="str">
        <x:v>Pasted text (2)(2).txt</x:v>
      </x:c>
      <x:c r="E22" s="36" t="n">
        <x:v>268</x:v>
      </x:c>
      <x:c r="F22" s="37" t="n">
        <x:v>4</x:v>
      </x:c>
      <x:c r="G22" s="38" t="n">
        <x:v>2</x:v>
      </x:c>
      <x:c r="H22" s="36" t="n">
        <x:v>268.08235</x:v>
      </x:c>
      <x:c r="I22" s="36" t="n">
        <x:f>IF(H22="","",H22-E22)</x:f>
        <x:v>0.08235000000001946</x:v>
      </x:c>
      <x:c r="J22" s="36" t="n">
        <x:f>IF(I22="","",ABS(I22))</x:f>
        <x:v>0.08235000000001946</x:v>
      </x:c>
      <x:c r="K22" s="39" t="n">
        <x:f>IF(I22="","",ABS(I22/E22)*100)</x:f>
        <x:v>0.03072761194030577</x:v>
      </x:c>
      <x:c r="L22" s="36" t="n">
        <x:v>270.76612</x:v>
      </x:c>
      <x:c r="M22" s="36" t="n">
        <x:f>IF(L22="","",L22-E22)</x:f>
        <x:v>2.766120000000001</x:v>
      </x:c>
      <x:c r="N22" s="36" t="n">
        <x:v>268.28414</x:v>
      </x:c>
      <x:c r="O22" s="36" t="n">
        <x:f>IF(N22="","",N22-E22)</x:f>
        <x:v>0.2841399999999794</x:v>
      </x:c>
      <x:c r="P22" s="36" t="n">
        <x:v>267.95057</x:v>
      </x:c>
      <x:c r="Q22" s="36" t="n">
        <x:f>IF(P22="","",P22-E22)</x:f>
        <x:v>-0.04942999999997255</x:v>
      </x:c>
      <x:c r="R22" s="36" t="n">
        <x:v>0.00965</x:v>
      </x:c>
      <x:c r="S22" s="36" t="n">
        <x:v>0.03987</x:v>
      </x:c>
      <x:c r="T22" s="36" t="n">
        <x:v>0.06618</x:v>
      </x:c>
      <x:c r="U22" s="36" t="n">
        <x:v>0.08045</x:v>
      </x:c>
      <x:c r="V22" s="37" t="n">
        <x:v>0.33</x:v>
      </x:c>
      <x:c r="W22" s="37" t="n">
        <x:v>11.15</x:v>
      </x:c>
      <x:c r="X22" s="37" t="n">
        <x:v>20.85</x:v>
      </x:c>
      <x:c r="Y22" s="37" t="n">
        <x:v>14.34</x:v>
      </x:c>
      <x:c r="Z22" s="37" t="n">
        <x:f>IF(OR(U22="",U22=0),"",R22^2/U22^2*100)</x:f>
        <x:v>1.438806959454684</x:v>
      </x:c>
      <x:c r="AA22" s="37" t="n">
        <x:f>IF(OR(U22="",U22=0),"",S22^2/U22^2*100)</x:f>
        <x:v>24.560679305074284</x:v>
      </x:c>
      <x:c r="AB22" s="37" t="n">
        <x:f>IF(OR(U22="",U22=0),"",T22^2/U22^2*100)</x:f>
        <x:v>67.67081839605608</x:v>
      </x:c>
      <x:c r="AC22" s="26" t="str">
        <x:f>IF(U22="","",IF(R22=MAX(R22:T22),"X",IF(S22=MAX(R22:T22),"Y","Z")))</x:f>
        <x:v>Z</x:v>
      </x:c>
      <x:c r="AD22" s="36" t="n">
        <x:f>IF(OR(R22="",R22=0,S22=""),"",S22/R22)</x:f>
        <x:v>4.13160621761658</x:v>
      </x:c>
      <x:c r="AE22" s="36" t="n">
        <x:f>IF(OR(R22="",R22=0,T22=""),"",T22/R22)</x:f>
        <x:v>6.858031088082901</x:v>
      </x:c>
      <x:c r="AF22" s="36" t="n">
        <x:f>IF(OR(R22="",F22=0),"",R22/F22)</x:f>
        <x:v>0.0024125</x:v>
      </x:c>
      <x:c r="AG22" s="36" t="n">
        <x:f>IF(OR(S22="",F22=0),"",S22/F22)</x:f>
        <x:v>0.0099675</x:v>
      </x:c>
      <x:c r="AH22" s="36" t="n">
        <x:f>IF(OR(T22="",F22=0),"",T22/F22)</x:f>
        <x:v>0.016545</x:v>
      </x:c>
      <x:c r="AI22" s="36" t="n">
        <x:f>IF(OR(U22="",F22=0),"",U22/F22)</x:f>
        <x:v>0.0201125</x:v>
      </x:c>
      <x:c r="AJ22" s="26" t="str">
        <x:f>IF(G22=0,"NO VALID SUMMARY",IF(J22&lt;=Settings_Glossary!$B$4,"Excellent",IF(J22&lt;=Settings_Glossary!$B$5,"Acceptable","Review")))</x:f>
        <x:v>Excellent</x:v>
      </x:c>
      <x:c r="AK22" s="26" t="str">
        <x:f>IF(G22=0,"No valid repeats",IF(G22&lt;2,"Single repeat / repeat needed",IF(Y22&lt;=Settings_Glossary!$B$6,"Good","Review")))</x:f>
        <x:v>Review</x:v>
      </x:c>
      <x:c r="AL22" s="26" t="str">
        <x:v>Check gain scaling and directionality at higher amplifier setting</x:v>
      </x:c>
      <x:c r="AM22" s="26" t="str">
        <x:v>2 repeats per DAC, 268 Hz, DAC 1–15</x:v>
      </x:c>
    </x:row>
    <x:row r="23">
      <x:c r="A23" s="26" t="str">
        <x:v>K2</x:v>
      </x:c>
      <x:c r="B23" s="26" t="str">
        <x:v>Horizontal / flat</x:v>
      </x:c>
      <x:c r="C23" s="26" t="str">
        <x:v>Low–medium</x:v>
      </x:c>
      <x:c r="D23" s="26" t="str">
        <x:v>Pasted text (2)(2).txt</x:v>
      </x:c>
      <x:c r="E23" s="36" t="n">
        <x:v>268</x:v>
      </x:c>
      <x:c r="F23" s="37" t="n">
        <x:v>5</x:v>
      </x:c>
      <x:c r="G23" s="38" t="n">
        <x:v>2</x:v>
      </x:c>
      <x:c r="H23" s="36" t="n">
        <x:v>268.05291</x:v>
      </x:c>
      <x:c r="I23" s="36" t="n">
        <x:f>IF(H23="","",H23-E23)</x:f>
        <x:v>0.052909999999997126</x:v>
      </x:c>
      <x:c r="J23" s="36" t="n">
        <x:f>IF(I23="","",ABS(I23))</x:f>
        <x:v>0.052909999999997126</x:v>
      </x:c>
      <x:c r="K23" s="39" t="n">
        <x:f>IF(I23="","",ABS(I23/E23)*100)</x:f>
        <x:v>0.01974253731343176</x:v>
      </x:c>
      <x:c r="L23" s="36" t="n">
        <x:v>267.1875</x:v>
      </x:c>
      <x:c r="M23" s="36" t="n">
        <x:f>IF(L23="","",L23-E23)</x:f>
        <x:v>-0.8125</x:v>
      </x:c>
      <x:c r="N23" s="36" t="n">
        <x:v>267.9453</x:v>
      </x:c>
      <x:c r="O23" s="36" t="n">
        <x:f>IF(N23="","",N23-E23)</x:f>
        <x:v>-0.054700000000025284</x:v>
      </x:c>
      <x:c r="P23" s="36" t="n">
        <x:v>268.07293</x:v>
      </x:c>
      <x:c r="Q23" s="36" t="n">
        <x:f>IF(P23="","",P23-E23)</x:f>
        <x:v>0.07292999999998528</x:v>
      </x:c>
      <x:c r="R23" s="36" t="n">
        <x:v>0.01049</x:v>
      </x:c>
      <x:c r="S23" s="36" t="n">
        <x:v>0.03754</x:v>
      </x:c>
      <x:c r="T23" s="36" t="n">
        <x:v>0.08308</x:v>
      </x:c>
      <x:c r="U23" s="36" t="n">
        <x:v>0.09249</x:v>
      </x:c>
      <x:c r="V23" s="37" t="n">
        <x:v>33.65</x:v>
      </x:c>
      <x:c r="W23" s="37" t="n">
        <x:v>1.22</x:v>
      </x:c>
      <x:c r="X23" s="37" t="n">
        <x:v>4.08</x:v>
      </x:c>
      <x:c r="Y23" s="37" t="n">
        <x:v>3.7</x:v>
      </x:c>
      <x:c r="Z23" s="37" t="n">
        <x:f>IF(OR(U23="",U23=0),"",R23^2/U23^2*100)</x:f>
        <x:v>1.28635671366365</x:v>
      </x:c>
      <x:c r="AA23" s="37" t="n">
        <x:f>IF(OR(U23="",U23=0),"",S23^2/U23^2*100)</x:f>
        <x:v>16.47399681480879</x:v>
      </x:c>
      <x:c r="AB23" s="37" t="n">
        <x:f>IF(OR(U23="",U23=0),"",T23^2/U23^2*100)</x:f>
        <x:v>80.68697184271285</x:v>
      </x:c>
      <x:c r="AC23" s="26" t="str">
        <x:f>IF(U23="","",IF(R23=MAX(R23:T23),"X",IF(S23=MAX(R23:T23),"Y","Z")))</x:f>
        <x:v>Z</x:v>
      </x:c>
      <x:c r="AD23" s="36" t="n">
        <x:f>IF(OR(R23="",R23=0,S23=""),"",S23/R23)</x:f>
        <x:v>3.578646329837941</x:v>
      </x:c>
      <x:c r="AE23" s="36" t="n">
        <x:f>IF(OR(R23="",R23=0,T23=""),"",T23/R23)</x:f>
        <x:v>7.919923736892279</x:v>
      </x:c>
      <x:c r="AF23" s="36" t="n">
        <x:f>IF(OR(R23="",F23=0),"",R23/F23)</x:f>
        <x:v>0.002098</x:v>
      </x:c>
      <x:c r="AG23" s="36" t="n">
        <x:f>IF(OR(S23="",F23=0),"",S23/F23)</x:f>
        <x:v>0.007507999999999999</x:v>
      </x:c>
      <x:c r="AH23" s="36" t="n">
        <x:f>IF(OR(T23="",F23=0),"",T23/F23)</x:f>
        <x:v>0.016616</x:v>
      </x:c>
      <x:c r="AI23" s="36" t="n">
        <x:f>IF(OR(U23="",F23=0),"",U23/F23)</x:f>
        <x:v>0.018498</x:v>
      </x:c>
      <x:c r="AJ23" s="26" t="str">
        <x:f>IF(G23=0,"NO VALID SUMMARY",IF(J23&lt;=Settings_Glossary!$B$4,"Excellent",IF(J23&lt;=Settings_Glossary!$B$5,"Acceptable","Review")))</x:f>
        <x:v>Excellent</x:v>
      </x:c>
      <x:c r="AK23" s="26" t="str">
        <x:f>IF(G23=0,"No valid repeats",IF(G23&lt;2,"Single repeat / repeat needed",IF(Y23&lt;=Settings_Glossary!$B$6,"Good","Review")))</x:f>
        <x:v>Good</x:v>
      </x:c>
      <x:c r="AL23" s="26" t="str">
        <x:v>Check gain scaling and directionality at higher amplifier setting</x:v>
      </x:c>
      <x:c r="AM23" s="26" t="str">
        <x:v>2 repeats per DAC, 268 Hz, DAC 1–15</x:v>
      </x:c>
    </x:row>
    <x:row r="24">
      <x:c r="A24" s="26" t="str">
        <x:v>K2</x:v>
      </x:c>
      <x:c r="B24" s="26" t="str">
        <x:v>Horizontal / flat</x:v>
      </x:c>
      <x:c r="C24" s="26" t="str">
        <x:v>Low–medium</x:v>
      </x:c>
      <x:c r="D24" s="26" t="str">
        <x:v>Pasted text (2)(2).txt</x:v>
      </x:c>
      <x:c r="E24" s="36" t="n">
        <x:v>268</x:v>
      </x:c>
      <x:c r="F24" s="37" t="n">
        <x:v>6</x:v>
      </x:c>
      <x:c r="G24" s="38" t="n">
        <x:v>2</x:v>
      </x:c>
      <x:c r="H24" s="36" t="n">
        <x:v>268.01917</x:v>
      </x:c>
      <x:c r="I24" s="36" t="n">
        <x:f>IF(H24="","",H24-E24)</x:f>
        <x:v>0.019169999999974152</x:v>
      </x:c>
      <x:c r="J24" s="36" t="n">
        <x:f>IF(I24="","",ABS(I24))</x:f>
        <x:v>0.019169999999974152</x:v>
      </x:c>
      <x:c r="K24" s="39" t="n">
        <x:f>IF(I24="","",ABS(I24/E24)*100)</x:f>
        <x:v>0.007152985074617221</x:v>
      </x:c>
      <x:c r="L24" s="36" t="n">
        <x:v>275.41695</x:v>
      </x:c>
      <x:c r="M24" s="36" t="n">
        <x:f>IF(L24="","",L24-E24)</x:f>
        <x:v>7.416949999999986</x:v>
      </x:c>
      <x:c r="N24" s="36" t="n">
        <x:v>268.12595</x:v>
      </x:c>
      <x:c r="O24" s="36" t="n">
        <x:f>IF(N24="","",N24-E24)</x:f>
        <x:v>0.1259499999999889</x:v>
      </x:c>
      <x:c r="P24" s="36" t="n">
        <x:v>267.98297</x:v>
      </x:c>
      <x:c r="Q24" s="36" t="n">
        <x:f>IF(P24="","",P24-E24)</x:f>
        <x:v>-0.017029999999977008</x:v>
      </x:c>
      <x:c r="R24" s="36" t="n">
        <x:v>0.00863</x:v>
      </x:c>
      <x:c r="S24" s="36" t="n">
        <x:v>0.04769</x:v>
      </x:c>
      <x:c r="T24" s="36" t="n">
        <x:v>0.10431</x:v>
      </x:c>
      <x:c r="U24" s="36" t="n">
        <x:v>0.11746</x:v>
      </x:c>
      <x:c r="V24" s="37" t="n">
        <x:v>54.03</x:v>
      </x:c>
      <x:c r="W24" s="37" t="n">
        <x:v>29.82</x:v>
      </x:c>
      <x:c r="X24" s="37" t="n">
        <x:v>5.97</x:v>
      </x:c>
      <x:c r="Y24" s="37" t="n">
        <x:v>0.48</x:v>
      </x:c>
      <x:c r="Z24" s="37" t="n">
        <x:f>IF(OR(U24="",U24=0),"",R24^2/U24^2*100)</x:f>
        <x:v>0.539810836263543</x:v>
      </x:c>
      <x:c r="AA24" s="37" t="n">
        <x:f>IF(OR(U24="",U24=0),"",S24^2/U24^2*100)</x:f>
        <x:v>16.48445722211001</x:v>
      </x:c>
      <x:c r="AB24" s="37" t="n">
        <x:f>IF(OR(U24="",U24=0),"",T24^2/U24^2*100)</x:f>
        <x:v>78.86274648340786</x:v>
      </x:c>
      <x:c r="AC24" s="26" t="str">
        <x:f>IF(U24="","",IF(R24=MAX(R24:T24),"X",IF(S24=MAX(R24:T24),"Y","Z")))</x:f>
        <x:v>Z</x:v>
      </x:c>
      <x:c r="AD24" s="36" t="n">
        <x:f>IF(OR(R24="",R24=0,S24=""),"",S24/R24)</x:f>
        <x:v>5.526071842410197</x:v>
      </x:c>
      <x:c r="AE24" s="36" t="n">
        <x:f>IF(OR(R24="",R24=0,T24=""),"",T24/R24)</x:f>
        <x:v>12.086906141367322</x:v>
      </x:c>
      <x:c r="AF24" s="36" t="n">
        <x:f>IF(OR(R24="",F24=0),"",R24/F24)</x:f>
        <x:v>0.0014383333333333333</x:v>
      </x:c>
      <x:c r="AG24" s="36" t="n">
        <x:f>IF(OR(S24="",F24=0),"",S24/F24)</x:f>
        <x:v>0.007948333333333333</x:v>
      </x:c>
      <x:c r="AH24" s="36" t="n">
        <x:f>IF(OR(T24="",F24=0),"",T24/F24)</x:f>
        <x:v>0.017385</x:v>
      </x:c>
      <x:c r="AI24" s="36" t="n">
        <x:f>IF(OR(U24="",F24=0),"",U24/F24)</x:f>
        <x:v>0.019576666666666666</x:v>
      </x:c>
      <x:c r="AJ24" s="26" t="str">
        <x:f>IF(G24=0,"NO VALID SUMMARY",IF(J24&lt;=Settings_Glossary!$B$4,"Excellent",IF(J24&lt;=Settings_Glossary!$B$5,"Acceptable","Review")))</x:f>
        <x:v>Excellent</x:v>
      </x:c>
      <x:c r="AK24" s="26" t="str">
        <x:f>IF(G24=0,"No valid repeats",IF(G24&lt;2,"Single repeat / repeat needed",IF(Y24&lt;=Settings_Glossary!$B$6,"Good","Review")))</x:f>
        <x:v>Good</x:v>
      </x:c>
      <x:c r="AL24" s="26" t="str">
        <x:v>Check gain scaling and directionality at higher amplifier setting</x:v>
      </x:c>
      <x:c r="AM24" s="26" t="str">
        <x:v>2 repeats per DAC, 268 Hz, DAC 1–15</x:v>
      </x:c>
    </x:row>
    <x:row r="25">
      <x:c r="A25" s="26" t="str">
        <x:v>K2</x:v>
      </x:c>
      <x:c r="B25" s="26" t="str">
        <x:v>Horizontal / flat</x:v>
      </x:c>
      <x:c r="C25" s="26" t="str">
        <x:v>Low–medium</x:v>
      </x:c>
      <x:c r="D25" s="26" t="str">
        <x:v>Pasted text (2)(2).txt</x:v>
      </x:c>
      <x:c r="E25" s="36" t="n">
        <x:v>268</x:v>
      </x:c>
      <x:c r="F25" s="37" t="n">
        <x:v>7</x:v>
      </x:c>
      <x:c r="G25" s="38" t="n">
        <x:v>2</x:v>
      </x:c>
      <x:c r="H25" s="36" t="n">
        <x:v>268.16476</x:v>
      </x:c>
      <x:c r="I25" s="36" t="n">
        <x:f>IF(H25="","",H25-E25)</x:f>
        <x:v>0.16476000000000113</x:v>
      </x:c>
      <x:c r="J25" s="36" t="n">
        <x:f>IF(I25="","",ABS(I25))</x:f>
        <x:v>0.16476000000000113</x:v>
      </x:c>
      <x:c r="K25" s="39" t="n">
        <x:f>IF(I25="","",ABS(I25/E25)*100)</x:f>
        <x:v>0.061477611940298924</x:v>
      </x:c>
      <x:c r="L25" s="36" t="n">
        <x:v>274.5045</x:v>
      </x:c>
      <x:c r="M25" s="36" t="n">
        <x:f>IF(L25="","",L25-E25)</x:f>
        <x:v>6.504500000000007</x:v>
      </x:c>
      <x:c r="N25" s="36" t="n">
        <x:v>268.07486</x:v>
      </x:c>
      <x:c r="O25" s="36" t="n">
        <x:f>IF(N25="","",N25-E25)</x:f>
        <x:v>0.07486000000000104</x:v>
      </x:c>
      <x:c r="P25" s="36" t="n">
        <x:v>268.18054</x:v>
      </x:c>
      <x:c r="Q25" s="36" t="n">
        <x:f>IF(P25="","",P25-E25)</x:f>
        <x:v>0.1805400000000077</x:v>
      </x:c>
      <x:c r="R25" s="36" t="n">
        <x:v>0.01451</x:v>
      </x:c>
      <x:c r="S25" s="36" t="n">
        <x:v>0.05843</x:v>
      </x:c>
      <x:c r="T25" s="36" t="n">
        <x:v>0.1316</x:v>
      </x:c>
      <x:c r="U25" s="36" t="n">
        <x:v>0.14527</x:v>
      </x:c>
      <x:c r="V25" s="37" t="n">
        <x:v>16.54</x:v>
      </x:c>
      <x:c r="W25" s="37" t="n">
        <x:v>5.24</x:v>
      </x:c>
      <x:c r="X25" s="37" t="n">
        <x:v>2.69</x:v>
      </x:c>
      <x:c r="Y25" s="37" t="n">
        <x:v>1.2</x:v>
      </x:c>
      <x:c r="Z25" s="37" t="n">
        <x:f>IF(OR(U25="",U25=0),"",R25^2/U25^2*100)</x:f>
        <x:v>0.9976608999786948</x:v>
      </x:c>
      <x:c r="AA25" s="37" t="n">
        <x:f>IF(OR(U25="",U25=0),"",S25^2/U25^2*100)</x:f>
        <x:v>16.17781629589647</x:v>
      </x:c>
      <x:c r="AB25" s="37" t="n">
        <x:f>IF(OR(U25="",U25=0),"",T25^2/U25^2*100)</x:f>
        <x:v>82.06536501091726</x:v>
      </x:c>
      <x:c r="AC25" s="26" t="str">
        <x:f>IF(U25="","",IF(R25=MAX(R25:T25),"X",IF(S25=MAX(R25:T25),"Y","Z")))</x:f>
        <x:v>Z</x:v>
      </x:c>
      <x:c r="AD25" s="36" t="n">
        <x:f>IF(OR(R25="",R25=0,S25=""),"",S25/R25)</x:f>
        <x:v>4.026878015161957</x:v>
      </x:c>
      <x:c r="AE25" s="36" t="n">
        <x:f>IF(OR(R25="",R25=0,T25=""),"",T25/R25)</x:f>
        <x:v>9.069607167470709</x:v>
      </x:c>
      <x:c r="AF25" s="36" t="n">
        <x:f>IF(OR(R25="",F25=0),"",R25/F25)</x:f>
        <x:v>0.0020728571428571428</x:v>
      </x:c>
      <x:c r="AG25" s="36" t="n">
        <x:f>IF(OR(S25="",F25=0),"",S25/F25)</x:f>
        <x:v>0.008347142857142857</x:v>
      </x:c>
      <x:c r="AH25" s="36" t="n">
        <x:f>IF(OR(T25="",F25=0),"",T25/F25)</x:f>
        <x:v>0.0188</x:v>
      </x:c>
      <x:c r="AI25" s="36" t="n">
        <x:f>IF(OR(U25="",F25=0),"",U25/F25)</x:f>
        <x:v>0.020752857142857146</x:v>
      </x:c>
      <x:c r="AJ25" s="26" t="str">
        <x:f>IF(G25=0,"NO VALID SUMMARY",IF(J25&lt;=Settings_Glossary!$B$4,"Excellent",IF(J25&lt;=Settings_Glossary!$B$5,"Acceptable","Review")))</x:f>
        <x:v>Acceptable</x:v>
      </x:c>
      <x:c r="AK25" s="26" t="str">
        <x:f>IF(G25=0,"No valid repeats",IF(G25&lt;2,"Single repeat / repeat needed",IF(Y25&lt;=Settings_Glossary!$B$6,"Good","Review")))</x:f>
        <x:v>Good</x:v>
      </x:c>
      <x:c r="AL25" s="26" t="str">
        <x:v>Check gain scaling and directionality at higher amplifier setting</x:v>
      </x:c>
      <x:c r="AM25" s="26" t="str">
        <x:v>2 repeats per DAC, 268 Hz, DAC 1–15</x:v>
      </x:c>
    </x:row>
    <x:row r="26">
      <x:c r="A26" s="26" t="str">
        <x:v>K2</x:v>
      </x:c>
      <x:c r="B26" s="26" t="str">
        <x:v>Horizontal / flat</x:v>
      </x:c>
      <x:c r="C26" s="26" t="str">
        <x:v>Low–medium</x:v>
      </x:c>
      <x:c r="D26" s="26" t="str">
        <x:v>Pasted text (2)(2).txt</x:v>
      </x:c>
      <x:c r="E26" s="36" t="n">
        <x:v>268</x:v>
      </x:c>
      <x:c r="F26" s="37" t="n">
        <x:v>8</x:v>
      </x:c>
      <x:c r="G26" s="38" t="n">
        <x:v>2</x:v>
      </x:c>
      <x:c r="H26" s="36" t="n">
        <x:v>268.00877</x:v>
      </x:c>
      <x:c r="I26" s="36" t="n">
        <x:f>IF(H26="","",H26-E26)</x:f>
        <x:v>0.008770000000026812</x:v>
      </x:c>
      <x:c r="J26" s="36" t="n">
        <x:f>IF(I26="","",ABS(I26))</x:f>
        <x:v>0.008770000000026812</x:v>
      </x:c>
      <x:c r="K26" s="39" t="n">
        <x:f>IF(I26="","",ABS(I26/E26)*100)</x:f>
        <x:v>0.003272388059711497</x:v>
      </x:c>
      <x:c r="L26" s="36" t="n">
        <x:v>265.09799</x:v>
      </x:c>
      <x:c r="M26" s="36" t="n">
        <x:f>IF(L26="","",L26-E26)</x:f>
        <x:v>-2.9020100000000184</x:v>
      </x:c>
      <x:c r="N26" s="36" t="n">
        <x:v>268.02786</x:v>
      </x:c>
      <x:c r="O26" s="36" t="n">
        <x:f>IF(N26="","",N26-E26)</x:f>
        <x:v>0.02785999999997557</x:v>
      </x:c>
      <x:c r="P26" s="36" t="n">
        <x:v>268.00319</x:v>
      </x:c>
      <x:c r="Q26" s="36" t="n">
        <x:f>IF(P26="","",P26-E26)</x:f>
        <x:v>0.0031900000000177897</x:v>
      </x:c>
      <x:c r="R26" s="36" t="n">
        <x:v>0.01278</x:v>
      </x:c>
      <x:c r="S26" s="36" t="n">
        <x:v>0.06924</x:v>
      </x:c>
      <x:c r="T26" s="36" t="n">
        <x:v>0.15042</x:v>
      </x:c>
      <x:c r="U26" s="36" t="n">
        <x:v>0.16651</x:v>
      </x:c>
      <x:c r="V26" s="37" t="n">
        <x:v>8.56</x:v>
      </x:c>
      <x:c r="W26" s="37" t="n">
        <x:v>8.7</x:v>
      </x:c>
      <x:c r="X26" s="37" t="n">
        <x:v>5.67</x:v>
      </x:c>
      <x:c r="Y26" s="37" t="n">
        <x:v>5.98</x:v>
      </x:c>
      <x:c r="Z26" s="37" t="n">
        <x:f>IF(OR(U26="",U26=0),"",R26^2/U26^2*100)</x:f>
        <x:v>0.5890892071902942</x:v>
      </x:c>
      <x:c r="AA26" s="37" t="n">
        <x:f>IF(OR(U26="",U26=0),"",S26^2/U26^2*100)</x:f>
        <x:v>17.291532161666115</x:v>
      </x:c>
      <x:c r="AB26" s="37" t="n">
        <x:f>IF(OR(U26="",U26=0),"",T26^2/U26^2*100)</x:f>
        <x:v>81.60758519169813</x:v>
      </x:c>
      <x:c r="AC26" s="26" t="str">
        <x:f>IF(U26="","",IF(R26=MAX(R26:T26),"X",IF(S26=MAX(R26:T26),"Y","Z")))</x:f>
        <x:v>Z</x:v>
      </x:c>
      <x:c r="AD26" s="36" t="n">
        <x:f>IF(OR(R26="",R26=0,S26=""),"",S26/R26)</x:f>
        <x:v>5.417840375586854</x:v>
      </x:c>
      <x:c r="AE26" s="36" t="n">
        <x:f>IF(OR(R26="",R26=0,T26=""),"",T26/R26)</x:f>
        <x:v>11.769953051643192</x:v>
      </x:c>
      <x:c r="AF26" s="36" t="n">
        <x:f>IF(OR(R26="",F26=0),"",R26/F26)</x:f>
        <x:v>0.0015975</x:v>
      </x:c>
      <x:c r="AG26" s="36" t="n">
        <x:f>IF(OR(S26="",F26=0),"",S26/F26)</x:f>
        <x:v>0.008655</x:v>
      </x:c>
      <x:c r="AH26" s="36" t="n">
        <x:f>IF(OR(T26="",F26=0),"",T26/F26)</x:f>
        <x:v>0.0188025</x:v>
      </x:c>
      <x:c r="AI26" s="36" t="n">
        <x:f>IF(OR(U26="",F26=0),"",U26/F26)</x:f>
        <x:v>0.02081375</x:v>
      </x:c>
      <x:c r="AJ26" s="26" t="str">
        <x:f>IF(G26=0,"NO VALID SUMMARY",IF(J26&lt;=Settings_Glossary!$B$4,"Excellent",IF(J26&lt;=Settings_Glossary!$B$5,"Acceptable","Review")))</x:f>
        <x:v>Excellent</x:v>
      </x:c>
      <x:c r="AK26" s="26" t="str">
        <x:f>IF(G26=0,"No valid repeats",IF(G26&lt;2,"Single repeat / repeat needed",IF(Y26&lt;=Settings_Glossary!$B$6,"Good","Review")))</x:f>
        <x:v>Good</x:v>
      </x:c>
      <x:c r="AL26" s="26" t="str">
        <x:v>Check gain scaling and directionality at higher amplifier setting</x:v>
      </x:c>
      <x:c r="AM26" s="26" t="str">
        <x:v>2 repeats per DAC, 268 Hz, DAC 1–15</x:v>
      </x:c>
    </x:row>
    <x:row r="27">
      <x:c r="A27" s="26" t="str">
        <x:v>K2</x:v>
      </x:c>
      <x:c r="B27" s="26" t="str">
        <x:v>Horizontal / flat</x:v>
      </x:c>
      <x:c r="C27" s="26" t="str">
        <x:v>Low–medium</x:v>
      </x:c>
      <x:c r="D27" s="26" t="str">
        <x:v>Pasted text (2)(2).txt</x:v>
      </x:c>
      <x:c r="E27" s="36" t="n">
        <x:v>268</x:v>
      </x:c>
      <x:c r="F27" s="37" t="n">
        <x:v>9</x:v>
      </x:c>
      <x:c r="G27" s="38" t="n">
        <x:v>2</x:v>
      </x:c>
      <x:c r="H27" s="36" t="n">
        <x:v>267.96488</x:v>
      </x:c>
      <x:c r="I27" s="36" t="n">
        <x:f>IF(H27="","",H27-E27)</x:f>
        <x:v>-0.03512000000000626</x:v>
      </x:c>
      <x:c r="J27" s="36" t="n">
        <x:f>IF(I27="","",ABS(I27))</x:f>
        <x:v>0.03512000000000626</x:v>
      </x:c>
      <x:c r="K27" s="39" t="n">
        <x:f>IF(I27="","",ABS(I27/E27)*100)</x:f>
        <x:v>0.013104477611942632</x:v>
      </x:c>
      <x:c r="L27" s="36" t="n">
        <x:v>271.71664</x:v>
      </x:c>
      <x:c r="M27" s="36" t="n">
        <x:f>IF(L27="","",L27-E27)</x:f>
        <x:v>3.716639999999984</x:v>
      </x:c>
      <x:c r="N27" s="36" t="n">
        <x:v>268.05375</x:v>
      </x:c>
      <x:c r="O27" s="36" t="n">
        <x:f>IF(N27="","",N27-E27)</x:f>
        <x:v>0.053749999999979536</x:v>
      </x:c>
      <x:c r="P27" s="36" t="n">
        <x:v>267.94859</x:v>
      </x:c>
      <x:c r="Q27" s="36" t="n">
        <x:f>IF(P27="","",P27-E27)</x:f>
        <x:v>-0.05140999999997575</x:v>
      </x:c>
      <x:c r="R27" s="36" t="n">
        <x:v>0.02046</x:v>
      </x:c>
      <x:c r="S27" s="36" t="n">
        <x:v>0.07707</x:v>
      </x:c>
      <x:c r="T27" s="36" t="n">
        <x:v>0.18603</x:v>
      </x:c>
      <x:c r="U27" s="36" t="n">
        <x:v>0.20316</x:v>
      </x:c>
      <x:c r="V27" s="37" t="n">
        <x:v>43.36</x:v>
      </x:c>
      <x:c r="W27" s="37" t="n">
        <x:v>6.92</x:v>
      </x:c>
      <x:c r="X27" s="37" t="n">
        <x:v>0.53</x:v>
      </x:c>
      <x:c r="Y27" s="37" t="n">
        <x:v>1.17</x:v>
      </x:c>
      <x:c r="Z27" s="37" t="n">
        <x:f>IF(OR(U27="",U27=0),"",R27^2/U27^2*100)</x:f>
        <x:v>1.0142262587793316</x:v>
      </x:c>
      <x:c r="AA27" s="37" t="n">
        <x:f>IF(OR(U27="",U27=0),"",S27^2/U27^2*100)</x:f>
        <x:v>14.391110559480353</x:v>
      </x:c>
      <x:c r="AB27" s="37" t="n">
        <x:f>IF(OR(U27="",U27=0),"",T27^2/U27^2*100)</x:f>
        <x:v>83.84739296899886</x:v>
      </x:c>
      <x:c r="AC27" s="26" t="str">
        <x:f>IF(U27="","",IF(R27=MAX(R27:T27),"X",IF(S27=MAX(R27:T27),"Y","Z")))</x:f>
        <x:v>Z</x:v>
      </x:c>
      <x:c r="AD27" s="36" t="n">
        <x:f>IF(OR(R27="",R27=0,S27=""),"",S27/R27)</x:f>
        <x:v>3.7668621700879767</x:v>
      </x:c>
      <x:c r="AE27" s="36" t="n">
        <x:f>IF(OR(R27="",R27=0,T27=""),"",T27/R27)</x:f>
        <x:v>9.092375366568916</x:v>
      </x:c>
      <x:c r="AF27" s="36" t="n">
        <x:f>IF(OR(R27="",F27=0),"",R27/F27)</x:f>
        <x:v>0.0022733333333333334</x:v>
      </x:c>
      <x:c r="AG27" s="36" t="n">
        <x:f>IF(OR(S27="",F27=0),"",S27/F27)</x:f>
        <x:v>0.008563333333333333</x:v>
      </x:c>
      <x:c r="AH27" s="36" t="n">
        <x:f>IF(OR(T27="",F27=0),"",T27/F27)</x:f>
        <x:v>0.02067</x:v>
      </x:c>
      <x:c r="AI27" s="36" t="n">
        <x:f>IF(OR(U27="",F27=0),"",U27/F27)</x:f>
        <x:v>0.022573333333333334</x:v>
      </x:c>
      <x:c r="AJ27" s="26" t="str">
        <x:f>IF(G27=0,"NO VALID SUMMARY",IF(J27&lt;=Settings_Glossary!$B$4,"Excellent",IF(J27&lt;=Settings_Glossary!$B$5,"Acceptable","Review")))</x:f>
        <x:v>Excellent</x:v>
      </x:c>
      <x:c r="AK27" s="26" t="str">
        <x:f>IF(G27=0,"No valid repeats",IF(G27&lt;2,"Single repeat / repeat needed",IF(Y27&lt;=Settings_Glossary!$B$6,"Good","Review")))</x:f>
        <x:v>Good</x:v>
      </x:c>
      <x:c r="AL27" s="26" t="str">
        <x:v>Check gain scaling and directionality at higher amplifier setting</x:v>
      </x:c>
      <x:c r="AM27" s="26" t="str">
        <x:v>2 repeats per DAC, 268 Hz, DAC 1–15</x:v>
      </x:c>
    </x:row>
    <x:row r="28">
      <x:c r="A28" s="26" t="str">
        <x:v>K2</x:v>
      </x:c>
      <x:c r="B28" s="26" t="str">
        <x:v>Horizontal / flat</x:v>
      </x:c>
      <x:c r="C28" s="26" t="str">
        <x:v>Low–medium</x:v>
      </x:c>
      <x:c r="D28" s="26" t="str">
        <x:v>Pasted text (2)(2).txt</x:v>
      </x:c>
      <x:c r="E28" s="36" t="n">
        <x:v>268</x:v>
      </x:c>
      <x:c r="F28" s="37" t="n">
        <x:v>10</x:v>
      </x:c>
      <x:c r="G28" s="38" t="n">
        <x:v>2</x:v>
      </x:c>
      <x:c r="H28" s="36" t="n">
        <x:v>267.98205</x:v>
      </x:c>
      <x:c r="I28" s="36" t="n">
        <x:f>IF(H28="","",H28-E28)</x:f>
        <x:v>-0.01794999999998481</x:v>
      </x:c>
      <x:c r="J28" s="36" t="n">
        <x:f>IF(I28="","",ABS(I28))</x:f>
        <x:v>0.01794999999998481</x:v>
      </x:c>
      <x:c r="K28" s="39" t="n">
        <x:f>IF(I28="","",ABS(I28/E28)*100)</x:f>
        <x:v>0.006697761194024184</x:v>
      </x:c>
      <x:c r="L28" s="36" t="n">
        <x:v>268.72174</x:v>
      </x:c>
      <x:c r="M28" s="36" t="n">
        <x:f>IF(L28="","",L28-E28)</x:f>
        <x:v>0.7217400000000112</x:v>
      </x:c>
      <x:c r="N28" s="36" t="n">
        <x:v>267.96783</x:v>
      </x:c>
      <x:c r="O28" s="36" t="n">
        <x:f>IF(N28="","",N28-E28)</x:f>
        <x:v>-0.0321700000000078</x:v>
      </x:c>
      <x:c r="P28" s="36" t="n">
        <x:v>267.9803</x:v>
      </x:c>
      <x:c r="Q28" s="36" t="n">
        <x:f>IF(P28="","",P28-E28)</x:f>
        <x:v>-0.019700000000000273</x:v>
      </x:c>
      <x:c r="R28" s="36" t="n">
        <x:v>0.01512</x:v>
      </x:c>
      <x:c r="S28" s="36" t="n">
        <x:v>0.08908</x:v>
      </x:c>
      <x:c r="T28" s="36" t="n">
        <x:v>0.2</x:v>
      </x:c>
      <x:c r="U28" s="36" t="n">
        <x:v>0.21978</x:v>
      </x:c>
      <x:c r="V28" s="37" t="n">
        <x:v>18.89</x:v>
      </x:c>
      <x:c r="W28" s="37" t="n">
        <x:v>4.15</x:v>
      </x:c>
      <x:c r="X28" s="37" t="n">
        <x:v>0.11</x:v>
      </x:c>
      <x:c r="Y28" s="37" t="n">
        <x:v>0.41</x:v>
      </x:c>
      <x:c r="Z28" s="37" t="n">
        <x:f>IF(OR(U28="",U28=0),"",R28^2/U28^2*100)</x:f>
        <x:v>0.4732899081793431</x:v>
      </x:c>
      <x:c r="AA28" s="37" t="n">
        <x:f>IF(OR(U28="",U28=0),"",S28^2/U28^2*100)</x:f>
        <x:v>16.427976715537007</x:v>
      </x:c>
      <x:c r="AB28" s="37" t="n">
        <x:f>IF(OR(U28="",U28=0),"",T28^2/U28^2*100)</x:f>
        <x:v>82.81016562024844</x:v>
      </x:c>
      <x:c r="AC28" s="26" t="str">
        <x:f>IF(U28="","",IF(R28=MAX(R28:T28),"X",IF(S28=MAX(R28:T28),"Y","Z")))</x:f>
        <x:v>Z</x:v>
      </x:c>
      <x:c r="AD28" s="36" t="n">
        <x:f>IF(OR(R28="",R28=0,S28=""),"",S28/R28)</x:f>
        <x:v>5.891534391534392</x:v>
      </x:c>
      <x:c r="AE28" s="36" t="n">
        <x:f>IF(OR(R28="",R28=0,T28=""),"",T28/R28)</x:f>
        <x:v>13.227513227513228</x:v>
      </x:c>
      <x:c r="AF28" s="36" t="n">
        <x:f>IF(OR(R28="",F28=0),"",R28/F28)</x:f>
        <x:v>0.0015119999999999999</x:v>
      </x:c>
      <x:c r="AG28" s="36" t="n">
        <x:f>IF(OR(S28="",F28=0),"",S28/F28)</x:f>
        <x:v>0.008908000000000001</x:v>
      </x:c>
      <x:c r="AH28" s="36" t="n">
        <x:f>IF(OR(T28="",F28=0),"",T28/F28)</x:f>
        <x:v>0.02</x:v>
      </x:c>
      <x:c r="AI28" s="36" t="n">
        <x:f>IF(OR(U28="",F28=0),"",U28/F28)</x:f>
        <x:v>0.021978</x:v>
      </x:c>
      <x:c r="AJ28" s="26" t="str">
        <x:f>IF(G28=0,"NO VALID SUMMARY",IF(J28&lt;=Settings_Glossary!$B$4,"Excellent",IF(J28&lt;=Settings_Glossary!$B$5,"Acceptable","Review")))</x:f>
        <x:v>Excellent</x:v>
      </x:c>
      <x:c r="AK28" s="26" t="str">
        <x:f>IF(G28=0,"No valid repeats",IF(G28&lt;2,"Single repeat / repeat needed",IF(Y28&lt;=Settings_Glossary!$B$6,"Good","Review")))</x:f>
        <x:v>Good</x:v>
      </x:c>
      <x:c r="AL28" s="26" t="str">
        <x:v>Check gain scaling and directionality at higher amplifier setting</x:v>
      </x:c>
      <x:c r="AM28" s="26" t="str">
        <x:v>2 repeats per DAC, 268 Hz, DAC 1–15</x:v>
      </x:c>
    </x:row>
    <x:row r="29">
      <x:c r="A29" s="26" t="str">
        <x:v>K2</x:v>
      </x:c>
      <x:c r="B29" s="26" t="str">
        <x:v>Horizontal / flat</x:v>
      </x:c>
      <x:c r="C29" s="26" t="str">
        <x:v>Low–medium</x:v>
      </x:c>
      <x:c r="D29" s="26" t="str">
        <x:v>Pasted text (2)(2).txt</x:v>
      </x:c>
      <x:c r="E29" s="36" t="n">
        <x:v>268</x:v>
      </x:c>
      <x:c r="F29" s="37" t="n">
        <x:v>11</x:v>
      </x:c>
      <x:c r="G29" s="38" t="n">
        <x:v>2</x:v>
      </x:c>
      <x:c r="H29" s="36" t="n">
        <x:v>268.01539</x:v>
      </x:c>
      <x:c r="I29" s="36" t="n">
        <x:f>IF(H29="","",H29-E29)</x:f>
        <x:v>0.015390000000024884</x:v>
      </x:c>
      <x:c r="J29" s="36" t="n">
        <x:f>IF(I29="","",ABS(I29))</x:f>
        <x:v>0.015390000000024884</x:v>
      </x:c>
      <x:c r="K29" s="39" t="n">
        <x:f>IF(I29="","",ABS(I29/E29)*100)</x:f>
        <x:v>0.005742537313442121</x:v>
      </x:c>
      <x:c r="L29" s="36" t="n">
        <x:v>265.72649</x:v>
      </x:c>
      <x:c r="M29" s="36" t="n">
        <x:f>IF(L29="","",L29-E29)</x:f>
        <x:v>-2.2735099999999875</x:v>
      </x:c>
      <x:c r="N29" s="36" t="n">
        <x:v>268.07116</x:v>
      </x:c>
      <x:c r="O29" s="36" t="n">
        <x:f>IF(N29="","",N29-E29)</x:f>
        <x:v>0.07116000000002032</x:v>
      </x:c>
      <x:c r="P29" s="36" t="n">
        <x:v>267.9946</x:v>
      </x:c>
      <x:c r="Q29" s="36" t="n">
        <x:f>IF(P29="","",P29-E29)</x:f>
        <x:v>-0.005400000000008731</x:v>
      </x:c>
      <x:c r="R29" s="36" t="n">
        <x:v>0.01657</x:v>
      </x:c>
      <x:c r="S29" s="36" t="n">
        <x:v>0.10221</x:v>
      </x:c>
      <x:c r="T29" s="36" t="n">
        <x:v>0.22897</x:v>
      </x:c>
      <x:c r="U29" s="36" t="n">
        <x:v>0.25299</x:v>
      </x:c>
      <x:c r="V29" s="37" t="n">
        <x:v>8.2</x:v>
      </x:c>
      <x:c r="W29" s="37" t="n">
        <x:v>3.87</x:v>
      </x:c>
      <x:c r="X29" s="37" t="n">
        <x:v>0.96</x:v>
      </x:c>
      <x:c r="Y29" s="37" t="n">
        <x:v>0.15</x:v>
      </x:c>
      <x:c r="Z29" s="37" t="n">
        <x:f>IF(OR(U29="",U29=0),"",R29^2/U29^2*100)</x:f>
        <x:v>0.42898124642173413</x:v>
      </x:c>
      <x:c r="AA29" s="37" t="n">
        <x:f>IF(OR(U29="",U29=0),"",S29^2/U29^2*100)</x:f>
        <x:v>16.32225154213592</x:v>
      </x:c>
      <x:c r="AB29" s="37" t="n">
        <x:f>IF(OR(U29="",U29=0),"",T29^2/U29^2*100)</x:f>
        <x:v>81.9125522867615</x:v>
      </x:c>
      <x:c r="AC29" s="26" t="str">
        <x:f>IF(U29="","",IF(R29=MAX(R29:T29),"X",IF(S29=MAX(R29:T29),"Y","Z")))</x:f>
        <x:v>Z</x:v>
      </x:c>
      <x:c r="AD29" s="36" t="n">
        <x:f>IF(OR(R29="",R29=0,S29=""),"",S29/R29)</x:f>
        <x:v>6.168376584188291</x:v>
      </x:c>
      <x:c r="AE29" s="36" t="n">
        <x:f>IF(OR(R29="",R29=0,T29=""),"",T29/R29)</x:f>
        <x:v>13.818346409173204</x:v>
      </x:c>
      <x:c r="AF29" s="36" t="n">
        <x:f>IF(OR(R29="",F29=0),"",R29/F29)</x:f>
        <x:v>0.0015063636363636364</x:v>
      </x:c>
      <x:c r="AG29" s="36" t="n">
        <x:f>IF(OR(S29="",F29=0),"",S29/F29)</x:f>
        <x:v>0.00929181818181818</x:v>
      </x:c>
      <x:c r="AH29" s="36" t="n">
        <x:f>IF(OR(T29="",F29=0),"",T29/F29)</x:f>
        <x:v>0.020815454545454547</x:v>
      </x:c>
      <x:c r="AI29" s="36" t="n">
        <x:f>IF(OR(U29="",F29=0),"",U29/F29)</x:f>
        <x:v>0.02299909090909091</x:v>
      </x:c>
      <x:c r="AJ29" s="26" t="str">
        <x:f>IF(G29=0,"NO VALID SUMMARY",IF(J29&lt;=Settings_Glossary!$B$4,"Excellent",IF(J29&lt;=Settings_Glossary!$B$5,"Acceptable","Review")))</x:f>
        <x:v>Excellent</x:v>
      </x:c>
      <x:c r="AK29" s="26" t="str">
        <x:f>IF(G29=0,"No valid repeats",IF(G29&lt;2,"Single repeat / repeat needed",IF(Y29&lt;=Settings_Glossary!$B$6,"Good","Review")))</x:f>
        <x:v>Good</x:v>
      </x:c>
      <x:c r="AL29" s="26" t="str">
        <x:v>Check gain scaling and directionality at higher amplifier setting</x:v>
      </x:c>
      <x:c r="AM29" s="26" t="str">
        <x:v>2 repeats per DAC, 268 Hz, DAC 1–15</x:v>
      </x:c>
    </x:row>
    <x:row r="30">
      <x:c r="A30" s="26" t="str">
        <x:v>K2</x:v>
      </x:c>
      <x:c r="B30" s="26" t="str">
        <x:v>Horizontal / flat</x:v>
      </x:c>
      <x:c r="C30" s="26" t="str">
        <x:v>Low–medium</x:v>
      </x:c>
      <x:c r="D30" s="26" t="str">
        <x:v>Pasted text (2)(2).txt</x:v>
      </x:c>
      <x:c r="E30" s="36" t="n">
        <x:v>268</x:v>
      </x:c>
      <x:c r="F30" s="37" t="n">
        <x:v>12</x:v>
      </x:c>
      <x:c r="G30" s="38" t="n">
        <x:v>2</x:v>
      </x:c>
      <x:c r="H30" s="36" t="n">
        <x:v>268.1144</x:v>
      </x:c>
      <x:c r="I30" s="36" t="n">
        <x:f>IF(H30="","",H30-E30)</x:f>
        <x:v>0.11439999999998918</x:v>
      </x:c>
      <x:c r="J30" s="36" t="n">
        <x:f>IF(I30="","",ABS(I30))</x:f>
        <x:v>0.11439999999998918</x:v>
      </x:c>
      <x:c r="K30" s="39" t="n">
        <x:f>IF(I30="","",ABS(I30/E30)*100)</x:f>
        <x:v>0.042686567164175064</x:v>
      </x:c>
      <x:c r="L30" s="36" t="n">
        <x:v>265.74404</x:v>
      </x:c>
      <x:c r="M30" s="36" t="n">
        <x:f>IF(L30="","",L30-E30)</x:f>
        <x:v>-2.255960000000016</x:v>
      </x:c>
      <x:c r="N30" s="36" t="n">
        <x:v>268.15995</x:v>
      </x:c>
      <x:c r="O30" s="36" t="n">
        <x:f>IF(N30="","",N30-E30)</x:f>
        <x:v>0.15994999999998072</x:v>
      </x:c>
      <x:c r="P30" s="36" t="n">
        <x:v>268.10534</x:v>
      </x:c>
      <x:c r="Q30" s="36" t="n">
        <x:f>IF(P30="","",P30-E30)</x:f>
        <x:v>0.10534000000001242</x:v>
      </x:c>
      <x:c r="R30" s="36" t="n">
        <x:v>0.01904</x:v>
      </x:c>
      <x:c r="S30" s="36" t="n">
        <x:v>0.11573</x:v>
      </x:c>
      <x:c r="T30" s="36" t="n">
        <x:v>0.24645</x:v>
      </x:c>
      <x:c r="U30" s="36" t="n">
        <x:v>0.2738</x:v>
      </x:c>
      <x:c r="V30" s="37" t="n">
        <x:v>14.73</x:v>
      </x:c>
      <x:c r="W30" s="37" t="n">
        <x:v>5.39</x:v>
      </x:c>
      <x:c r="X30" s="37" t="n">
        <x:v>2.5</x:v>
      </x:c>
      <x:c r="Y30" s="37" t="n">
        <x:v>2.98</x:v>
      </x:c>
      <x:c r="Z30" s="37" t="n">
        <x:f>IF(OR(U30="",U30=0),"",R30^2/U30^2*100)</x:f>
        <x:v>0.48357851860112355</x:v>
      </x:c>
      <x:c r="AA30" s="37" t="n">
        <x:f>IF(OR(U30="",U30=0),"",S30^2/U30^2*100)</x:f>
        <x:v>17.86590493025946</x:v>
      </x:c>
      <x:c r="AB30" s="37" t="n">
        <x:f>IF(OR(U30="",U30=0),"",T30^2/U30^2*100)</x:f>
        <x:v>81.01972362566504</x:v>
      </x:c>
      <x:c r="AC30" s="26" t="str">
        <x:f>IF(U30="","",IF(R30=MAX(R30:T30),"X",IF(S30=MAX(R30:T30),"Y","Z")))</x:f>
        <x:v>Z</x:v>
      </x:c>
      <x:c r="AD30" s="36" t="n">
        <x:f>IF(OR(R30="",R30=0,S30=""),"",S30/R30)</x:f>
        <x:v>6.078256302521008</x:v>
      </x:c>
      <x:c r="AE30" s="36" t="n">
        <x:f>IF(OR(R30="",R30=0,T30=""),"",T30/R30)</x:f>
        <x:v>12.943802521008402</x:v>
      </x:c>
      <x:c r="AF30" s="36" t="n">
        <x:f>IF(OR(R30="",F30=0),"",R30/F30)</x:f>
        <x:v>0.0015866666666666668</x:v>
      </x:c>
      <x:c r="AG30" s="36" t="n">
        <x:f>IF(OR(S30="",F30=0),"",S30/F30)</x:f>
        <x:v>0.009644166666666667</x:v>
      </x:c>
      <x:c r="AH30" s="36" t="n">
        <x:f>IF(OR(T30="",F30=0),"",T30/F30)</x:f>
        <x:v>0.0205375</x:v>
      </x:c>
      <x:c r="AI30" s="36" t="n">
        <x:f>IF(OR(U30="",F30=0),"",U30/F30)</x:f>
        <x:v>0.022816666666666666</x:v>
      </x:c>
      <x:c r="AJ30" s="26" t="str">
        <x:f>IF(G30=0,"NO VALID SUMMARY",IF(J30&lt;=Settings_Glossary!$B$4,"Excellent",IF(J30&lt;=Settings_Glossary!$B$5,"Acceptable","Review")))</x:f>
        <x:v>Acceptable</x:v>
      </x:c>
      <x:c r="AK30" s="26" t="str">
        <x:f>IF(G30=0,"No valid repeats",IF(G30&lt;2,"Single repeat / repeat needed",IF(Y30&lt;=Settings_Glossary!$B$6,"Good","Review")))</x:f>
        <x:v>Good</x:v>
      </x:c>
      <x:c r="AL30" s="26" t="str">
        <x:v>Check gain scaling and directionality at higher amplifier setting</x:v>
      </x:c>
      <x:c r="AM30" s="26" t="str">
        <x:v>2 repeats per DAC, 268 Hz, DAC 1–15</x:v>
      </x:c>
    </x:row>
    <x:row r="31">
      <x:c r="A31" s="26" t="str">
        <x:v>K2</x:v>
      </x:c>
      <x:c r="B31" s="26" t="str">
        <x:v>Horizontal / flat</x:v>
      </x:c>
      <x:c r="C31" s="26" t="str">
        <x:v>Low–medium</x:v>
      </x:c>
      <x:c r="D31" s="26" t="str">
        <x:v>Pasted text (2)(2).txt</x:v>
      </x:c>
      <x:c r="E31" s="36" t="n">
        <x:v>268</x:v>
      </x:c>
      <x:c r="F31" s="37" t="n">
        <x:v>13</x:v>
      </x:c>
      <x:c r="G31" s="38" t="n">
        <x:v>2</x:v>
      </x:c>
      <x:c r="H31" s="36" t="n">
        <x:v>268.06594</x:v>
      </x:c>
      <x:c r="I31" s="36" t="n">
        <x:f>IF(H31="","",H31-E31)</x:f>
        <x:v>0.06594000000001188</x:v>
      </x:c>
      <x:c r="J31" s="36" t="n">
        <x:f>IF(I31="","",ABS(I31))</x:f>
        <x:v>0.06594000000001188</x:v>
      </x:c>
      <x:c r="K31" s="39" t="n">
        <x:f>IF(I31="","",ABS(I31/E31)*100)</x:f>
        <x:v>0.02460447761194473</x:v>
      </x:c>
      <x:c r="L31" s="36" t="n">
        <x:v>268.18199</x:v>
      </x:c>
      <x:c r="M31" s="36" t="n">
        <x:f>IF(L31="","",L31-E31)</x:f>
        <x:v>0.18198999999998478</x:v>
      </x:c>
      <x:c r="N31" s="36" t="n">
        <x:v>268.15418</x:v>
      </x:c>
      <x:c r="O31" s="36" t="n">
        <x:f>IF(N31="","",N31-E31)</x:f>
        <x:v>0.15417999999999665</x:v>
      </x:c>
      <x:c r="P31" s="36" t="n">
        <x:v>268.04086</x:v>
      </x:c>
      <x:c r="Q31" s="36" t="n">
        <x:f>IF(P31="","",P31-E31)</x:f>
        <x:v>0.04086000000000922</x:v>
      </x:c>
      <x:c r="R31" s="36" t="n">
        <x:v>0.02071</x:v>
      </x:c>
      <x:c r="S31" s="36" t="n">
        <x:v>0.12012</x:v>
      </x:c>
      <x:c r="T31" s="36" t="n">
        <x:v>0.26965</x:v>
      </x:c>
      <x:c r="U31" s="36" t="n">
        <x:v>0.29691</x:v>
      </x:c>
      <x:c r="V31" s="37" t="n">
        <x:v>0.8</x:v>
      </x:c>
      <x:c r="W31" s="37" t="n">
        <x:v>1.88</x:v>
      </x:c>
      <x:c r="X31" s="37" t="n">
        <x:v>0.06</x:v>
      </x:c>
      <x:c r="Y31" s="37" t="n">
        <x:v>0.43</x:v>
      </x:c>
      <x:c r="Z31" s="37" t="n">
        <x:f>IF(OR(U31="",U31=0),"",R31^2/U31^2*100)</x:f>
        <x:v>0.48653103434110456</x:v>
      </x:c>
      <x:c r="AA31" s="37" t="n">
        <x:f>IF(OR(U31="",U31=0),"",S31^2/U31^2*100)</x:f>
        <x:v>16.367449027294974</x:v>
      </x:c>
      <x:c r="AB31" s="37" t="n">
        <x:f>IF(OR(U31="",U31=0),"",T31^2/U31^2*100)</x:f>
        <x:v>82.48048372125089</x:v>
      </x:c>
      <x:c r="AC31" s="26" t="str">
        <x:f>IF(U31="","",IF(R31=MAX(R31:T31),"X",IF(S31=MAX(R31:T31),"Y","Z")))</x:f>
        <x:v>Z</x:v>
      </x:c>
      <x:c r="AD31" s="36" t="n">
        <x:f>IF(OR(R31="",R31=0,S31=""),"",S31/R31)</x:f>
        <x:v>5.800096571704491</x:v>
      </x:c>
      <x:c r="AE31" s="36" t="n">
        <x:f>IF(OR(R31="",R31=0,T31=""),"",T31/R31)</x:f>
        <x:v>13.020280057943022</x:v>
      </x:c>
      <x:c r="AF31" s="36" t="n">
        <x:f>IF(OR(R31="",F31=0),"",R31/F31)</x:f>
        <x:v>0.001593076923076923</x:v>
      </x:c>
      <x:c r="AG31" s="36" t="n">
        <x:f>IF(OR(S31="",F31=0),"",S31/F31)</x:f>
        <x:v>0.00924</x:v>
      </x:c>
      <x:c r="AH31" s="36" t="n">
        <x:f>IF(OR(T31="",F31=0),"",T31/F31)</x:f>
        <x:v>0.020742307692307692</x:v>
      </x:c>
      <x:c r="AI31" s="36" t="n">
        <x:f>IF(OR(U31="",F31=0),"",U31/F31)</x:f>
        <x:v>0.02283923076923077</x:v>
      </x:c>
      <x:c r="AJ31" s="26" t="str">
        <x:f>IF(G31=0,"NO VALID SUMMARY",IF(J31&lt;=Settings_Glossary!$B$4,"Excellent",IF(J31&lt;=Settings_Glossary!$B$5,"Acceptable","Review")))</x:f>
        <x:v>Excellent</x:v>
      </x:c>
      <x:c r="AK31" s="26" t="str">
        <x:f>IF(G31=0,"No valid repeats",IF(G31&lt;2,"Single repeat / repeat needed",IF(Y31&lt;=Settings_Glossary!$B$6,"Good","Review")))</x:f>
        <x:v>Good</x:v>
      </x:c>
      <x:c r="AL31" s="26" t="str">
        <x:v>Check gain scaling and directionality at higher amplifier setting</x:v>
      </x:c>
      <x:c r="AM31" s="26" t="str">
        <x:v>2 repeats per DAC, 268 Hz, DAC 1–15</x:v>
      </x:c>
    </x:row>
    <x:row r="32">
      <x:c r="A32" s="26" t="str">
        <x:v>K2</x:v>
      </x:c>
      <x:c r="B32" s="26" t="str">
        <x:v>Horizontal / flat</x:v>
      </x:c>
      <x:c r="C32" s="26" t="str">
        <x:v>Low–medium</x:v>
      </x:c>
      <x:c r="D32" s="26" t="str">
        <x:v>Pasted text (2)(2).txt</x:v>
      </x:c>
      <x:c r="E32" s="36" t="n">
        <x:v>268</x:v>
      </x:c>
      <x:c r="F32" s="37" t="n">
        <x:v>14</x:v>
      </x:c>
      <x:c r="G32" s="38" t="n">
        <x:v>2</x:v>
      </x:c>
      <x:c r="H32" s="36" t="n">
        <x:v>268.05864</x:v>
      </x:c>
      <x:c r="I32" s="36" t="n">
        <x:f>IF(H32="","",H32-E32)</x:f>
        <x:v>0.05864000000002534</x:v>
      </x:c>
      <x:c r="J32" s="36" t="n">
        <x:f>IF(I32="","",ABS(I32))</x:f>
        <x:v>0.05864000000002534</x:v>
      </x:c>
      <x:c r="K32" s="39" t="n">
        <x:f>IF(I32="","",ABS(I32/E32)*100)</x:f>
        <x:v>0.02188059701493483</x:v>
      </x:c>
      <x:c r="L32" s="36" t="n">
        <x:v>271.53515</x:v>
      </x:c>
      <x:c r="M32" s="36" t="n">
        <x:f>IF(L32="","",L32-E32)</x:f>
        <x:v>3.5351499999999874</x:v>
      </x:c>
      <x:c r="N32" s="36" t="n">
        <x:v>268.10166</x:v>
      </x:c>
      <x:c r="O32" s="36" t="n">
        <x:f>IF(N32="","",N32-E32)</x:f>
        <x:v>0.10165999999998121</x:v>
      </x:c>
      <x:c r="P32" s="36" t="n">
        <x:v>268.04376</x:v>
      </x:c>
      <x:c r="Q32" s="36" t="n">
        <x:f>IF(P32="","",P32-E32)</x:f>
        <x:v>0.04376000000002023</x:v>
      </x:c>
      <x:c r="R32" s="36" t="n">
        <x:v>0.01636</x:v>
      </x:c>
      <x:c r="S32" s="36" t="n">
        <x:v>0.13241</x:v>
      </x:c>
      <x:c r="T32" s="36" t="n">
        <x:v>0.29583</x:v>
      </x:c>
      <x:c r="U32" s="36" t="n">
        <x:v>0.32515</x:v>
      </x:c>
      <x:c r="V32" s="37" t="n">
        <x:v>34.73</x:v>
      </x:c>
      <x:c r="W32" s="37" t="n">
        <x:v>1.93</x:v>
      </x:c>
      <x:c r="X32" s="37" t="n">
        <x:v>0.21</x:v>
      </x:c>
      <x:c r="Y32" s="37" t="n">
        <x:v>0.06</x:v>
      </x:c>
      <x:c r="Z32" s="37" t="n">
        <x:f>IF(OR(U32="",U32=0),"",R32^2/U32^2*100)</x:f>
        <x:v>0.25316232877436307</x:v>
      </x:c>
      <x:c r="AA32" s="37" t="n">
        <x:f>IF(OR(U32="",U32=0),"",S32^2/U32^2*100)</x:f>
        <x:v>16.583418258867216</x:v>
      </x:c>
      <x:c r="AB32" s="37" t="n">
        <x:f>IF(OR(U32="",U32=0),"",T32^2/U32^2*100)</x:f>
        <x:v>82.77837761580082</x:v>
      </x:c>
      <x:c r="AC32" s="26" t="str">
        <x:f>IF(U32="","",IF(R32=MAX(R32:T32),"X",IF(S32=MAX(R32:T32),"Y","Z")))</x:f>
        <x:v>Z</x:v>
      </x:c>
      <x:c r="AD32" s="36" t="n">
        <x:f>IF(OR(R32="",R32=0,S32=""),"",S32/R32)</x:f>
        <x:v>8.093520782396089</x:v>
      </x:c>
      <x:c r="AE32" s="36" t="n">
        <x:f>IF(OR(R32="",R32=0,T32=""),"",T32/R32)</x:f>
        <x:v>18.082518337408313</x:v>
      </x:c>
      <x:c r="AF32" s="36" t="n">
        <x:f>IF(OR(R32="",F32=0),"",R32/F32)</x:f>
        <x:v>0.0011685714285714285</x:v>
      </x:c>
      <x:c r="AG32" s="36" t="n">
        <x:f>IF(OR(S32="",F32=0),"",S32/F32)</x:f>
        <x:v>0.009457857142857143</x:v>
      </x:c>
      <x:c r="AH32" s="36" t="n">
        <x:f>IF(OR(T32="",F32=0),"",T32/F32)</x:f>
        <x:v>0.021130714285714284</x:v>
      </x:c>
      <x:c r="AI32" s="36" t="n">
        <x:f>IF(OR(U32="",F32=0),"",U32/F32)</x:f>
        <x:v>0.023225</x:v>
      </x:c>
      <x:c r="AJ32" s="26" t="str">
        <x:f>IF(G32=0,"NO VALID SUMMARY",IF(J32&lt;=Settings_Glossary!$B$4,"Excellent",IF(J32&lt;=Settings_Glossary!$B$5,"Acceptable","Review")))</x:f>
        <x:v>Excellent</x:v>
      </x:c>
      <x:c r="AK32" s="26" t="str">
        <x:f>IF(G32=0,"No valid repeats",IF(G32&lt;2,"Single repeat / repeat needed",IF(Y32&lt;=Settings_Glossary!$B$6,"Good","Review")))</x:f>
        <x:v>Good</x:v>
      </x:c>
      <x:c r="AL32" s="26" t="str">
        <x:v>Check gain scaling and directionality at higher amplifier setting</x:v>
      </x:c>
      <x:c r="AM32" s="26" t="str">
        <x:v>2 repeats per DAC, 268 Hz, DAC 1–15</x:v>
      </x:c>
    </x:row>
    <x:row r="33">
      <x:c r="A33" s="26" t="str">
        <x:v>K2</x:v>
      </x:c>
      <x:c r="B33" s="26" t="str">
        <x:v>Horizontal / flat</x:v>
      </x:c>
      <x:c r="C33" s="26" t="str">
        <x:v>Low–medium</x:v>
      </x:c>
      <x:c r="D33" s="26" t="str">
        <x:v>Pasted text (2)(2).txt</x:v>
      </x:c>
      <x:c r="E33" s="36" t="n">
        <x:v>268</x:v>
      </x:c>
      <x:c r="F33" s="37" t="n">
        <x:v>15</x:v>
      </x:c>
      <x:c r="G33" s="38" t="n">
        <x:v>2</x:v>
      </x:c>
      <x:c r="H33" s="36" t="n">
        <x:v>268.00872</x:v>
      </x:c>
      <x:c r="I33" s="36" t="n">
        <x:f>IF(H33="","",H33-E33)</x:f>
        <x:v>0.00871999999998252</x:v>
      </x:c>
      <x:c r="J33" s="36" t="n">
        <x:f>IF(I33="","",ABS(I33))</x:f>
        <x:v>0.00871999999998252</x:v>
      </x:c>
      <x:c r="K33" s="39" t="n">
        <x:f>IF(I33="","",ABS(I33/E33)*100)</x:f>
        <x:v>0.0032537313432770593</x:v>
      </x:c>
      <x:c r="L33" s="36" t="n">
        <x:v>264.29058</x:v>
      </x:c>
      <x:c r="M33" s="36" t="n">
        <x:f>IF(L33="","",L33-E33)</x:f>
        <x:v>-3.709420000000023</x:v>
      </x:c>
      <x:c r="N33" s="36" t="n">
        <x:v>268.02449</x:v>
      </x:c>
      <x:c r="O33" s="36" t="n">
        <x:f>IF(N33="","",N33-E33)</x:f>
        <x:v>0.024490000000014334</x:v>
      </x:c>
      <x:c r="P33" s="36" t="n">
        <x:v>268.00781</x:v>
      </x:c>
      <x:c r="Q33" s="36" t="n">
        <x:f>IF(P33="","",P33-E33)</x:f>
        <x:v>0.007810000000006312</x:v>
      </x:c>
      <x:c r="R33" s="36" t="n">
        <x:v>0.01966</x:v>
      </x:c>
      <x:c r="S33" s="36" t="n">
        <x:v>0.13133</x:v>
      </x:c>
      <x:c r="T33" s="36" t="n">
        <x:v>0.31501</x:v>
      </x:c>
      <x:c r="U33" s="36" t="n">
        <x:v>0.34302</x:v>
      </x:c>
      <x:c r="V33" s="37" t="n">
        <x:v>31.04</x:v>
      </x:c>
      <x:c r="W33" s="37" t="n">
        <x:v>5.21</x:v>
      </x:c>
      <x:c r="X33" s="37" t="n">
        <x:v>1.67</x:v>
      </x:c>
      <x:c r="Y33" s="37" t="n">
        <x:v>0.45</x:v>
      </x:c>
      <x:c r="Z33" s="37" t="n">
        <x:f>IF(OR(U33="",U33=0),"",R33^2/U33^2*100)</x:f>
        <x:v>0.32849452969132614</x:v>
      </x:c>
      <x:c r="AA33" s="37" t="n">
        <x:f>IF(OR(U33="",U33=0),"",S33^2/U33^2*100)</x:f>
        <x:v>14.658482178013625</x:v>
      </x:c>
      <x:c r="AB33" s="37" t="n">
        <x:f>IF(OR(U33="",U33=0),"",T33^2/U33^2*100)</x:f>
        <x:v>84.33537807273068</x:v>
      </x:c>
      <x:c r="AC33" s="26" t="str">
        <x:f>IF(U33="","",IF(R33=MAX(R33:T33),"X",IF(S33=MAX(R33:T33),"Y","Z")))</x:f>
        <x:v>Z</x:v>
      </x:c>
      <x:c r="AD33" s="36" t="n">
        <x:f>IF(OR(R33="",R33=0,S33=""),"",S33/R33)</x:f>
        <x:v>6.680061037639878</x:v>
      </x:c>
      <x:c r="AE33" s="36" t="n">
        <x:f>IF(OR(R33="",R33=0,T33=""),"",T33/R33)</x:f>
        <x:v>16.02288911495422</x:v>
      </x:c>
      <x:c r="AF33" s="36" t="n">
        <x:f>IF(OR(R33="",F33=0),"",R33/F33)</x:f>
        <x:v>0.0013106666666666668</x:v>
      </x:c>
      <x:c r="AG33" s="36" t="n">
        <x:f>IF(OR(S33="",F33=0),"",S33/F33)</x:f>
        <x:v>0.008755333333333334</x:v>
      </x:c>
      <x:c r="AH33" s="36" t="n">
        <x:f>IF(OR(T33="",F33=0),"",T33/F33)</x:f>
        <x:v>0.021000666666666667</x:v>
      </x:c>
      <x:c r="AI33" s="36" t="n">
        <x:f>IF(OR(U33="",F33=0),"",U33/F33)</x:f>
        <x:v>0.022868</x:v>
      </x:c>
      <x:c r="AJ33" s="26" t="str">
        <x:f>IF(G33=0,"NO VALID SUMMARY",IF(J33&lt;=Settings_Glossary!$B$4,"Excellent",IF(J33&lt;=Settings_Glossary!$B$5,"Acceptable","Review")))</x:f>
        <x:v>Excellent</x:v>
      </x:c>
      <x:c r="AK33" s="26" t="str">
        <x:f>IF(G33=0,"No valid repeats",IF(G33&lt;2,"Single repeat / repeat needed",IF(Y33&lt;=Settings_Glossary!$B$6,"Good","Review")))</x:f>
        <x:v>Good</x:v>
      </x:c>
      <x:c r="AL33" s="26" t="str">
        <x:v>Check gain scaling and directionality at higher amplifier setting</x:v>
      </x:c>
      <x:c r="AM33" s="26" t="str">
        <x:v>2 repeats per DAC, 268 Hz, DAC 1–15</x:v>
      </x:c>
    </x:row>
    <x:row r="34">
      <x:c r="A34" s="26" t="str">
        <x:v>K3</x:v>
      </x:c>
      <x:c r="B34" s="26" t="str">
        <x:v>Horizontal / flat</x:v>
      </x:c>
      <x:c r="C34" s="26" t="str">
        <x:v>High</x:v>
      </x:c>
      <x:c r="D34" s="26" t="str">
        <x:v>Pasted text (3).txt</x:v>
      </x:c>
      <x:c r="E34" s="36" t="n">
        <x:v>268</x:v>
      </x:c>
      <x:c r="F34" s="37" t="n">
        <x:v>1</x:v>
      </x:c>
      <x:c r="G34" s="38" t="n">
        <x:v>2</x:v>
      </x:c>
      <x:c r="H34" s="36" t="n">
        <x:v>267.51714</x:v>
      </x:c>
      <x:c r="I34" s="36" t="n">
        <x:f>IF(H34="","",H34-E34)</x:f>
        <x:v>-0.4828600000000165</x:v>
      </x:c>
      <x:c r="J34" s="36" t="n">
        <x:f>IF(I34="","",ABS(I34))</x:f>
        <x:v>0.4828600000000165</x:v>
      </x:c>
      <x:c r="K34" s="39" t="n">
        <x:f>IF(I34="","",ABS(I34/E34)*100)</x:f>
        <x:v>0.1801716417910509</x:v>
      </x:c>
      <x:c r="L34" s="36" t="n">
        <x:v>269.41646</x:v>
      </x:c>
      <x:c r="M34" s="36" t="n">
        <x:f>IF(L34="","",L34-E34)</x:f>
        <x:v>1.4164599999999723</x:v>
      </x:c>
      <x:c r="N34" s="36" t="n">
        <x:v>267.53628</x:v>
      </x:c>
      <x:c r="O34" s="36" t="n">
        <x:f>IF(N34="","",N34-E34)</x:f>
        <x:v>-0.46372000000002345</x:v>
      </x:c>
      <x:c r="P34" s="36" t="n">
        <x:v>274.1931</x:v>
      </x:c>
      <x:c r="Q34" s="36" t="n">
        <x:f>IF(P34="","",P34-E34)</x:f>
        <x:v>6.193100000000015</x:v>
      </x:c>
      <x:c r="R34" s="36" t="n">
        <x:v>0.01661</x:v>
      </x:c>
      <x:c r="S34" s="36" t="n">
        <x:v>0.07681</x:v>
      </x:c>
      <x:c r="T34" s="36" t="n">
        <x:v>0.02321</x:v>
      </x:c>
      <x:c r="U34" s="36" t="n">
        <x:v>0.08313</x:v>
      </x:c>
      <x:c r="V34" s="37" t="n">
        <x:v>11.17</x:v>
      </x:c>
      <x:c r="W34" s="37" t="n">
        <x:v>23.34</x:v>
      </x:c>
      <x:c r="X34" s="37" t="n">
        <x:v>3.07</x:v>
      </x:c>
      <x:c r="Y34" s="37" t="n">
        <x:v>20.89</x:v>
      </x:c>
      <x:c r="Z34" s="37" t="n">
        <x:f>IF(OR(U34="",U34=0),"",R34^2/U34^2*100)</x:f>
        <x:v>3.9923049194202025</x:v>
      </x:c>
      <x:c r="AA34" s="37" t="n">
        <x:f>IF(OR(U34="",U34=0),"",S34^2/U34^2*100)</x:f>
        <x:v>85.37288725377688</x:v>
      </x:c>
      <x:c r="AB34" s="37" t="n">
        <x:f>IF(OR(U34="",U34=0),"",T34^2/U34^2*100)</x:f>
        <x:v>7.795333858931926</x:v>
      </x:c>
      <x:c r="AC34" s="26" t="str">
        <x:f>IF(U34="","",IF(R34=MAX(R34:T34),"X",IF(S34=MAX(R34:T34),"Y","Z")))</x:f>
        <x:v>Y</x:v>
      </x:c>
      <x:c r="AD34" s="36" t="n">
        <x:f>IF(OR(R34="",R34=0,S34=""),"",S34/R34)</x:f>
        <x:v>4.6243226971703795</x:v>
      </x:c>
      <x:c r="AE34" s="36" t="n">
        <x:f>IF(OR(R34="",R34=0,T34=""),"",T34/R34)</x:f>
        <x:v>1.3973509933774835</x:v>
      </x:c>
      <x:c r="AF34" s="36" t="n">
        <x:f>IF(OR(R34="",F34=0),"",R34/F34)</x:f>
        <x:v>0.01661</x:v>
      </x:c>
      <x:c r="AG34" s="36" t="n">
        <x:f>IF(OR(S34="",F34=0),"",S34/F34)</x:f>
        <x:v>0.07681</x:v>
      </x:c>
      <x:c r="AH34" s="36" t="n">
        <x:f>IF(OR(T34="",F34=0),"",T34/F34)</x:f>
        <x:v>0.02321</x:v>
      </x:c>
      <x:c r="AI34" s="36" t="n">
        <x:f>IF(OR(U34="",F34=0),"",U34/F34)</x:f>
        <x:v>0.08313</x:v>
      </x:c>
      <x:c r="AJ34" s="26" t="str">
        <x:f>IF(G34=0,"NO VALID SUMMARY",IF(J34&lt;=Settings_Glossary!$B$4,"Excellent",IF(J34&lt;=Settings_Glossary!$B$5,"Acceptable","Review")))</x:f>
        <x:v>Acceptable</x:v>
      </x:c>
      <x:c r="AK34" s="26" t="str">
        <x:f>IF(G34=0,"No valid repeats",IF(G34&lt;2,"Single repeat / repeat needed",IF(Y34&lt;=Settings_Glossary!$B$6,"Good","Review")))</x:f>
        <x:v>Review</x:v>
      </x:c>
      <x:c r="AL34" s="26" t="str">
        <x:v>Characterize strong-response region and nonlinear gain</x:v>
      </x:c>
      <x:c r="AM34" s="26" t="str">
        <x:v>2 repeats per DAC, 268 Hz, DAC 1–15</x:v>
      </x:c>
    </x:row>
    <x:row r="35">
      <x:c r="A35" s="26" t="str">
        <x:v>K3</x:v>
      </x:c>
      <x:c r="B35" s="26" t="str">
        <x:v>Horizontal / flat</x:v>
      </x:c>
      <x:c r="C35" s="26" t="str">
        <x:v>High</x:v>
      </x:c>
      <x:c r="D35" s="26" t="str">
        <x:v>Pasted text (3).txt</x:v>
      </x:c>
      <x:c r="E35" s="36" t="n">
        <x:v>268</x:v>
      </x:c>
      <x:c r="F35" s="37" t="n">
        <x:v>2</x:v>
      </x:c>
      <x:c r="G35" s="38" t="n">
        <x:v>2</x:v>
      </x:c>
      <x:c r="H35" s="36" t="n">
        <x:v>268.75266</x:v>
      </x:c>
      <x:c r="I35" s="36" t="n">
        <x:f>IF(H35="","",H35-E35)</x:f>
        <x:v>0.7526599999999917</x:v>
      </x:c>
      <x:c r="J35" s="36" t="n">
        <x:f>IF(I35="","",ABS(I35))</x:f>
        <x:v>0.7526599999999917</x:v>
      </x:c>
      <x:c r="K35" s="39" t="n">
        <x:f>IF(I35="","",ABS(I35/E35)*100)</x:f>
        <x:v>0.28084328358208643</x:v>
      </x:c>
      <x:c r="L35" s="36" t="n">
        <x:v>267.15145</x:v>
      </x:c>
      <x:c r="M35" s="36" t="n">
        <x:f>IF(L35="","",L35-E35)</x:f>
        <x:v>-0.8485499999999888</x:v>
      </x:c>
      <x:c r="N35" s="36" t="n">
        <x:v>268.90022</x:v>
      </x:c>
      <x:c r="O35" s="36" t="n">
        <x:f>IF(N35="","",N35-E35)</x:f>
        <x:v>0.9002199999999903</x:v>
      </x:c>
      <x:c r="P35" s="36" t="n">
        <x:v>267.9989</x:v>
      </x:c>
      <x:c r="Q35" s="36" t="n">
        <x:f>IF(P35="","",P35-E35)</x:f>
        <x:v>-0.0011000000000080945</x:v>
      </x:c>
      <x:c r="R35" s="36" t="n">
        <x:v>0.01723</x:v>
      </x:c>
      <x:c r="S35" s="36" t="n">
        <x:v>0.158</x:v>
      </x:c>
      <x:c r="T35" s="36" t="n">
        <x:v>0.09108</x:v>
      </x:c>
      <x:c r="U35" s="36" t="n">
        <x:v>0.18529</x:v>
      </x:c>
      <x:c r="V35" s="37" t="n">
        <x:v>20.08</x:v>
      </x:c>
      <x:c r="W35" s="37" t="n">
        <x:v>0.99</x:v>
      </x:c>
      <x:c r="X35" s="37" t="n">
        <x:v>3.9</x:v>
      </x:c>
      <x:c r="Y35" s="37" t="n">
        <x:v>2.22</x:v>
      </x:c>
      <x:c r="Z35" s="37" t="n">
        <x:f>IF(OR(U35="",U35=0),"",R35^2/U35^2*100)</x:f>
        <x:v>0.8647022564331616</x:v>
      </x:c>
      <x:c r="AA35" s="37" t="n">
        <x:f>IF(OR(U35="",U35=0),"",S35^2/U35^2*100)</x:f>
        <x:v>72.71268994104024</x:v>
      </x:c>
      <x:c r="AB35" s="37" t="n">
        <x:f>IF(OR(U35="",U35=0),"",T35^2/U35^2*100)</x:f>
        <x:v>24.16251191830281</x:v>
      </x:c>
      <x:c r="AC35" s="26" t="str">
        <x:f>IF(U35="","",IF(R35=MAX(R35:T35),"X",IF(S35=MAX(R35:T35),"Y","Z")))</x:f>
        <x:v>Y</x:v>
      </x:c>
      <x:c r="AD35" s="36" t="n">
        <x:f>IF(OR(R35="",R35=0,S35=""),"",S35/R35)</x:f>
        <x:v>9.170052234474754</x:v>
      </x:c>
      <x:c r="AE35" s="36" t="n">
        <x:f>IF(OR(R35="",R35=0,T35=""),"",T35/R35)</x:f>
        <x:v>5.286128845037725</x:v>
      </x:c>
      <x:c r="AF35" s="36" t="n">
        <x:f>IF(OR(R35="",F35=0),"",R35/F35)</x:f>
        <x:v>0.008615</x:v>
      </x:c>
      <x:c r="AG35" s="36" t="n">
        <x:f>IF(OR(S35="",F35=0),"",S35/F35)</x:f>
        <x:v>0.079</x:v>
      </x:c>
      <x:c r="AH35" s="36" t="n">
        <x:f>IF(OR(T35="",F35=0),"",T35/F35)</x:f>
        <x:v>0.04554</x:v>
      </x:c>
      <x:c r="AI35" s="36" t="n">
        <x:f>IF(OR(U35="",F35=0),"",U35/F35)</x:f>
        <x:v>0.092645</x:v>
      </x:c>
      <x:c r="AJ35" s="26" t="str">
        <x:f>IF(G35=0,"NO VALID SUMMARY",IF(J35&lt;=Settings_Glossary!$B$4,"Excellent",IF(J35&lt;=Settings_Glossary!$B$5,"Acceptable","Review")))</x:f>
        <x:v>Review</x:v>
      </x:c>
      <x:c r="AK35" s="26" t="str">
        <x:f>IF(G35=0,"No valid repeats",IF(G35&lt;2,"Single repeat / repeat needed",IF(Y35&lt;=Settings_Glossary!$B$6,"Good","Review")))</x:f>
        <x:v>Good</x:v>
      </x:c>
      <x:c r="AL35" s="26" t="str">
        <x:v>Characterize strong-response region and nonlinear gain</x:v>
      </x:c>
      <x:c r="AM35" s="26" t="str">
        <x:v>2 repeats per DAC, 268 Hz, DAC 1–15</x:v>
      </x:c>
    </x:row>
    <x:row r="36">
      <x:c r="A36" s="26" t="str">
        <x:v>K3</x:v>
      </x:c>
      <x:c r="B36" s="26" t="str">
        <x:v>Horizontal / flat</x:v>
      </x:c>
      <x:c r="C36" s="26" t="str">
        <x:v>High</x:v>
      </x:c>
      <x:c r="D36" s="26" t="str">
        <x:v>Pasted text (3).txt</x:v>
      </x:c>
      <x:c r="E36" s="36" t="n">
        <x:v>268</x:v>
      </x:c>
      <x:c r="F36" s="37" t="n">
        <x:v>3</x:v>
      </x:c>
      <x:c r="G36" s="38" t="n">
        <x:v>2</x:v>
      </x:c>
      <x:c r="H36" s="36" t="n">
        <x:v>268.24535</x:v>
      </x:c>
      <x:c r="I36" s="36" t="n">
        <x:f>IF(H36="","",H36-E36)</x:f>
        <x:v>0.24534999999997353</x:v>
      </x:c>
      <x:c r="J36" s="36" t="n">
        <x:f>IF(I36="","",ABS(I36))</x:f>
        <x:v>0.24534999999997353</x:v>
      </x:c>
      <x:c r="K36" s="39" t="n">
        <x:f>IF(I36="","",ABS(I36/E36)*100)</x:f>
        <x:v>0.09154850746267669</x:v>
      </x:c>
      <x:c r="L36" s="36" t="n">
        <x:v>269.4826</x:v>
      </x:c>
      <x:c r="M36" s="36" t="n">
        <x:f>IF(L36="","",L36-E36)</x:f>
        <x:v>1.4825999999999908</x:v>
      </x:c>
      <x:c r="N36" s="36" t="n">
        <x:v>268.5775</x:v>
      </x:c>
      <x:c r="O36" s="36" t="n">
        <x:f>IF(N36="","",N36-E36)</x:f>
        <x:v>0.5774999999999864</x:v>
      </x:c>
      <x:c r="P36" s="36" t="n">
        <x:v>268.06433</x:v>
      </x:c>
      <x:c r="Q36" s="36" t="n">
        <x:f>IF(P36="","",P36-E36)</x:f>
        <x:v>0.06432999999998401</x:v>
      </x:c>
      <x:c r="R36" s="36" t="n">
        <x:v>0.02769</x:v>
      </x:c>
      <x:c r="S36" s="36" t="n">
        <x:v>0.1361</x:v>
      </x:c>
      <x:c r="T36" s="36" t="n">
        <x:v>0.21052</x:v>
      </x:c>
      <x:c r="U36" s="36" t="n">
        <x:v>0.25562</x:v>
      </x:c>
      <x:c r="V36" s="37" t="n">
        <x:v>22.83</x:v>
      </x:c>
      <x:c r="W36" s="37" t="n">
        <x:v>20.48</x:v>
      </x:c>
      <x:c r="X36" s="37" t="n">
        <x:v>10.85</x:v>
      </x:c>
      <x:c r="Y36" s="37" t="n">
        <x:v>12.38</x:v>
      </x:c>
      <x:c r="Z36" s="37" t="n">
        <x:f>IF(OR(U36="",U36=0),"",R36^2/U36^2*100)</x:f>
        <x:v>1.1734274689549766</x:v>
      </x:c>
      <x:c r="AA36" s="37" t="n">
        <x:f>IF(OR(U36="",U36=0),"",S36^2/U36^2*100)</x:f>
        <x:v>28.348271885491645</x:v>
      </x:c>
      <x:c r="AB36" s="37" t="n">
        <x:f>IF(OR(U36="",U36=0),"",T36^2/U36^2*100)</x:f>
        <x:v>67.82613370483253</x:v>
      </x:c>
      <x:c r="AC36" s="26" t="str">
        <x:f>IF(U36="","",IF(R36=MAX(R36:T36),"X",IF(S36=MAX(R36:T36),"Y","Z")))</x:f>
        <x:v>Z</x:v>
      </x:c>
      <x:c r="AD36" s="36" t="n">
        <x:f>IF(OR(R36="",R36=0,S36=""),"",S36/R36)</x:f>
        <x:v>4.915131816540267</x:v>
      </x:c>
      <x:c r="AE36" s="36" t="n">
        <x:f>IF(OR(R36="",R36=0,T36=""),"",T36/R36)</x:f>
        <x:v>7.602744673167209</x:v>
      </x:c>
      <x:c r="AF36" s="36" t="n">
        <x:f>IF(OR(R36="",F36=0),"",R36/F36)</x:f>
        <x:v>0.00923</x:v>
      </x:c>
      <x:c r="AG36" s="36" t="n">
        <x:f>IF(OR(S36="",F36=0),"",S36/F36)</x:f>
        <x:v>0.045366666666666666</x:v>
      </x:c>
      <x:c r="AH36" s="36" t="n">
        <x:f>IF(OR(T36="",F36=0),"",T36/F36)</x:f>
        <x:v>0.07017333333333334</x:v>
      </x:c>
      <x:c r="AI36" s="36" t="n">
        <x:f>IF(OR(U36="",F36=0),"",U36/F36)</x:f>
        <x:v>0.08520666666666667</x:v>
      </x:c>
      <x:c r="AJ36" s="26" t="str">
        <x:f>IF(G36=0,"NO VALID SUMMARY",IF(J36&lt;=Settings_Glossary!$B$4,"Excellent",IF(J36&lt;=Settings_Glossary!$B$5,"Acceptable","Review")))</x:f>
        <x:v>Acceptable</x:v>
      </x:c>
      <x:c r="AK36" s="26" t="str">
        <x:f>IF(G36=0,"No valid repeats",IF(G36&lt;2,"Single repeat / repeat needed",IF(Y36&lt;=Settings_Glossary!$B$6,"Good","Review")))</x:f>
        <x:v>Review</x:v>
      </x:c>
      <x:c r="AL36" s="26" t="str">
        <x:v>Characterize strong-response region and nonlinear gain</x:v>
      </x:c>
      <x:c r="AM36" s="26" t="str">
        <x:v>2 repeats per DAC, 268 Hz, DAC 1–15</x:v>
      </x:c>
    </x:row>
    <x:row r="37">
      <x:c r="A37" s="26" t="str">
        <x:v>K3</x:v>
      </x:c>
      <x:c r="B37" s="26" t="str">
        <x:v>Horizontal / flat</x:v>
      </x:c>
      <x:c r="C37" s="26" t="str">
        <x:v>High</x:v>
      </x:c>
      <x:c r="D37" s="26" t="str">
        <x:v>Pasted text (3).txt</x:v>
      </x:c>
      <x:c r="E37" s="36" t="n">
        <x:v>268</x:v>
      </x:c>
      <x:c r="F37" s="37" t="n">
        <x:v>4</x:v>
      </x:c>
      <x:c r="G37" s="38" t="n">
        <x:v>2</x:v>
      </x:c>
      <x:c r="H37" s="36" t="n">
        <x:v>268.17503</x:v>
      </x:c>
      <x:c r="I37" s="36" t="n">
        <x:f>IF(H37="","",H37-E37)</x:f>
        <x:v>0.17502999999999247</x:v>
      </x:c>
      <x:c r="J37" s="36" t="n">
        <x:f>IF(I37="","",ABS(I37))</x:f>
        <x:v>0.17502999999999247</x:v>
      </x:c>
      <x:c r="K37" s="39" t="n">
        <x:f>IF(I37="","",ABS(I37/E37)*100)</x:f>
        <x:v>0.06530970149253451</x:v>
      </x:c>
      <x:c r="L37" s="36" t="n">
        <x:v>264.39125</x:v>
      </x:c>
      <x:c r="M37" s="36" t="n">
        <x:f>IF(L37="","",L37-E37)</x:f>
        <x:v>-3.6087499999999864</x:v>
      </x:c>
      <x:c r="N37" s="36" t="n">
        <x:v>268.55516</x:v>
      </x:c>
      <x:c r="O37" s="36" t="n">
        <x:f>IF(N37="","",N37-E37)</x:f>
        <x:v>0.5551600000000008</x:v>
      </x:c>
      <x:c r="P37" s="36" t="n">
        <x:v>268.02858</x:v>
      </x:c>
      <x:c r="Q37" s="36" t="n">
        <x:f>IF(P37="","",P37-E37)</x:f>
        <x:v>0.028579999999976735</x:v>
      </x:c>
      <x:c r="R37" s="36" t="n">
        <x:v>0.03799</x:v>
      </x:c>
      <x:c r="S37" s="36" t="n">
        <x:v>0.2139</x:v>
      </x:c>
      <x:c r="T37" s="36" t="n">
        <x:v>0.33901</x:v>
      </x:c>
      <x:c r="U37" s="36" t="n">
        <x:v>0.40803</x:v>
      </x:c>
      <x:c r="V37" s="37" t="n">
        <x:v>10.4</x:v>
      </x:c>
      <x:c r="W37" s="37" t="n">
        <x:v>1.27</x:v>
      </x:c>
      <x:c r="X37" s="37" t="n">
        <x:v>1.91</x:v>
      </x:c>
      <x:c r="Y37" s="37" t="n">
        <x:v>0.48</x:v>
      </x:c>
      <x:c r="Z37" s="37" t="n">
        <x:f>IF(OR(U37="",U37=0),"",R37^2/U37^2*100)</x:f>
        <x:v>0.8668708442759296</x:v>
      </x:c>
      <x:c r="AA37" s="37" t="n">
        <x:f>IF(OR(U37="",U37=0),"",S37^2/U37^2*100)</x:f>
        <x:v>27.48130666618389</x:v>
      </x:c>
      <x:c r="AB37" s="37" t="n">
        <x:f>IF(OR(U37="",U37=0),"",T37^2/U37^2*100)</x:f>
        <x:v>69.03046954283309</x:v>
      </x:c>
      <x:c r="AC37" s="26" t="str">
        <x:f>IF(U37="","",IF(R37=MAX(R37:T37),"X",IF(S37=MAX(R37:T37),"Y","Z")))</x:f>
        <x:v>Z</x:v>
      </x:c>
      <x:c r="AD37" s="36" t="n">
        <x:f>IF(OR(R37="",R37=0,S37=""),"",S37/R37)</x:f>
        <x:v>5.63042906027902</x:v>
      </x:c>
      <x:c r="AE37" s="36" t="n">
        <x:f>IF(OR(R37="",R37=0,T37=""),"",T37/R37)</x:f>
        <x:v>8.923664122137403</x:v>
      </x:c>
      <x:c r="AF37" s="36" t="n">
        <x:f>IF(OR(R37="",F37=0),"",R37/F37)</x:f>
        <x:v>0.0094975</x:v>
      </x:c>
      <x:c r="AG37" s="36" t="n">
        <x:f>IF(OR(S37="",F37=0),"",S37/F37)</x:f>
        <x:v>0.053475</x:v>
      </x:c>
      <x:c r="AH37" s="36" t="n">
        <x:f>IF(OR(T37="",F37=0),"",T37/F37)</x:f>
        <x:v>0.0847525</x:v>
      </x:c>
      <x:c r="AI37" s="36" t="n">
        <x:f>IF(OR(U37="",F37=0),"",U37/F37)</x:f>
        <x:v>0.1020075</x:v>
      </x:c>
      <x:c r="AJ37" s="26" t="str">
        <x:f>IF(G37=0,"NO VALID SUMMARY",IF(J37&lt;=Settings_Glossary!$B$4,"Excellent",IF(J37&lt;=Settings_Glossary!$B$5,"Acceptable","Review")))</x:f>
        <x:v>Acceptable</x:v>
      </x:c>
      <x:c r="AK37" s="26" t="str">
        <x:f>IF(G37=0,"No valid repeats",IF(G37&lt;2,"Single repeat / repeat needed",IF(Y37&lt;=Settings_Glossary!$B$6,"Good","Review")))</x:f>
        <x:v>Good</x:v>
      </x:c>
      <x:c r="AL37" s="26" t="str">
        <x:v>Characterize strong-response region and nonlinear gain</x:v>
      </x:c>
      <x:c r="AM37" s="26" t="str">
        <x:v>2 repeats per DAC, 268 Hz, DAC 1–15</x:v>
      </x:c>
    </x:row>
    <x:row r="38">
      <x:c r="A38" s="26" t="str">
        <x:v>K3</x:v>
      </x:c>
      <x:c r="B38" s="26" t="str">
        <x:v>Horizontal / flat</x:v>
      </x:c>
      <x:c r="C38" s="26" t="str">
        <x:v>High</x:v>
      </x:c>
      <x:c r="D38" s="26" t="str">
        <x:v>Pasted text (3).txt</x:v>
      </x:c>
      <x:c r="E38" s="36" t="n">
        <x:v>268</x:v>
      </x:c>
      <x:c r="F38" s="37" t="n">
        <x:v>5</x:v>
      </x:c>
      <x:c r="G38" s="38" t="n">
        <x:v>2</x:v>
      </x:c>
      <x:c r="H38" s="36" t="n">
        <x:v>268.04795</x:v>
      </x:c>
      <x:c r="I38" s="36" t="n">
        <x:f>IF(H38="","",H38-E38)</x:f>
        <x:v>0.04795000000001437</x:v>
      </x:c>
      <x:c r="J38" s="36" t="n">
        <x:f>IF(I38="","",ABS(I38))</x:f>
        <x:v>0.04795000000001437</x:v>
      </x:c>
      <x:c r="K38" s="39" t="n">
        <x:f>IF(I38="","",ABS(I38/E38)*100)</x:f>
        <x:v>0.01789179104478148</x:v>
      </x:c>
      <x:c r="L38" s="36" t="n">
        <x:v>264.40209</x:v>
      </x:c>
      <x:c r="M38" s="36" t="n">
        <x:f>IF(L38="","",L38-E38)</x:f>
        <x:v>-3.597910000000013</x:v>
      </x:c>
      <x:c r="N38" s="36" t="n">
        <x:v>268.05667</x:v>
      </x:c>
      <x:c r="O38" s="36" t="n">
        <x:f>IF(N38="","",N38-E38)</x:f>
        <x:v>0.05666999999999689</x:v>
      </x:c>
      <x:c r="P38" s="36" t="n">
        <x:v>268.04436</x:v>
      </x:c>
      <x:c r="Q38" s="36" t="n">
        <x:f>IF(P38="","",P38-E38)</x:f>
        <x:v>0.0443599999999833</x:v>
      </x:c>
      <x:c r="R38" s="36" t="n">
        <x:v>0.03189</x:v>
      </x:c>
      <x:c r="S38" s="36" t="n">
        <x:v>0.19805</x:v>
      </x:c>
      <x:c r="T38" s="36" t="n">
        <x:v>0.4666</x:v>
      </x:c>
      <x:c r="U38" s="36" t="n">
        <x:v>0.50988</x:v>
      </x:c>
      <x:c r="V38" s="37" t="n">
        <x:v>6.37</x:v>
      </x:c>
      <x:c r="W38" s="37" t="n">
        <x:v>1.41</x:v>
      </x:c>
      <x:c r="X38" s="37" t="n">
        <x:v>0.09</x:v>
      </x:c>
      <x:c r="Y38" s="37" t="n">
        <x:v>0.16</x:v>
      </x:c>
      <x:c r="Z38" s="37" t="n">
        <x:f>IF(OR(U38="",U38=0),"",R38^2/U38^2*100)</x:f>
        <x:v>0.3911767951048635</x:v>
      </x:c>
      <x:c r="AA38" s="37" t="n">
        <x:f>IF(OR(U38="",U38=0),"",S38^2/U38^2*100)</x:f>
        <x:v>15.087376884553796</x:v>
      </x:c>
      <x:c r="AB38" s="37" t="n">
        <x:f>IF(OR(U38="",U38=0),"",T38^2/U38^2*100)</x:f>
        <x:v>83.74396407262364</x:v>
      </x:c>
      <x:c r="AC38" s="26" t="str">
        <x:f>IF(U38="","",IF(R38=MAX(R38:T38),"X",IF(S38=MAX(R38:T38),"Y","Z")))</x:f>
        <x:v>Z</x:v>
      </x:c>
      <x:c r="AD38" s="36" t="n">
        <x:f>IF(OR(R38="",R38=0,S38=""),"",S38/R38)</x:f>
        <x:v>6.21041078708059</x:v>
      </x:c>
      <x:c r="AE38" s="36" t="n">
        <x:f>IF(OR(R38="",R38=0,T38=""),"",T38/R38)</x:f>
        <x:v>14.631545939165882</x:v>
      </x:c>
      <x:c r="AF38" s="36" t="n">
        <x:f>IF(OR(R38="",F38=0),"",R38/F38)</x:f>
        <x:v>0.006378</x:v>
      </x:c>
      <x:c r="AG38" s="36" t="n">
        <x:f>IF(OR(S38="",F38=0),"",S38/F38)</x:f>
        <x:v>0.03961</x:v>
      </x:c>
      <x:c r="AH38" s="36" t="n">
        <x:f>IF(OR(T38="",F38=0),"",T38/F38)</x:f>
        <x:v>0.09332</x:v>
      </x:c>
      <x:c r="AI38" s="36" t="n">
        <x:f>IF(OR(U38="",F38=0),"",U38/F38)</x:f>
        <x:v>0.101976</x:v>
      </x:c>
      <x:c r="AJ38" s="26" t="str">
        <x:f>IF(G38=0,"NO VALID SUMMARY",IF(J38&lt;=Settings_Glossary!$B$4,"Excellent",IF(J38&lt;=Settings_Glossary!$B$5,"Acceptable","Review")))</x:f>
        <x:v>Excellent</x:v>
      </x:c>
      <x:c r="AK38" s="26" t="str">
        <x:f>IF(G38=0,"No valid repeats",IF(G38&lt;2,"Single repeat / repeat needed",IF(Y38&lt;=Settings_Glossary!$B$6,"Good","Review")))</x:f>
        <x:v>Good</x:v>
      </x:c>
      <x:c r="AL38" s="26" t="str">
        <x:v>Characterize strong-response region and nonlinear gain</x:v>
      </x:c>
      <x:c r="AM38" s="26" t="str">
        <x:v>2 repeats per DAC, 268 Hz, DAC 1–15</x:v>
      </x:c>
    </x:row>
    <x:row r="39">
      <x:c r="A39" s="26" t="str">
        <x:v>K3</x:v>
      </x:c>
      <x:c r="B39" s="26" t="str">
        <x:v>Horizontal / flat</x:v>
      </x:c>
      <x:c r="C39" s="26" t="str">
        <x:v>High</x:v>
      </x:c>
      <x:c r="D39" s="26" t="str">
        <x:v>Pasted text (3).txt</x:v>
      </x:c>
      <x:c r="E39" s="36" t="n">
        <x:v>268</x:v>
      </x:c>
      <x:c r="F39" s="37" t="n">
        <x:v>6</x:v>
      </x:c>
      <x:c r="G39" s="38" t="n">
        <x:v>2</x:v>
      </x:c>
      <x:c r="H39" s="36" t="n">
        <x:v>268.08492</x:v>
      </x:c>
      <x:c r="I39" s="36" t="n">
        <x:f>IF(H39="","",H39-E39)</x:f>
        <x:v>0.08492000000001099</x:v>
      </x:c>
      <x:c r="J39" s="36" t="n">
        <x:f>IF(I39="","",ABS(I39))</x:f>
        <x:v>0.08492000000001099</x:v>
      </x:c>
      <x:c r="K39" s="39" t="n">
        <x:f>IF(I39="","",ABS(I39/E39)*100)</x:f>
        <x:v>0.03168656716418321</x:v>
      </x:c>
      <x:c r="L39" s="36" t="n">
        <x:v>268.00288</x:v>
      </x:c>
      <x:c r="M39" s="36" t="n">
        <x:f>IF(L39="","",L39-E39)</x:f>
        <x:v>0.0028800000000046566</x:v>
      </x:c>
      <x:c r="N39" s="36" t="n">
        <x:v>268.22664</x:v>
      </x:c>
      <x:c r="O39" s="36" t="n">
        <x:f>IF(N39="","",N39-E39)</x:f>
        <x:v>0.22663999999997486</x:v>
      </x:c>
      <x:c r="P39" s="36" t="n">
        <x:v>268.05638</x:v>
      </x:c>
      <x:c r="Q39" s="36" t="n">
        <x:f>IF(P39="","",P39-E39)</x:f>
        <x:v>0.056379999999990105</x:v>
      </x:c>
      <x:c r="R39" s="36" t="n">
        <x:v>0.0498</x:v>
      </x:c>
      <x:c r="S39" s="36" t="n">
        <x:v>0.29163</x:v>
      </x:c>
      <x:c r="T39" s="36" t="n">
        <x:v>0.60547</x:v>
      </x:c>
      <x:c r="U39" s="36" t="n">
        <x:v>0.67817</x:v>
      </x:c>
      <x:c r="V39" s="37" t="n">
        <x:v>7.56</x:v>
      </x:c>
      <x:c r="W39" s="37" t="n">
        <x:v>3.06</x:v>
      </x:c>
      <x:c r="X39" s="37" t="n">
        <x:v>2.2</x:v>
      </x:c>
      <x:c r="Y39" s="37" t="n">
        <x:v>1.29</x:v>
      </x:c>
      <x:c r="Z39" s="37" t="n">
        <x:f>IF(OR(U39="",U39=0),"",R39^2/U39^2*100)</x:f>
        <x:v>0.5392393012857783</x:v>
      </x:c>
      <x:c r="AA39" s="37" t="n">
        <x:f>IF(OR(U39="",U39=0),"",S39^2/U39^2*100)</x:f>
        <x:v>18.49214318255719</x:v>
      </x:c>
      <x:c r="AB39" s="37" t="n">
        <x:f>IF(OR(U39="",U39=0),"",T39^2/U39^2*100)</x:f>
        <x:v>79.70913765976753</x:v>
      </x:c>
      <x:c r="AC39" s="26" t="str">
        <x:f>IF(U39="","",IF(R39=MAX(R39:T39),"X",IF(S39=MAX(R39:T39),"Y","Z")))</x:f>
        <x:v>Z</x:v>
      </x:c>
      <x:c r="AD39" s="36" t="n">
        <x:f>IF(OR(R39="",R39=0,S39=""),"",S39/R39)</x:f>
        <x:v>5.856024096385543</x:v>
      </x:c>
      <x:c r="AE39" s="36" t="n">
        <x:f>IF(OR(R39="",R39=0,T39=""),"",T39/R39)</x:f>
        <x:v>12.158032128514057</x:v>
      </x:c>
      <x:c r="AF39" s="36" t="n">
        <x:f>IF(OR(R39="",F39=0),"",R39/F39)</x:f>
        <x:v>0.0083</x:v>
      </x:c>
      <x:c r="AG39" s="36" t="n">
        <x:f>IF(OR(S39="",F39=0),"",S39/F39)</x:f>
        <x:v>0.048605</x:v>
      </x:c>
      <x:c r="AH39" s="36" t="n">
        <x:f>IF(OR(T39="",F39=0),"",T39/F39)</x:f>
        <x:v>0.10091166666666666</x:v>
      </x:c>
      <x:c r="AI39" s="36" t="n">
        <x:f>IF(OR(U39="",F39=0),"",U39/F39)</x:f>
        <x:v>0.11302833333333334</x:v>
      </x:c>
      <x:c r="AJ39" s="26" t="str">
        <x:f>IF(G39=0,"NO VALID SUMMARY",IF(J39&lt;=Settings_Glossary!$B$4,"Excellent",IF(J39&lt;=Settings_Glossary!$B$5,"Acceptable","Review")))</x:f>
        <x:v>Excellent</x:v>
      </x:c>
      <x:c r="AK39" s="26" t="str">
        <x:f>IF(G39=0,"No valid repeats",IF(G39&lt;2,"Single repeat / repeat needed",IF(Y39&lt;=Settings_Glossary!$B$6,"Good","Review")))</x:f>
        <x:v>Good</x:v>
      </x:c>
      <x:c r="AL39" s="26" t="str">
        <x:v>Characterize strong-response region and nonlinear gain</x:v>
      </x:c>
      <x:c r="AM39" s="26" t="str">
        <x:v>2 repeats per DAC, 268 Hz, DAC 1–15</x:v>
      </x:c>
    </x:row>
    <x:row r="40">
      <x:c r="A40" s="26" t="str">
        <x:v>K3</x:v>
      </x:c>
      <x:c r="B40" s="26" t="str">
        <x:v>Horizontal / flat</x:v>
      </x:c>
      <x:c r="C40" s="26" t="str">
        <x:v>High</x:v>
      </x:c>
      <x:c r="D40" s="26" t="str">
        <x:v>Pasted text (3).txt</x:v>
      </x:c>
      <x:c r="E40" s="36" t="n">
        <x:v>268</x:v>
      </x:c>
      <x:c r="F40" s="37" t="n">
        <x:v>7</x:v>
      </x:c>
      <x:c r="G40" s="38" t="n">
        <x:v>2</x:v>
      </x:c>
      <x:c r="H40" s="36" t="n">
        <x:v>268.01912</x:v>
      </x:c>
      <x:c r="I40" s="36" t="n">
        <x:f>IF(H40="","",H40-E40)</x:f>
        <x:v>0.019119999999986703</x:v>
      </x:c>
      <x:c r="J40" s="36" t="n">
        <x:f>IF(I40="","",ABS(I40))</x:f>
        <x:v>0.019119999999986703</x:v>
      </x:c>
      <x:c r="K40" s="39" t="n">
        <x:f>IF(I40="","",ABS(I40/E40)*100)</x:f>
        <x:v>0.007134328358203994</x:v>
      </x:c>
      <x:c r="L40" s="36" t="n">
        <x:v>268.27403</x:v>
      </x:c>
      <x:c r="M40" s="36" t="n">
        <x:f>IF(L40="","",L40-E40)</x:f>
        <x:v>0.274029999999982</x:v>
      </x:c>
      <x:c r="N40" s="36" t="n">
        <x:v>268.02744</x:v>
      </x:c>
      <x:c r="O40" s="36" t="n">
        <x:f>IF(N40="","",N40-E40)</x:f>
        <x:v>0.027440000000012787</x:v>
      </x:c>
      <x:c r="P40" s="36" t="n">
        <x:v>268.0167</x:v>
      </x:c>
      <x:c r="Q40" s="36" t="n">
        <x:f>IF(P40="","",P40-E40)</x:f>
        <x:v>0.01670000000001437</x:v>
      </x:c>
      <x:c r="R40" s="36" t="n">
        <x:v>0.06153</x:v>
      </x:c>
      <x:c r="S40" s="36" t="n">
        <x:v>0.33482</x:v>
      </x:c>
      <x:c r="T40" s="36" t="n">
        <x:v>0.77857</x:v>
      </x:c>
      <x:c r="U40" s="36" t="n">
        <x:v>0.85015</x:v>
      </x:c>
      <x:c r="V40" s="37" t="n">
        <x:v>14.57</x:v>
      </x:c>
      <x:c r="W40" s="37" t="n">
        <x:v>1.46</x:v>
      </x:c>
      <x:c r="X40" s="37" t="n">
        <x:v>2.04</x:v>
      </x:c>
      <x:c r="Y40" s="37" t="n">
        <x:v>1.85</x:v>
      </x:c>
      <x:c r="Z40" s="37" t="n">
        <x:f>IF(OR(U40="",U40=0),"",R40^2/U40^2*100)</x:f>
        <x:v>0.5238207666692487</x:v>
      </x:c>
      <x:c r="AA40" s="37" t="n">
        <x:f>IF(OR(U40="",U40=0),"",S40^2/U40^2*100)</x:f>
        <x:v>15.51070956411099</x:v>
      </x:c>
      <x:c r="AB40" s="37" t="n">
        <x:f>IF(OR(U40="",U40=0),"",T40^2/U40^2*100)</x:f>
        <x:v>83.86953061955374</x:v>
      </x:c>
      <x:c r="AC40" s="26" t="str">
        <x:f>IF(U40="","",IF(R40=MAX(R40:T40),"X",IF(S40=MAX(R40:T40),"Y","Z")))</x:f>
        <x:v>Z</x:v>
      </x:c>
      <x:c r="AD40" s="36" t="n">
        <x:f>IF(OR(R40="",R40=0,S40=""),"",S40/R40)</x:f>
        <x:v>5.441573216317243</x:v>
      </x:c>
      <x:c r="AE40" s="36" t="n">
        <x:f>IF(OR(R40="",R40=0,T40=""),"",T40/R40)</x:f>
        <x:v>12.653502356574029</x:v>
      </x:c>
      <x:c r="AF40" s="36" t="n">
        <x:f>IF(OR(R40="",F40=0),"",R40/F40)</x:f>
        <x:v>0.008790000000000001</x:v>
      </x:c>
      <x:c r="AG40" s="36" t="n">
        <x:f>IF(OR(S40="",F40=0),"",S40/F40)</x:f>
        <x:v>0.04783142857142857</x:v>
      </x:c>
      <x:c r="AH40" s="36" t="n">
        <x:f>IF(OR(T40="",F40=0),"",T40/F40)</x:f>
        <x:v>0.1112242857142857</x:v>
      </x:c>
      <x:c r="AI40" s="36" t="n">
        <x:f>IF(OR(U40="",F40=0),"",U40/F40)</x:f>
        <x:v>0.12144999999999999</x:v>
      </x:c>
      <x:c r="AJ40" s="26" t="str">
        <x:f>IF(G40=0,"NO VALID SUMMARY",IF(J40&lt;=Settings_Glossary!$B$4,"Excellent",IF(J40&lt;=Settings_Glossary!$B$5,"Acceptable","Review")))</x:f>
        <x:v>Excellent</x:v>
      </x:c>
      <x:c r="AK40" s="26" t="str">
        <x:f>IF(G40=0,"No valid repeats",IF(G40&lt;2,"Single repeat / repeat needed",IF(Y40&lt;=Settings_Glossary!$B$6,"Good","Review")))</x:f>
        <x:v>Good</x:v>
      </x:c>
      <x:c r="AL40" s="26" t="str">
        <x:v>Characterize strong-response region and nonlinear gain</x:v>
      </x:c>
      <x:c r="AM40" s="26" t="str">
        <x:v>2 repeats per DAC, 268 Hz, DAC 1–15</x:v>
      </x:c>
    </x:row>
    <x:row r="41">
      <x:c r="A41" s="26" t="str">
        <x:v>K3</x:v>
      </x:c>
      <x:c r="B41" s="26" t="str">
        <x:v>Horizontal / flat</x:v>
      </x:c>
      <x:c r="C41" s="26" t="str">
        <x:v>High</x:v>
      </x:c>
      <x:c r="D41" s="26" t="str">
        <x:v>Pasted text (3).txt</x:v>
      </x:c>
      <x:c r="E41" s="36" t="n">
        <x:v>268</x:v>
      </x:c>
      <x:c r="F41" s="37" t="n">
        <x:v>8</x:v>
      </x:c>
      <x:c r="G41" s="38" t="n">
        <x:v>2</x:v>
      </x:c>
      <x:c r="H41" s="36" t="n">
        <x:v>268.02557</x:v>
      </x:c>
      <x:c r="I41" s="36" t="n">
        <x:f>IF(H41="","",H41-E41)</x:f>
        <x:v>0.02557000000001608</x:v>
      </x:c>
      <x:c r="J41" s="36" t="n">
        <x:f>IF(I41="","",ABS(I41))</x:f>
        <x:v>0.02557000000001608</x:v>
      </x:c>
      <x:c r="K41" s="39" t="n">
        <x:f>IF(I41="","",ABS(I41/E41)*100)</x:f>
        <x:v>0.009541044776125402</x:v>
      </x:c>
      <x:c r="L41" s="36" t="n">
        <x:v>267.83819</x:v>
      </x:c>
      <x:c r="M41" s="36" t="n">
        <x:f>IF(L41="","",L41-E41)</x:f>
        <x:v>-0.16181000000000267</x:v>
      </x:c>
      <x:c r="N41" s="36" t="n">
        <x:v>268.02193</x:v>
      </x:c>
      <x:c r="O41" s="36" t="n">
        <x:f>IF(N41="","",N41-E41)</x:f>
        <x:v>0.021929999999997563</x:v>
      </x:c>
      <x:c r="P41" s="36" t="n">
        <x:v>268.02744</x:v>
      </x:c>
      <x:c r="Q41" s="36" t="n">
        <x:f>IF(P41="","",P41-E41)</x:f>
        <x:v>0.027440000000012787</x:v>
      </x:c>
      <x:c r="R41" s="36" t="n">
        <x:v>0.08868</x:v>
      </x:c>
      <x:c r="S41" s="36" t="n">
        <x:v>0.41101</x:v>
      </x:c>
      <x:c r="T41" s="36" t="n">
        <x:v>0.99127</x:v>
      </x:c>
      <x:c r="U41" s="36" t="n">
        <x:v>1.07727</x:v>
      </x:c>
      <x:c r="V41" s="37" t="n">
        <x:v>3.17</x:v>
      </x:c>
      <x:c r="W41" s="37" t="n">
        <x:v>7.49</x:v>
      </x:c>
      <x:c r="X41" s="37" t="n">
        <x:v>1.05</x:v>
      </x:c>
      <x:c r="Y41" s="37" t="n">
        <x:v>2</x:v>
      </x:c>
      <x:c r="Z41" s="37" t="n">
        <x:f>IF(OR(U41="",U41=0),"",R41^2/U41^2*100)</x:f>
        <x:v>0.6776449988070592</x:v>
      </x:c>
      <x:c r="AA41" s="37" t="n">
        <x:f>IF(OR(U41="",U41=0),"",S41^2/U41^2*100)</x:f>
        <x:v>14.55645578761925</x:v>
      </x:c>
      <x:c r="AB41" s="37" t="n">
        <x:f>IF(OR(U41="",U41=0),"",T41^2/U41^2*100)</x:f>
        <x:v>84.67102050675196</x:v>
      </x:c>
      <x:c r="AC41" s="26" t="str">
        <x:f>IF(U41="","",IF(R41=MAX(R41:T41),"X",IF(S41=MAX(R41:T41),"Y","Z")))</x:f>
        <x:v>Z</x:v>
      </x:c>
      <x:c r="AD41" s="36" t="n">
        <x:f>IF(OR(R41="",R41=0,S41=""),"",S41/R41)</x:f>
        <x:v>4.634754172304917</x:v>
      </x:c>
      <x:c r="AE41" s="36" t="n">
        <x:f>IF(OR(R41="",R41=0,T41=""),"",T41/R41)</x:f>
        <x:v>11.178055931438882</x:v>
      </x:c>
      <x:c r="AF41" s="36" t="n">
        <x:f>IF(OR(R41="",F41=0),"",R41/F41)</x:f>
        <x:v>0.011085</x:v>
      </x:c>
      <x:c r="AG41" s="36" t="n">
        <x:f>IF(OR(S41="",F41=0),"",S41/F41)</x:f>
        <x:v>0.05137625</x:v>
      </x:c>
      <x:c r="AH41" s="36" t="n">
        <x:f>IF(OR(T41="",F41=0),"",T41/F41)</x:f>
        <x:v>0.12390875</x:v>
      </x:c>
      <x:c r="AI41" s="36" t="n">
        <x:f>IF(OR(U41="",F41=0),"",U41/F41)</x:f>
        <x:v>0.13465875</x:v>
      </x:c>
      <x:c r="AJ41" s="26" t="str">
        <x:f>IF(G41=0,"NO VALID SUMMARY",IF(J41&lt;=Settings_Glossary!$B$4,"Excellent",IF(J41&lt;=Settings_Glossary!$B$5,"Acceptable","Review")))</x:f>
        <x:v>Excellent</x:v>
      </x:c>
      <x:c r="AK41" s="26" t="str">
        <x:f>IF(G41=0,"No valid repeats",IF(G41&lt;2,"Single repeat / repeat needed",IF(Y41&lt;=Settings_Glossary!$B$6,"Good","Review")))</x:f>
        <x:v>Good</x:v>
      </x:c>
      <x:c r="AL41" s="26" t="str">
        <x:v>Characterize strong-response region and nonlinear gain</x:v>
      </x:c>
      <x:c r="AM41" s="26" t="str">
        <x:v>2 repeats per DAC, 268 Hz, DAC 1–15</x:v>
      </x:c>
    </x:row>
    <x:row r="42">
      <x:c r="A42" s="26" t="str">
        <x:v>K3</x:v>
      </x:c>
      <x:c r="B42" s="26" t="str">
        <x:v>Horizontal / flat</x:v>
      </x:c>
      <x:c r="C42" s="26" t="str">
        <x:v>High</x:v>
      </x:c>
      <x:c r="D42" s="26" t="str">
        <x:v>Pasted text (3).txt</x:v>
      </x:c>
      <x:c r="E42" s="36" t="n">
        <x:v>268</x:v>
      </x:c>
      <x:c r="F42" s="37" t="n">
        <x:v>9</x:v>
      </x:c>
      <x:c r="G42" s="38" t="n">
        <x:v>2</x:v>
      </x:c>
      <x:c r="H42" s="36" t="n">
        <x:v>268.02153</x:v>
      </x:c>
      <x:c r="I42" s="36" t="n">
        <x:f>IF(H42="","",H42-E42)</x:f>
        <x:v>0.021529999999984284</x:v>
      </x:c>
      <x:c r="J42" s="36" t="n">
        <x:f>IF(I42="","",ABS(I42))</x:f>
        <x:v>0.021529999999984284</x:v>
      </x:c>
      <x:c r="K42" s="39" t="n">
        <x:f>IF(I42="","",ABS(I42/E42)*100)</x:f>
        <x:v>0.008033582089546375</x:v>
      </x:c>
      <x:c r="L42" s="36" t="n">
        <x:v>267.94141</x:v>
      </x:c>
      <x:c r="M42" s="36" t="n">
        <x:f>IF(L42="","",L42-E42)</x:f>
        <x:v>-0.058589999999981046</x:v>
      </x:c>
      <x:c r="N42" s="36" t="n">
        <x:v>268.05548</x:v>
      </x:c>
      <x:c r="O42" s="36" t="n">
        <x:f>IF(N42="","",N42-E42)</x:f>
        <x:v>0.05547999999998865</x:v>
      </x:c>
      <x:c r="P42" s="36" t="n">
        <x:v>268.01621</x:v>
      </x:c>
      <x:c r="Q42" s="36" t="n">
        <x:f>IF(P42="","",P42-E42)</x:f>
        <x:v>0.016210000000000946</x:v>
      </x:c>
      <x:c r="R42" s="36" t="n">
        <x:v>0.10879</x:v>
      </x:c>
      <x:c r="S42" s="36" t="n">
        <x:v>0.54102</x:v>
      </x:c>
      <x:c r="T42" s="36" t="n">
        <x:v>1.19721</x:v>
      </x:c>
      <x:c r="U42" s="36" t="n">
        <x:v>1.32081</x:v>
      </x:c>
      <x:c r="V42" s="37" t="n">
        <x:v>21.72</x:v>
      </x:c>
      <x:c r="W42" s="37" t="n">
        <x:v>1.76</x:v>
      </x:c>
      <x:c r="X42" s="37" t="n">
        <x:v>0.37</x:v>
      </x:c>
      <x:c r="Y42" s="37" t="n">
        <x:v>0.4</x:v>
      </x:c>
      <x:c r="Z42" s="37" t="n">
        <x:f>IF(OR(U42="",U42=0),"",R42^2/U42^2*100)</x:f>
        <x:v>0.6784178352795549</x:v>
      </x:c>
      <x:c r="AA42" s="37" t="n">
        <x:f>IF(OR(U42="",U42=0),"",S42^2/U42^2*100)</x:f>
        <x:v>16.77822226888692</x:v>
      </x:c>
      <x:c r="AB42" s="37" t="n">
        <x:f>IF(OR(U42="",U42=0),"",T42^2/U42^2*100)</x:f>
        <x:v>82.15991376565893</x:v>
      </x:c>
      <x:c r="AC42" s="26" t="str">
        <x:f>IF(U42="","",IF(R42=MAX(R42:T42),"X",IF(S42=MAX(R42:T42),"Y","Z")))</x:f>
        <x:v>Z</x:v>
      </x:c>
      <x:c r="AD42" s="36" t="n">
        <x:f>IF(OR(R42="",R42=0,S42=""),"",S42/R42)</x:f>
        <x:v>4.9730673775163154</x:v>
      </x:c>
      <x:c r="AE42" s="36" t="n">
        <x:f>IF(OR(R42="",R42=0,T42=""),"",T42/R42)</x:f>
        <x:v>11.004779851089255</x:v>
      </x:c>
      <x:c r="AF42" s="36" t="n">
        <x:f>IF(OR(R42="",F42=0),"",R42/F42)</x:f>
        <x:v>0.012087777777777777</x:v>
      </x:c>
      <x:c r="AG42" s="36" t="n">
        <x:f>IF(OR(S42="",F42=0),"",S42/F42)</x:f>
        <x:v>0.060113333333333324</x:v>
      </x:c>
      <x:c r="AH42" s="36" t="n">
        <x:f>IF(OR(T42="",F42=0),"",T42/F42)</x:f>
        <x:v>0.13302333333333335</x:v>
      </x:c>
      <x:c r="AI42" s="36" t="n">
        <x:f>IF(OR(U42="",F42=0),"",U42/F42)</x:f>
        <x:v>0.14675666666666667</x:v>
      </x:c>
      <x:c r="AJ42" s="26" t="str">
        <x:f>IF(G42=0,"NO VALID SUMMARY",IF(J42&lt;=Settings_Glossary!$B$4,"Excellent",IF(J42&lt;=Settings_Glossary!$B$5,"Acceptable","Review")))</x:f>
        <x:v>Excellent</x:v>
      </x:c>
      <x:c r="AK42" s="26" t="str">
        <x:f>IF(G42=0,"No valid repeats",IF(G42&lt;2,"Single repeat / repeat needed",IF(Y42&lt;=Settings_Glossary!$B$6,"Good","Review")))</x:f>
        <x:v>Good</x:v>
      </x:c>
      <x:c r="AL42" s="26" t="str">
        <x:v>Characterize strong-response region and nonlinear gain</x:v>
      </x:c>
      <x:c r="AM42" s="26" t="str">
        <x:v>2 repeats per DAC, 268 Hz, DAC 1–15</x:v>
      </x:c>
    </x:row>
    <x:row r="43">
      <x:c r="A43" s="26" t="str">
        <x:v>K3</x:v>
      </x:c>
      <x:c r="B43" s="26" t="str">
        <x:v>Horizontal / flat</x:v>
      </x:c>
      <x:c r="C43" s="26" t="str">
        <x:v>High</x:v>
      </x:c>
      <x:c r="D43" s="26" t="str">
        <x:v>Pasted text (3).txt</x:v>
      </x:c>
      <x:c r="E43" s="36" t="n">
        <x:v>268</x:v>
      </x:c>
      <x:c r="F43" s="37" t="n">
        <x:v>10</x:v>
      </x:c>
      <x:c r="G43" s="38" t="n">
        <x:v>2</x:v>
      </x:c>
      <x:c r="H43" s="36" t="n">
        <x:v>268.04117</x:v>
      </x:c>
      <x:c r="I43" s="36" t="n">
        <x:f>IF(H43="","",H43-E43)</x:f>
        <x:v>0.041170000000022355</x:v>
      </x:c>
      <x:c r="J43" s="36" t="n">
        <x:f>IF(I43="","",ABS(I43))</x:f>
        <x:v>0.041170000000022355</x:v>
      </x:c>
      <x:c r="K43" s="39" t="n">
        <x:f>IF(I43="","",ABS(I43/E43)*100)</x:f>
        <x:v>0.015361940298515803</x:v>
      </x:c>
      <x:c r="L43" s="36" t="n">
        <x:v>268.08613</x:v>
      </x:c>
      <x:c r="M43" s="36" t="n">
        <x:f>IF(L43="","",L43-E43)</x:f>
        <x:v>0.08613000000002557</x:v>
      </x:c>
      <x:c r="N43" s="36" t="n">
        <x:v>268.05109</x:v>
      </x:c>
      <x:c r="O43" s="36" t="n">
        <x:f>IF(N43="","",N43-E43)</x:f>
        <x:v>0.05108999999998787</x:v>
      </x:c>
      <x:c r="P43" s="36" t="n">
        <x:v>268.03851</x:v>
      </x:c>
      <x:c r="Q43" s="36" t="n">
        <x:f>IF(P43="","",P43-E43)</x:f>
        <x:v>0.03850999999997384</x:v>
      </x:c>
      <x:c r="R43" s="36" t="n">
        <x:v>0.14458</x:v>
      </x:c>
      <x:c r="S43" s="36" t="n">
        <x:v>0.62323</x:v>
      </x:c>
      <x:c r="T43" s="36" t="n">
        <x:v>1.41109</x:v>
      </x:c>
      <x:c r="U43" s="36" t="n">
        <x:v>1.54967</x:v>
      </x:c>
      <x:c r="V43" s="37" t="n">
        <x:v>8.79</x:v>
      </x:c>
      <x:c r="W43" s="37" t="n">
        <x:v>1.75</x:v>
      </x:c>
      <x:c r="X43" s="37" t="n">
        <x:v>0.36</x:v>
      </x:c>
      <x:c r="Y43" s="37" t="n">
        <x:v>0.06</x:v>
      </x:c>
      <x:c r="Z43" s="37" t="n">
        <x:f>IF(OR(U43="",U43=0),"",R43^2/U43^2*100)</x:f>
        <x:v>0.8704382949365199</x:v>
      </x:c>
      <x:c r="AA43" s="37" t="n">
        <x:f>IF(OR(U43="",U43=0),"",S43^2/U43^2*100)</x:f>
        <x:v>16.17403020251624</x:v>
      </x:c>
      <x:c r="AB43" s="37" t="n">
        <x:f>IF(OR(U43="",U43=0),"",T43^2/U43^2*100)</x:f>
        <x:v>82.91459371903237</x:v>
      </x:c>
      <x:c r="AC43" s="26" t="str">
        <x:f>IF(U43="","",IF(R43=MAX(R43:T43),"X",IF(S43=MAX(R43:T43),"Y","Z")))</x:f>
        <x:v>Z</x:v>
      </x:c>
      <x:c r="AD43" s="36" t="n">
        <x:f>IF(OR(R43="",R43=0,S43=""),"",S43/R43)</x:f>
        <x:v>4.3106238760547795</x:v>
      </x:c>
      <x:c r="AE43" s="36" t="n">
        <x:f>IF(OR(R43="",R43=0,T43=""),"",T43/R43)</x:f>
        <x:v>9.75992530087149</x:v>
      </x:c>
      <x:c r="AF43" s="36" t="n">
        <x:f>IF(OR(R43="",F43=0),"",R43/F43)</x:f>
        <x:v>0.014457999999999999</x:v>
      </x:c>
      <x:c r="AG43" s="36" t="n">
        <x:f>IF(OR(S43="",F43=0),"",S43/F43)</x:f>
        <x:v>0.062322999999999996</x:v>
      </x:c>
      <x:c r="AH43" s="36" t="n">
        <x:f>IF(OR(T43="",F43=0),"",T43/F43)</x:f>
        <x:v>0.14110899999999998</x:v>
      </x:c>
      <x:c r="AI43" s="36" t="n">
        <x:f>IF(OR(U43="",F43=0),"",U43/F43)</x:f>
        <x:v>0.15496700000000002</x:v>
      </x:c>
      <x:c r="AJ43" s="26" t="str">
        <x:f>IF(G43=0,"NO VALID SUMMARY",IF(J43&lt;=Settings_Glossary!$B$4,"Excellent",IF(J43&lt;=Settings_Glossary!$B$5,"Acceptable","Review")))</x:f>
        <x:v>Excellent</x:v>
      </x:c>
      <x:c r="AK43" s="26" t="str">
        <x:f>IF(G43=0,"No valid repeats",IF(G43&lt;2,"Single repeat / repeat needed",IF(Y43&lt;=Settings_Glossary!$B$6,"Good","Review")))</x:f>
        <x:v>Good</x:v>
      </x:c>
      <x:c r="AL43" s="26" t="str">
        <x:v>Characterize strong-response region and nonlinear gain</x:v>
      </x:c>
      <x:c r="AM43" s="26" t="str">
        <x:v>2 repeats per DAC, 268 Hz, DAC 1–15</x:v>
      </x:c>
    </x:row>
    <x:row r="44">
      <x:c r="A44" s="26" t="str">
        <x:v>K3</x:v>
      </x:c>
      <x:c r="B44" s="26" t="str">
        <x:v>Horizontal / flat</x:v>
      </x:c>
      <x:c r="C44" s="26" t="str">
        <x:v>High</x:v>
      </x:c>
      <x:c r="D44" s="26" t="str">
        <x:v>Pasted text (3).txt</x:v>
      </x:c>
      <x:c r="E44" s="36" t="n">
        <x:v>268</x:v>
      </x:c>
      <x:c r="F44" s="37" t="n">
        <x:v>11</x:v>
      </x:c>
      <x:c r="G44" s="38" t="n">
        <x:v>2</x:v>
      </x:c>
      <x:c r="H44" s="36" t="n">
        <x:v>268.0249</x:v>
      </x:c>
      <x:c r="I44" s="36" t="n">
        <x:f>IF(H44="","",H44-E44)</x:f>
        <x:v>0.024900000000002365</x:v>
      </x:c>
      <x:c r="J44" s="36" t="n">
        <x:f>IF(I44="","",ABS(I44))</x:f>
        <x:v>0.024900000000002365</x:v>
      </x:c>
      <x:c r="K44" s="39" t="n">
        <x:f>IF(I44="","",ABS(I44/E44)*100)</x:f>
        <x:v>0.009291044776120284</x:v>
      </x:c>
      <x:c r="L44" s="36" t="n">
        <x:v>268.10474</x:v>
      </x:c>
      <x:c r="M44" s="36" t="n">
        <x:f>IF(L44="","",L44-E44)</x:f>
        <x:v>0.1047399999999925</x:v>
      </x:c>
      <x:c r="N44" s="36" t="n">
        <x:v>267.94919</x:v>
      </x:c>
      <x:c r="O44" s="36" t="n">
        <x:f>IF(N44="","",N44-E44)</x:f>
        <x:v>-0.05081000000001268</x:v>
      </x:c>
      <x:c r="P44" s="36" t="n">
        <x:v>268.03828</x:v>
      </x:c>
      <x:c r="Q44" s="36" t="n">
        <x:f>IF(P44="","",P44-E44)</x:f>
        <x:v>0.0382799999999861</x:v>
      </x:c>
      <x:c r="R44" s="36" t="n">
        <x:v>0.16617</x:v>
      </x:c>
      <x:c r="S44" s="36" t="n">
        <x:v>0.76871</x:v>
      </x:c>
      <x:c r="T44" s="36" t="n">
        <x:v>1.66864</x:v>
      </x:c>
      <x:c r="U44" s="36" t="n">
        <x:v>1.84518</x:v>
      </x:c>
      <x:c r="V44" s="37" t="n">
        <x:v>1.47</x:v>
      </x:c>
      <x:c r="W44" s="37" t="n">
        <x:v>0.24</x:v>
      </x:c>
      <x:c r="X44" s="37" t="n">
        <x:v>0.23</x:v>
      </x:c>
      <x:c r="Y44" s="37" t="n">
        <x:v>0.14</x:v>
      </x:c>
      <x:c r="Z44" s="37" t="n">
        <x:f>IF(OR(U44="",U44=0),"",R44^2/U44^2*100)</x:f>
        <x:v>0.8110129005969715</x:v>
      </x:c>
      <x:c r="AA44" s="37" t="n">
        <x:f>IF(OR(U44="",U44=0),"",S44^2/U44^2*100)</x:f>
        <x:v>17.355917787640728</x:v>
      </x:c>
      <x:c r="AB44" s="37" t="n">
        <x:f>IF(OR(U44="",U44=0),"",T44^2/U44^2*100)</x:f>
        <x:v>81.78013497100517</x:v>
      </x:c>
      <x:c r="AC44" s="26" t="str">
        <x:f>IF(U44="","",IF(R44=MAX(R44:T44),"X",IF(S44=MAX(R44:T44),"Y","Z")))</x:f>
        <x:v>Z</x:v>
      </x:c>
      <x:c r="AD44" s="36" t="n">
        <x:f>IF(OR(R44="",R44=0,S44=""),"",S44/R44)</x:f>
        <x:v>4.626045615935487</x:v>
      </x:c>
      <x:c r="AE44" s="36" t="n">
        <x:f>IF(OR(R44="",R44=0,T44=""),"",T44/R44)</x:f>
        <x:v>10.041764458085092</x:v>
      </x:c>
      <x:c r="AF44" s="36" t="n">
        <x:f>IF(OR(R44="",F44=0),"",R44/F44)</x:f>
        <x:v>0.015106363636363638</x:v>
      </x:c>
      <x:c r="AG44" s="36" t="n">
        <x:f>IF(OR(S44="",F44=0),"",S44/F44)</x:f>
        <x:v>0.06988272727272728</x:v>
      </x:c>
      <x:c r="AH44" s="36" t="n">
        <x:f>IF(OR(T44="",F44=0),"",T44/F44)</x:f>
        <x:v>0.15169454545454544</x:v>
      </x:c>
      <x:c r="AI44" s="36" t="n">
        <x:f>IF(OR(U44="",F44=0),"",U44/F44)</x:f>
        <x:v>0.16774363636363637</x:v>
      </x:c>
      <x:c r="AJ44" s="26" t="str">
        <x:f>IF(G44=0,"NO VALID SUMMARY",IF(J44&lt;=Settings_Glossary!$B$4,"Excellent",IF(J44&lt;=Settings_Glossary!$B$5,"Acceptable","Review")))</x:f>
        <x:v>Excellent</x:v>
      </x:c>
      <x:c r="AK44" s="26" t="str">
        <x:f>IF(G44=0,"No valid repeats",IF(G44&lt;2,"Single repeat / repeat needed",IF(Y44&lt;=Settings_Glossary!$B$6,"Good","Review")))</x:f>
        <x:v>Good</x:v>
      </x:c>
      <x:c r="AL44" s="26" t="str">
        <x:v>Characterize strong-response region and nonlinear gain</x:v>
      </x:c>
      <x:c r="AM44" s="26" t="str">
        <x:v>2 repeats per DAC, 268 Hz, DAC 1–15</x:v>
      </x:c>
    </x:row>
    <x:row r="45">
      <x:c r="A45" s="26" t="str">
        <x:v>K3</x:v>
      </x:c>
      <x:c r="B45" s="26" t="str">
        <x:v>Horizontal / flat</x:v>
      </x:c>
      <x:c r="C45" s="26" t="str">
        <x:v>High</x:v>
      </x:c>
      <x:c r="D45" s="26" t="str">
        <x:v>Pasted text (3).txt</x:v>
      </x:c>
      <x:c r="E45" s="36" t="n">
        <x:v>268</x:v>
      </x:c>
      <x:c r="F45" s="37" t="n">
        <x:v>12</x:v>
      </x:c>
      <x:c r="G45" s="38" t="n">
        <x:v>2</x:v>
      </x:c>
      <x:c r="H45" s="36" t="n">
        <x:v>268.00911</x:v>
      </x:c>
      <x:c r="I45" s="36" t="n">
        <x:f>IF(H45="","",H45-E45)</x:f>
        <x:v>0.009110000000021046</x:v>
      </x:c>
      <x:c r="J45" s="36" t="n">
        <x:f>IF(I45="","",ABS(I45))</x:f>
        <x:v>0.009110000000021046</x:v>
      </x:c>
      <x:c r="K45" s="39" t="n">
        <x:f>IF(I45="","",ABS(I45/E45)*100)</x:f>
        <x:v>0.003399253731351137</x:v>
      </x:c>
      <x:c r="L45" s="36" t="n">
        <x:v>267.9846</x:v>
      </x:c>
      <x:c r="M45" s="36" t="n">
        <x:f>IF(L45="","",L45-E45)</x:f>
        <x:v>-0.015399999999999636</x:v>
      </x:c>
      <x:c r="N45" s="36" t="n">
        <x:v>267.99828</x:v>
      </x:c>
      <x:c r="O45" s="36" t="n">
        <x:f>IF(N45="","",N45-E45)</x:f>
        <x:v>-0.0017199999999775173</x:v>
      </x:c>
      <x:c r="P45" s="36" t="n">
        <x:v>268.00881</x:v>
      </x:c>
      <x:c r="Q45" s="36" t="n">
        <x:f>IF(P45="","",P45-E45)</x:f>
        <x:v>0.008809999999982665</x:v>
      </x:c>
      <x:c r="R45" s="36" t="n">
        <x:v>0.1716</x:v>
      </x:c>
      <x:c r="S45" s="36" t="n">
        <x:v>0.96636</x:v>
      </x:c>
      <x:c r="T45" s="36" t="n">
        <x:v>1.9392</x:v>
      </x:c>
      <x:c r="U45" s="36" t="n">
        <x:v>2.17436</x:v>
      </x:c>
      <x:c r="V45" s="37" t="n">
        <x:v>0.18</x:v>
      </x:c>
      <x:c r="W45" s="37" t="n">
        <x:v>0.07</x:v>
      </x:c>
      <x:c r="X45" s="37" t="n">
        <x:v>0.14</x:v>
      </x:c>
      <x:c r="Y45" s="37" t="n">
        <x:v>0.15</x:v>
      </x:c>
      <x:c r="Z45" s="37" t="n">
        <x:f>IF(OR(U45="",U45=0),"",R45^2/U45^2*100)</x:f>
        <x:v>0.6228330743118419</x:v>
      </x:c>
      <x:c r="AA45" s="37" t="n">
        <x:f>IF(OR(U45="",U45=0),"",S45^2/U45^2*100)</x:f>
        <x:v>19.752177975001253</x:v>
      </x:c>
      <x:c r="AB45" s="37" t="n">
        <x:f>IF(OR(U45="",U45=0),"",T45^2/U45^2*100)</x:f>
        <x:v>79.53939893931758</x:v>
      </x:c>
      <x:c r="AC45" s="26" t="str">
        <x:f>IF(U45="","",IF(R45=MAX(R45:T45),"X",IF(S45=MAX(R45:T45),"Y","Z")))</x:f>
        <x:v>Z</x:v>
      </x:c>
      <x:c r="AD45" s="36" t="n">
        <x:f>IF(OR(R45="",R45=0,S45=""),"",S45/R45)</x:f>
        <x:v>5.631468531468531</x:v>
      </x:c>
      <x:c r="AE45" s="36" t="n">
        <x:f>IF(OR(R45="",R45=0,T45=""),"",T45/R45)</x:f>
        <x:v>11.3006993006993</x:v>
      </x:c>
      <x:c r="AF45" s="36" t="n">
        <x:f>IF(OR(R45="",F45=0),"",R45/F45)</x:f>
        <x:v>0.0143</x:v>
      </x:c>
      <x:c r="AG45" s="36" t="n">
        <x:f>IF(OR(S45="",F45=0),"",S45/F45)</x:f>
        <x:v>0.08053</x:v>
      </x:c>
      <x:c r="AH45" s="36" t="n">
        <x:f>IF(OR(T45="",F45=0),"",T45/F45)</x:f>
        <x:v>0.1616</x:v>
      </x:c>
      <x:c r="AI45" s="36" t="n">
        <x:f>IF(OR(U45="",F45=0),"",U45/F45)</x:f>
        <x:v>0.18119666666666667</x:v>
      </x:c>
      <x:c r="AJ45" s="26" t="str">
        <x:f>IF(G45=0,"NO VALID SUMMARY",IF(J45&lt;=Settings_Glossary!$B$4,"Excellent",IF(J45&lt;=Settings_Glossary!$B$5,"Acceptable","Review")))</x:f>
        <x:v>Excellent</x:v>
      </x:c>
      <x:c r="AK45" s="26" t="str">
        <x:f>IF(G45=0,"No valid repeats",IF(G45&lt;2,"Single repeat / repeat needed",IF(Y45&lt;=Settings_Glossary!$B$6,"Good","Review")))</x:f>
        <x:v>Good</x:v>
      </x:c>
      <x:c r="AL45" s="26" t="str">
        <x:v>Characterize strong-response region and nonlinear gain</x:v>
      </x:c>
      <x:c r="AM45" s="26" t="str">
        <x:v>2 repeats per DAC, 268 Hz, DAC 1–15</x:v>
      </x:c>
    </x:row>
    <x:row r="46">
      <x:c r="A46" s="26" t="str">
        <x:v>K3</x:v>
      </x:c>
      <x:c r="B46" s="26" t="str">
        <x:v>Horizontal / flat</x:v>
      </x:c>
      <x:c r="C46" s="26" t="str">
        <x:v>High</x:v>
      </x:c>
      <x:c r="D46" s="26" t="str">
        <x:v>Pasted text (3).txt</x:v>
      </x:c>
      <x:c r="E46" s="36" t="n">
        <x:v>268</x:v>
      </x:c>
      <x:c r="F46" s="37" t="n">
        <x:v>13</x:v>
      </x:c>
      <x:c r="G46" s="38" t="n">
        <x:v>2</x:v>
      </x:c>
      <x:c r="H46" s="36" t="n">
        <x:v>268.02266</x:v>
      </x:c>
      <x:c r="I46" s="36" t="n">
        <x:f>IF(H46="","",H46-E46)</x:f>
        <x:v>0.02265999999997348</x:v>
      </x:c>
      <x:c r="J46" s="36" t="n">
        <x:f>IF(I46="","",ABS(I46))</x:f>
        <x:v>0.02265999999997348</x:v>
      </x:c>
      <x:c r="K46" s="39" t="n">
        <x:f>IF(I46="","",ABS(I46/E46)*100)</x:f>
        <x:v>0.00845522388058712</x:v>
      </x:c>
      <x:c r="L46" s="36" t="n">
        <x:v>268.06782</x:v>
      </x:c>
      <x:c r="M46" s="36" t="n">
        <x:f>IF(L46="","",L46-E46)</x:f>
        <x:v>0.06781999999998334</x:v>
      </x:c>
      <x:c r="N46" s="36" t="n">
        <x:v>268.04386</x:v>
      </x:c>
      <x:c r="O46" s="36" t="n">
        <x:f>IF(N46="","",N46-E46)</x:f>
        <x:v>0.043859999999995125</x:v>
      </x:c>
      <x:c r="P46" s="36" t="n">
        <x:v>268.0149</x:v>
      </x:c>
      <x:c r="Q46" s="36" t="n">
        <x:f>IF(P46="","",P46-E46)</x:f>
        <x:v>0.01490000000001146</x:v>
      </x:c>
      <x:c r="R46" s="36" t="n">
        <x:v>0.17521</x:v>
      </x:c>
      <x:c r="S46" s="36" t="n">
        <x:v>1.18004</x:v>
      </x:c>
      <x:c r="T46" s="36" t="n">
        <x:v>2.27108</x:v>
      </x:c>
      <x:c r="U46" s="36" t="n">
        <x:v>2.56945</x:v>
      </x:c>
      <x:c r="V46" s="37" t="n">
        <x:v>1.23</x:v>
      </x:c>
      <x:c r="W46" s="37" t="n">
        <x:v>5.78</x:v>
      </x:c>
      <x:c r="X46" s="37" t="n">
        <x:v>1.53</x:v>
      </x:c>
      <x:c r="Y46" s="37" t="n">
        <x:v>2.41</x:v>
      </x:c>
      <x:c r="Z46" s="37" t="n">
        <x:f>IF(OR(U46="",U46=0),"",R46^2/U46^2*100)</x:f>
        <x:v>0.4649833876939146</x:v>
      </x:c>
      <x:c r="AA46" s="37" t="n">
        <x:f>IF(OR(U46="",U46=0),"",S46^2/U46^2*100)</x:f>
        <x:v>21.091774322964664</x:v>
      </x:c>
      <x:c r="AB46" s="37" t="n">
        <x:f>IF(OR(U46="",U46=0),"",T46^2/U46^2*100)</x:f>
        <x:v>78.12400938424753</x:v>
      </x:c>
      <x:c r="AC46" s="26" t="str">
        <x:f>IF(U46="","",IF(R46=MAX(R46:T46),"X",IF(S46=MAX(R46:T46),"Y","Z")))</x:f>
        <x:v>Z</x:v>
      </x:c>
      <x:c r="AD46" s="36" t="n">
        <x:f>IF(OR(R46="",R46=0,S46=""),"",S46/R46)</x:f>
        <x:v>6.735003709833913</x:v>
      </x:c>
      <x:c r="AE46" s="36" t="n">
        <x:f>IF(OR(R46="",R46=0,T46=""),"",T46/R46)</x:f>
        <x:v>12.962045545345585</x:v>
      </x:c>
      <x:c r="AF46" s="36" t="n">
        <x:f>IF(OR(R46="",F46=0),"",R46/F46)</x:f>
        <x:v>0.013477692307692309</x:v>
      </x:c>
      <x:c r="AG46" s="36" t="n">
        <x:f>IF(OR(S46="",F46=0),"",S46/F46)</x:f>
        <x:v>0.0907723076923077</x:v>
      </x:c>
      <x:c r="AH46" s="36" t="n">
        <x:f>IF(OR(T46="",F46=0),"",T46/F46)</x:f>
        <x:v>0.17469846153846152</x:v>
      </x:c>
      <x:c r="AI46" s="36" t="n">
        <x:f>IF(OR(U46="",F46=0),"",U46/F46)</x:f>
        <x:v>0.19765</x:v>
      </x:c>
      <x:c r="AJ46" s="26" t="str">
        <x:f>IF(G46=0,"NO VALID SUMMARY",IF(J46&lt;=Settings_Glossary!$B$4,"Excellent",IF(J46&lt;=Settings_Glossary!$B$5,"Acceptable","Review")))</x:f>
        <x:v>Excellent</x:v>
      </x:c>
      <x:c r="AK46" s="26" t="str">
        <x:f>IF(G46=0,"No valid repeats",IF(G46&lt;2,"Single repeat / repeat needed",IF(Y46&lt;=Settings_Glossary!$B$6,"Good","Review")))</x:f>
        <x:v>Good</x:v>
      </x:c>
      <x:c r="AL46" s="26" t="str">
        <x:v>Characterize strong-response region and nonlinear gain</x:v>
      </x:c>
      <x:c r="AM46" s="26" t="str">
        <x:v>2 repeats per DAC, 268 Hz, DAC 1–15</x:v>
      </x:c>
    </x:row>
    <x:row r="47">
      <x:c r="A47" s="26" t="str">
        <x:v>K3</x:v>
      </x:c>
      <x:c r="B47" s="26" t="str">
        <x:v>Horizontal / flat</x:v>
      </x:c>
      <x:c r="C47" s="26" t="str">
        <x:v>High</x:v>
      </x:c>
      <x:c r="D47" s="26" t="str">
        <x:v>Pasted text (3).txt</x:v>
      </x:c>
      <x:c r="E47" s="36" t="n">
        <x:v>268</x:v>
      </x:c>
      <x:c r="F47" s="37" t="n">
        <x:v>14</x:v>
      </x:c>
      <x:c r="G47" s="38" t="n">
        <x:v>2</x:v>
      </x:c>
      <x:c r="H47" s="36" t="n">
        <x:v>268.02482</x:v>
      </x:c>
      <x:c r="I47" s="36" t="n">
        <x:f>IF(H47="","",H47-E47)</x:f>
        <x:v>0.02481999999997697</x:v>
      </x:c>
      <x:c r="J47" s="36" t="n">
        <x:f>IF(I47="","",ABS(I47))</x:f>
        <x:v>0.02481999999997697</x:v>
      </x:c>
      <x:c r="K47" s="39" t="n">
        <x:f>IF(I47="","",ABS(I47/E47)*100)</x:f>
        <x:v>0.009261194029842153</x:v>
      </x:c>
      <x:c r="L47" s="36" t="n">
        <x:v>268.05909</x:v>
      </x:c>
      <x:c r="M47" s="36" t="n">
        <x:f>IF(L47="","",L47-E47)</x:f>
        <x:v>0.059090000000026066</x:v>
      </x:c>
      <x:c r="N47" s="36" t="n">
        <x:v>268.03712</x:v>
      </x:c>
      <x:c r="O47" s="36" t="n">
        <x:f>IF(N47="","",N47-E47)</x:f>
        <x:v>0.03712000000001581</x:v>
      </x:c>
      <x:c r="P47" s="36" t="n">
        <x:v>268.02038</x:v>
      </x:c>
      <x:c r="Q47" s="36" t="n">
        <x:f>IF(P47="","",P47-E47)</x:f>
        <x:v>0.02037999999998874</x:v>
      </x:c>
      <x:c r="R47" s="36" t="n">
        <x:v>0.1763</x:v>
      </x:c>
      <x:c r="S47" s="36" t="n">
        <x:v>1.57489</x:v>
      </x:c>
      <x:c r="T47" s="36" t="n">
        <x:v>2.6668</x:v>
      </x:c>
      <x:c r="U47" s="36" t="n">
        <x:v>3.10475</x:v>
      </x:c>
      <x:c r="V47" s="37" t="n">
        <x:v>8.06</x:v>
      </x:c>
      <x:c r="W47" s="37" t="n">
        <x:v>6.87</x:v>
      </x:c>
      <x:c r="X47" s="37" t="n">
        <x:v>0.24</x:v>
      </x:c>
      <x:c r="Y47" s="37" t="n">
        <x:v>1.91</x:v>
      </x:c>
      <x:c r="Z47" s="37" t="n">
        <x:f>IF(OR(U47="",U47=0),"",R47^2/U47^2*100)</x:f>
        <x:v>0.3224418120231566</x:v>
      </x:c>
      <x:c r="AA47" s="37" t="n">
        <x:f>IF(OR(U47="",U47=0),"",S47^2/U47^2*100)</x:f>
        <x:v>25.730438009117982</x:v>
      </x:c>
      <x:c r="AB47" s="37" t="n">
        <x:f>IF(OR(U47="",U47=0),"",T47^2/U47^2*100)</x:f>
        <x:v>73.77812628117016</x:v>
      </x:c>
      <x:c r="AC47" s="26" t="str">
        <x:f>IF(U47="","",IF(R47=MAX(R47:T47),"X",IF(S47=MAX(R47:T47),"Y","Z")))</x:f>
        <x:v>Z</x:v>
      </x:c>
      <x:c r="AD47" s="36" t="n">
        <x:f>IF(OR(R47="",R47=0,S47=""),"",S47/R47)</x:f>
        <x:v>8.933011911514463</x:v>
      </x:c>
      <x:c r="AE47" s="36" t="n">
        <x:f>IF(OR(R47="",R47=0,T47=""),"",T47/R47)</x:f>
        <x:v>15.126488939307995</x:v>
      </x:c>
      <x:c r="AF47" s="36" t="n">
        <x:f>IF(OR(R47="",F47=0),"",R47/F47)</x:f>
        <x:v>0.012592857142857143</x:v>
      </x:c>
      <x:c r="AG47" s="36" t="n">
        <x:f>IF(OR(S47="",F47=0),"",S47/F47)</x:f>
        <x:v>0.11249214285714285</x:v>
      </x:c>
      <x:c r="AH47" s="36" t="n">
        <x:f>IF(OR(T47="",F47=0),"",T47/F47)</x:f>
        <x:v>0.19048571428571429</x:v>
      </x:c>
      <x:c r="AI47" s="36" t="n">
        <x:f>IF(OR(U47="",F47=0),"",U47/F47)</x:f>
        <x:v>0.22176785714285716</x:v>
      </x:c>
      <x:c r="AJ47" s="26" t="str">
        <x:f>IF(G47=0,"NO VALID SUMMARY",IF(J47&lt;=Settings_Glossary!$B$4,"Excellent",IF(J47&lt;=Settings_Glossary!$B$5,"Acceptable","Review")))</x:f>
        <x:v>Excellent</x:v>
      </x:c>
      <x:c r="AK47" s="26" t="str">
        <x:f>IF(G47=0,"No valid repeats",IF(G47&lt;2,"Single repeat / repeat needed",IF(Y47&lt;=Settings_Glossary!$B$6,"Good","Review")))</x:f>
        <x:v>Good</x:v>
      </x:c>
      <x:c r="AL47" s="26" t="str">
        <x:v>Characterize strong-response region and nonlinear gain</x:v>
      </x:c>
      <x:c r="AM47" s="26" t="str">
        <x:v>2 repeats per DAC, 268 Hz, DAC 1–15</x:v>
      </x:c>
    </x:row>
    <x:row r="48">
      <x:c r="A48" s="26" t="str">
        <x:v>K3</x:v>
      </x:c>
      <x:c r="B48" s="26" t="str">
        <x:v>Horizontal / flat</x:v>
      </x:c>
      <x:c r="C48" s="26" t="str">
        <x:v>High</x:v>
      </x:c>
      <x:c r="D48" s="26" t="str">
        <x:v>Pasted text (3).txt</x:v>
      </x:c>
      <x:c r="E48" s="36" t="n">
        <x:v>268</x:v>
      </x:c>
      <x:c r="F48" s="37" t="n">
        <x:v>15</x:v>
      </x:c>
      <x:c r="G48" s="38" t="n">
        <x:v>2</x:v>
      </x:c>
      <x:c r="H48" s="36" t="n">
        <x:v>268.02869</x:v>
      </x:c>
      <x:c r="I48" s="36" t="n">
        <x:f>IF(H48="","",H48-E48)</x:f>
        <x:v>0.02868999999998323</x:v>
      </x:c>
      <x:c r="J48" s="36" t="n">
        <x:f>IF(I48="","",ABS(I48))</x:f>
        <x:v>0.02868999999998323</x:v>
      </x:c>
      <x:c r="K48" s="39" t="n">
        <x:f>IF(I48="","",ABS(I48/E48)*100)</x:f>
        <x:v>0.010705223880590758</x:v>
      </x:c>
      <x:c r="L48" s="36" t="n">
        <x:v>268.066</x:v>
      </x:c>
      <x:c r="M48" s="36" t="n">
        <x:f>IF(L48="","",L48-E48)</x:f>
        <x:v>0.06599999999997408</x:v>
      </x:c>
      <x:c r="N48" s="36" t="n">
        <x:v>268.02437</x:v>
      </x:c>
      <x:c r="O48" s="36" t="n">
        <x:f>IF(N48="","",N48-E48)</x:f>
        <x:v>0.024369999999976244</x:v>
      </x:c>
      <x:c r="P48" s="36" t="n">
        <x:v>268.03008</x:v>
      </x:c>
      <x:c r="Q48" s="36" t="n">
        <x:f>IF(P48="","",P48-E48)</x:f>
        <x:v>0.030079999999998108</x:v>
      </x:c>
      <x:c r="R48" s="36" t="n">
        <x:v>0.20645</x:v>
      </x:c>
      <x:c r="S48" s="36" t="n">
        <x:v>1.98243</x:v>
      </x:c>
      <x:c r="T48" s="36" t="n">
        <x:v>3.09378</x:v>
      </x:c>
      <x:c r="U48" s="36" t="n">
        <x:v>3.68057</x:v>
      </x:c>
      <x:c r="V48" s="37" t="n">
        <x:v>0.23</x:v>
      </x:c>
      <x:c r="W48" s="37" t="n">
        <x:v>4.3</x:v>
      </x:c>
      <x:c r="X48" s="37" t="n">
        <x:v>2.36</x:v>
      </x:c>
      <x:c r="Y48" s="37" t="n">
        <x:v>2.91</x:v>
      </x:c>
      <x:c r="Z48" s="37" t="n">
        <x:f>IF(OR(U48="",U48=0),"",R48^2/U48^2*100)</x:f>
        <x:v>0.3146296235216976</x:v>
      </x:c>
      <x:c r="AA48" s="37" t="n">
        <x:f>IF(OR(U48="",U48=0),"",S48^2/U48^2*100)</x:f>
        <x:v>29.01119102342883</x:v>
      </x:c>
      <x:c r="AB48" s="37" t="n">
        <x:f>IF(OR(U48="",U48=0),"",T48^2/U48^2*100)</x:f>
        <x:v>70.6559420838001</x:v>
      </x:c>
      <x:c r="AC48" s="26" t="str">
        <x:f>IF(U48="","",IF(R48=MAX(R48:T48),"X",IF(S48=MAX(R48:T48),"Y","Z")))</x:f>
        <x:v>Z</x:v>
      </x:c>
      <x:c r="AD48" s="36" t="n">
        <x:f>IF(OR(R48="",R48=0,S48=""),"",S48/R48)</x:f>
        <x:v>9.602470331799466</x:v>
      </x:c>
      <x:c r="AE48" s="36" t="n">
        <x:f>IF(OR(R48="",R48=0,T48=""),"",T48/R48)</x:f>
        <x:v>14.985613950108986</x:v>
      </x:c>
      <x:c r="AF48" s="36" t="n">
        <x:f>IF(OR(R48="",F48=0),"",R48/F48)</x:f>
        <x:v>0.013763333333333332</x:v>
      </x:c>
      <x:c r="AG48" s="36" t="n">
        <x:f>IF(OR(S48="",F48=0),"",S48/F48)</x:f>
        <x:v>0.132162</x:v>
      </x:c>
      <x:c r="AH48" s="36" t="n">
        <x:f>IF(OR(T48="",F48=0),"",T48/F48)</x:f>
        <x:v>0.20625200000000002</x:v>
      </x:c>
      <x:c r="AI48" s="36" t="n">
        <x:f>IF(OR(U48="",F48=0),"",U48/F48)</x:f>
        <x:v>0.24537133333333333</x:v>
      </x:c>
      <x:c r="AJ48" s="26" t="str">
        <x:f>IF(G48=0,"NO VALID SUMMARY",IF(J48&lt;=Settings_Glossary!$B$4,"Excellent",IF(J48&lt;=Settings_Glossary!$B$5,"Acceptable","Review")))</x:f>
        <x:v>Excellent</x:v>
      </x:c>
      <x:c r="AK48" s="26" t="str">
        <x:f>IF(G48=0,"No valid repeats",IF(G48&lt;2,"Single repeat / repeat needed",IF(Y48&lt;=Settings_Glossary!$B$6,"Good","Review")))</x:f>
        <x:v>Good</x:v>
      </x:c>
      <x:c r="AL48" s="26" t="str">
        <x:v>Characterize strong-response region and nonlinear gain</x:v>
      </x:c>
      <x:c r="AM48" s="26" t="str">
        <x:v>2 repeats per DAC, 268 Hz, DAC 1–15</x:v>
      </x:c>
    </x:row>
    <x:row r="49">
      <x:c r="A49" s="26" t="str">
        <x:v>K4</x:v>
      </x:c>
      <x:c r="B49" s="26" t="str">
        <x:v>Horizontal / flat</x:v>
      </x:c>
      <x:c r="C49" s="26" t="str">
        <x:v>Highest tested</x:v>
      </x:c>
      <x:c r="D49" s="26" t="str">
        <x:v>Pasted text (4).txt</x:v>
      </x:c>
      <x:c r="E49" s="36" t="n">
        <x:v>268</x:v>
      </x:c>
      <x:c r="F49" s="37" t="n">
        <x:v>1</x:v>
      </x:c>
      <x:c r="G49" s="38" t="n">
        <x:v>2</x:v>
      </x:c>
      <x:c r="H49" s="36" t="n">
        <x:v>266.50434</x:v>
      </x:c>
      <x:c r="I49" s="36" t="n">
        <x:f>IF(H49="","",H49-E49)</x:f>
        <x:v>-1.4956599999999867</x:v>
      </x:c>
      <x:c r="J49" s="36" t="n">
        <x:f>IF(I49="","",ABS(I49))</x:f>
        <x:v>1.4956599999999867</x:v>
      </x:c>
      <x:c r="K49" s="39" t="n">
        <x:f>IF(I49="","",ABS(I49/E49)*100)</x:f>
        <x:v>0.5580820895522338</x:v>
      </x:c>
      <x:c r="L49" s="36" t="n">
        <x:v>267.06276</x:v>
      </x:c>
      <x:c r="M49" s="36" t="n">
        <x:f>IF(L49="","",L49-E49)</x:f>
        <x:v>-0.9372399999999743</x:v>
      </x:c>
      <x:c r="N49" s="36" t="n">
        <x:v>266.51559</x:v>
      </x:c>
      <x:c r="O49" s="36" t="n">
        <x:f>IF(N49="","",N49-E49)</x:f>
        <x:v>-1.4844100000000253</x:v>
      </x:c>
      <x:c r="P49" s="36" t="n">
        <x:v>265.04274</x:v>
      </x:c>
      <x:c r="Q49" s="36" t="n">
        <x:f>IF(P49="","",P49-E49)</x:f>
        <x:v>-2.9572600000000193</x:v>
      </x:c>
      <x:c r="R49" s="36" t="n">
        <x:v>0.02567</x:v>
      </x:c>
      <x:c r="S49" s="36" t="n">
        <x:v>0.07585</x:v>
      </x:c>
      <x:c r="T49" s="36" t="n">
        <x:v>0.02874</x:v>
      </x:c>
      <x:c r="U49" s="36" t="n">
        <x:v>0.08895</x:v>
      </x:c>
      <x:c r="V49" s="37" t="n">
        <x:v>26.43</x:v>
      </x:c>
      <x:c r="W49" s="37" t="n">
        <x:v>15.82</x:v>
      </x:c>
      <x:c r="X49" s="37" t="n">
        <x:v>24.17</x:v>
      </x:c>
      <x:c r="Y49" s="37" t="n">
        <x:v>16.85</x:v>
      </x:c>
      <x:c r="Z49" s="37" t="n">
        <x:f>IF(OR(U49="",U49=0),"",R49^2/U49^2*100)</x:f>
        <x:v>8.328366575129682</x:v>
      </x:c>
      <x:c r="AA49" s="37" t="n">
        <x:f>IF(OR(U49="",U49=0),"",S49^2/U49^2*100)</x:f>
        <x:v>72.71420586373848</x:v>
      </x:c>
      <x:c r="AB49" s="37" t="n">
        <x:f>IF(OR(U49="",U49=0),"",T49^2/U49^2*100)</x:f>
        <x:v>10.439546252086599</x:v>
      </x:c>
      <x:c r="AC49" s="26" t="str">
        <x:f>IF(U49="","",IF(R49=MAX(R49:T49),"X",IF(S49=MAX(R49:T49),"Y","Z")))</x:f>
        <x:v>Y</x:v>
      </x:c>
      <x:c r="AD49" s="36" t="n">
        <x:f>IF(OR(R49="",R49=0,S49=""),"",S49/R49)</x:f>
        <x:v>2.9548110634982474</x:v>
      </x:c>
      <x:c r="AE49" s="36" t="n">
        <x:f>IF(OR(R49="",R49=0,T49=""),"",T49/R49)</x:f>
        <x:v>1.119594857810674</x:v>
      </x:c>
      <x:c r="AF49" s="36" t="n">
        <x:f>IF(OR(R49="",F49=0),"",R49/F49)</x:f>
        <x:v>0.02567</x:v>
      </x:c>
      <x:c r="AG49" s="36" t="n">
        <x:f>IF(OR(S49="",F49=0),"",S49/F49)</x:f>
        <x:v>0.07585</x:v>
      </x:c>
      <x:c r="AH49" s="36" t="n">
        <x:f>IF(OR(T49="",F49=0),"",T49/F49)</x:f>
        <x:v>0.02874</x:v>
      </x:c>
      <x:c r="AI49" s="36" t="n">
        <x:f>IF(OR(U49="",F49=0),"",U49/F49)</x:f>
        <x:v>0.08895</x:v>
      </x:c>
      <x:c r="AJ49" s="26" t="str">
        <x:f>IF(G49=0,"NO VALID SUMMARY",IF(J49&lt;=Settings_Glossary!$B$4,"Excellent",IF(J49&lt;=Settings_Glossary!$B$5,"Acceptable","Review")))</x:f>
        <x:v>Review</x:v>
      </x:c>
      <x:c r="AK49" s="26" t="str">
        <x:f>IF(G49=0,"No valid repeats",IF(G49&lt;2,"Single repeat / repeat needed",IF(Y49&lt;=Settings_Glossary!$B$6,"Good","Review")))</x:f>
        <x:v>Review</x:v>
      </x:c>
      <x:c r="AL49" s="26" t="str">
        <x:v>Assess high-drive coupling, phase, and amplitude limits</x:v>
      </x:c>
      <x:c r="AM49" s="26" t="str">
        <x:v>2 repeats per DAC, 268 Hz, DAC 1–15</x:v>
      </x:c>
    </x:row>
    <x:row r="50">
      <x:c r="A50" s="26" t="str">
        <x:v>K4</x:v>
      </x:c>
      <x:c r="B50" s="26" t="str">
        <x:v>Horizontal / flat</x:v>
      </x:c>
      <x:c r="C50" s="26" t="str">
        <x:v>Highest tested</x:v>
      </x:c>
      <x:c r="D50" s="26" t="str">
        <x:v>Pasted text (4).txt</x:v>
      </x:c>
      <x:c r="E50" s="36" t="n">
        <x:v>268</x:v>
      </x:c>
      <x:c r="F50" s="37" t="n">
        <x:v>2</x:v>
      </x:c>
      <x:c r="G50" s="38" t="n">
        <x:v>2</x:v>
      </x:c>
      <x:c r="H50" s="36" t="n">
        <x:v>268.7471</x:v>
      </x:c>
      <x:c r="I50" s="36" t="n">
        <x:f>IF(H50="","",H50-E50)</x:f>
        <x:v>0.747099999999989</x:v>
      </x:c>
      <x:c r="J50" s="36" t="n">
        <x:f>IF(I50="","",ABS(I50))</x:f>
        <x:v>0.747099999999989</x:v>
      </x:c>
      <x:c r="K50" s="39" t="n">
        <x:f>IF(I50="","",ABS(I50/E50)*100)</x:f>
        <x:v>0.27876865671641377</x:v>
      </x:c>
      <x:c r="L50" s="36" t="n">
        <x:v>270.27753</x:v>
      </x:c>
      <x:c r="M50" s="36" t="n">
        <x:f>IF(L50="","",L50-E50)</x:f>
        <x:v>2.277530000000013</x:v>
      </x:c>
      <x:c r="N50" s="36" t="n">
        <x:v>268.89735</x:v>
      </x:c>
      <x:c r="O50" s="36" t="n">
        <x:f>IF(N50="","",N50-E50)</x:f>
        <x:v>0.8973500000000172</x:v>
      </x:c>
      <x:c r="P50" s="36" t="n">
        <x:v>267.92217</x:v>
      </x:c>
      <x:c r="Q50" s="36" t="n">
        <x:f>IF(P50="","",P50-E50)</x:f>
        <x:v>-0.07783000000000584</x:v>
      </x:c>
      <x:c r="R50" s="36" t="n">
        <x:v>0.02466</x:v>
      </x:c>
      <x:c r="S50" s="36" t="n">
        <x:v>0.20724</x:v>
      </x:c>
      <x:c r="T50" s="36" t="n">
        <x:v>0.11864</x:v>
      </x:c>
      <x:c r="U50" s="36" t="n">
        <x:v>0.24247</x:v>
      </x:c>
      <x:c r="V50" s="37" t="n">
        <x:v>25.84</x:v>
      </x:c>
      <x:c r="W50" s="37" t="n">
        <x:v>5.8</x:v>
      </x:c>
      <x:c r="X50" s="37" t="n">
        <x:v>9.08</x:v>
      </x:c>
      <x:c r="Y50" s="37" t="n">
        <x:v>1.2</x:v>
      </x:c>
      <x:c r="Z50" s="37" t="n">
        <x:f>IF(OR(U50="",U50=0),"",R50^2/U50^2*100)</x:f>
        <x:v>1.0343561943110922</x:v>
      </x:c>
      <x:c r="AA50" s="37" t="n">
        <x:f>IF(OR(U50="",U50=0),"",S50^2/U50^2*100)</x:f>
        <x:v>73.05183715138952</x:v>
      </x:c>
      <x:c r="AB50" s="37" t="n">
        <x:f>IF(OR(U50="",U50=0),"",T50^2/U50^2*100)</x:f>
        <x:v>23.941218547055172</x:v>
      </x:c>
      <x:c r="AC50" s="26" t="str">
        <x:f>IF(U50="","",IF(R50=MAX(R50:T50),"X",IF(S50=MAX(R50:T50),"Y","Z")))</x:f>
        <x:v>Y</x:v>
      </x:c>
      <x:c r="AD50" s="36" t="n">
        <x:f>IF(OR(R50="",R50=0,S50=""),"",S50/R50)</x:f>
        <x:v>8.40389294403893</x:v>
      </x:c>
      <x:c r="AE50" s="36" t="n">
        <x:f>IF(OR(R50="",R50=0,T50=""),"",T50/R50)</x:f>
        <x:v>4.8110300081103</x:v>
      </x:c>
      <x:c r="AF50" s="36" t="n">
        <x:f>IF(OR(R50="",F50=0),"",R50/F50)</x:f>
        <x:v>0.01233</x:v>
      </x:c>
      <x:c r="AG50" s="36" t="n">
        <x:f>IF(OR(S50="",F50=0),"",S50/F50)</x:f>
        <x:v>0.10362</x:v>
      </x:c>
      <x:c r="AH50" s="36" t="n">
        <x:f>IF(OR(T50="",F50=0),"",T50/F50)</x:f>
        <x:v>0.05932</x:v>
      </x:c>
      <x:c r="AI50" s="36" t="n">
        <x:f>IF(OR(U50="",F50=0),"",U50/F50)</x:f>
        <x:v>0.121235</x:v>
      </x:c>
      <x:c r="AJ50" s="26" t="str">
        <x:f>IF(G50=0,"NO VALID SUMMARY",IF(J50&lt;=Settings_Glossary!$B$4,"Excellent",IF(J50&lt;=Settings_Glossary!$B$5,"Acceptable","Review")))</x:f>
        <x:v>Review</x:v>
      </x:c>
      <x:c r="AK50" s="26" t="str">
        <x:f>IF(G50=0,"No valid repeats",IF(G50&lt;2,"Single repeat / repeat needed",IF(Y50&lt;=Settings_Glossary!$B$6,"Good","Review")))</x:f>
        <x:v>Good</x:v>
      </x:c>
      <x:c r="AL50" s="26" t="str">
        <x:v>Assess high-drive coupling, phase, and amplitude limits</x:v>
      </x:c>
      <x:c r="AM50" s="26" t="str">
        <x:v>2 repeats per DAC, 268 Hz, DAC 1–15</x:v>
      </x:c>
    </x:row>
    <x:row r="51">
      <x:c r="A51" s="26" t="str">
        <x:v>K4</x:v>
      </x:c>
      <x:c r="B51" s="26" t="str">
        <x:v>Horizontal / flat</x:v>
      </x:c>
      <x:c r="C51" s="26" t="str">
        <x:v>Highest tested</x:v>
      </x:c>
      <x:c r="D51" s="26" t="str">
        <x:v>Pasted text (4).txt</x:v>
      </x:c>
      <x:c r="E51" s="36" t="n">
        <x:v>268</x:v>
      </x:c>
      <x:c r="F51" s="37" t="n">
        <x:v>3</x:v>
      </x:c>
      <x:c r="G51" s="38" t="n">
        <x:v>2</x:v>
      </x:c>
      <x:c r="H51" s="36" t="n">
        <x:v>268.21387</x:v>
      </x:c>
      <x:c r="I51" s="36" t="n">
        <x:f>IF(H51="","",H51-E51)</x:f>
        <x:v>0.2138699999999858</x:v>
      </x:c>
      <x:c r="J51" s="36" t="n">
        <x:f>IF(I51="","",ABS(I51))</x:f>
        <x:v>0.2138699999999858</x:v>
      </x:c>
      <x:c r="K51" s="39" t="n">
        <x:f>IF(I51="","",ABS(I51/E51)*100)</x:f>
        <x:v>0.07980223880596485</x:v>
      </x:c>
      <x:c r="L51" s="36" t="n">
        <x:v>263.18701</x:v>
      </x:c>
      <x:c r="M51" s="36" t="n">
        <x:f>IF(L51="","",L51-E51)</x:f>
        <x:v>-4.812990000000013</x:v>
      </x:c>
      <x:c r="N51" s="36" t="n">
        <x:v>268.57218</x:v>
      </x:c>
      <x:c r="O51" s="36" t="n">
        <x:f>IF(N51="","",N51-E51)</x:f>
        <x:v>0.572180000000003</x:v>
      </x:c>
      <x:c r="P51" s="36" t="n">
        <x:v>268.06954</x:v>
      </x:c>
      <x:c r="Q51" s="36" t="n">
        <x:f>IF(P51="","",P51-E51)</x:f>
        <x:v>0.0695400000000177</x:v>
      </x:c>
      <x:c r="R51" s="36" t="n">
        <x:v>0.03932</x:v>
      </x:c>
      <x:c r="S51" s="36" t="n">
        <x:v>0.17205</x:v>
      </x:c>
      <x:c r="T51" s="36" t="n">
        <x:v>0.26149</x:v>
      </x:c>
      <x:c r="U51" s="36" t="n">
        <x:v>0.32105</x:v>
      </x:c>
      <x:c r="V51" s="37" t="n">
        <x:v>16.9</x:v>
      </x:c>
      <x:c r="W51" s="37" t="n">
        <x:v>0.41</x:v>
      </x:c>
      <x:c r="X51" s="37" t="n">
        <x:v>1.27</x:v>
      </x:c>
      <x:c r="Y51" s="37" t="n">
        <x:v>1.69</x:v>
      </x:c>
      <x:c r="Z51" s="37" t="n">
        <x:f>IF(OR(U51="",U51=0),"",R51^2/U51^2*100)</x:f>
        <x:v>1.4999668803022594</x:v>
      </x:c>
      <x:c r="AA51" s="37" t="n">
        <x:f>IF(OR(U51="",U51=0),"",S51^2/U51^2*100)</x:f>
        <x:v>28.71864898022256</x:v>
      </x:c>
      <x:c r="AB51" s="37" t="n">
        <x:f>IF(OR(U51="",U51=0),"",T51^2/U51^2*100)</x:f>
        <x:v>66.3383738740182</x:v>
      </x:c>
      <x:c r="AC51" s="26" t="str">
        <x:f>IF(U51="","",IF(R51=MAX(R51:T51),"X",IF(S51=MAX(R51:T51),"Y","Z")))</x:f>
        <x:v>Z</x:v>
      </x:c>
      <x:c r="AD51" s="36" t="n">
        <x:f>IF(OR(R51="",R51=0,S51=""),"",S51/R51)</x:f>
        <x:v>4.375635808748728</x:v>
      </x:c>
      <x:c r="AE51" s="36" t="n">
        <x:f>IF(OR(R51="",R51=0,T51=""),"",T51/R51)</x:f>
        <x:v>6.65030518819939</x:v>
      </x:c>
      <x:c r="AF51" s="36" t="n">
        <x:f>IF(OR(R51="",F51=0),"",R51/F51)</x:f>
        <x:v>0.013106666666666668</x:v>
      </x:c>
      <x:c r="AG51" s="36" t="n">
        <x:f>IF(OR(S51="",F51=0),"",S51/F51)</x:f>
        <x:v>0.057350000000000005</x:v>
      </x:c>
      <x:c r="AH51" s="36" t="n">
        <x:f>IF(OR(T51="",F51=0),"",T51/F51)</x:f>
        <x:v>0.08716333333333333</x:v>
      </x:c>
      <x:c r="AI51" s="36" t="n">
        <x:f>IF(OR(U51="",F51=0),"",U51/F51)</x:f>
        <x:v>0.10701666666666666</x:v>
      </x:c>
      <x:c r="AJ51" s="26" t="str">
        <x:f>IF(G51=0,"NO VALID SUMMARY",IF(J51&lt;=Settings_Glossary!$B$4,"Excellent",IF(J51&lt;=Settings_Glossary!$B$5,"Acceptable","Review")))</x:f>
        <x:v>Acceptable</x:v>
      </x:c>
      <x:c r="AK51" s="26" t="str">
        <x:f>IF(G51=0,"No valid repeats",IF(G51&lt;2,"Single repeat / repeat needed",IF(Y51&lt;=Settings_Glossary!$B$6,"Good","Review")))</x:f>
        <x:v>Good</x:v>
      </x:c>
      <x:c r="AL51" s="26" t="str">
        <x:v>Assess high-drive coupling, phase, and amplitude limits</x:v>
      </x:c>
      <x:c r="AM51" s="26" t="str">
        <x:v>2 repeats per DAC, 268 Hz, DAC 1–15</x:v>
      </x:c>
    </x:row>
    <x:row r="52">
      <x:c r="A52" s="26" t="str">
        <x:v>K4</x:v>
      </x:c>
      <x:c r="B52" s="26" t="str">
        <x:v>Horizontal / flat</x:v>
      </x:c>
      <x:c r="C52" s="26" t="str">
        <x:v>Highest tested</x:v>
      </x:c>
      <x:c r="D52" s="26" t="str">
        <x:v>Pasted text (4).txt</x:v>
      </x:c>
      <x:c r="E52" s="36" t="n">
        <x:v>268</x:v>
      </x:c>
      <x:c r="F52" s="37" t="n">
        <x:v>4</x:v>
      </x:c>
      <x:c r="G52" s="38" t="n">
        <x:v>2</x:v>
      </x:c>
      <x:c r="H52" s="36" t="n">
        <x:v>268.08084</x:v>
      </x:c>
      <x:c r="I52" s="36" t="n">
        <x:f>IF(H52="","",H52-E52)</x:f>
        <x:v>0.08084000000002334</x:v>
      </x:c>
      <x:c r="J52" s="36" t="n">
        <x:f>IF(I52="","",ABS(I52))</x:f>
        <x:v>0.08084000000002334</x:v>
      </x:c>
      <x:c r="K52" s="39" t="n">
        <x:f>IF(I52="","",ABS(I52/E52)*100)</x:f>
        <x:v>0.030164179104486318</x:v>
      </x:c>
      <x:c r="L52" s="36" t="n">
        <x:v>260.17098</x:v>
      </x:c>
      <x:c r="M52" s="36" t="n">
        <x:f>IF(L52="","",L52-E52)</x:f>
        <x:v>-7.829020000000014</x:v>
      </x:c>
      <x:c r="N52" s="36" t="n">
        <x:v>268.11838</x:v>
      </x:c>
      <x:c r="O52" s="36" t="n">
        <x:f>IF(N52="","",N52-E52)</x:f>
        <x:v>0.11838000000000193</x:v>
      </x:c>
      <x:c r="P52" s="36" t="n">
        <x:v>268.05415</x:v>
      </x:c>
      <x:c r="Q52" s="36" t="n">
        <x:f>IF(P52="","",P52-E52)</x:f>
        <x:v>0.054149999999992815</x:v>
      </x:c>
      <x:c r="R52" s="36" t="n">
        <x:v>0.0697</x:v>
      </x:c>
      <x:c r="S52" s="36" t="n">
        <x:v>0.27768</x:v>
      </x:c>
      <x:c r="T52" s="36" t="n">
        <x:v>0.43851</x:v>
      </x:c>
      <x:c r="U52" s="36" t="n">
        <x:v>0.52925</x:v>
      </x:c>
      <x:c r="V52" s="37" t="n">
        <x:v>6.99</x:v>
      </x:c>
      <x:c r="W52" s="37" t="n">
        <x:v>0.62</x:v>
      </x:c>
      <x:c r="X52" s="37" t="n">
        <x:v>0.05</x:v>
      </x:c>
      <x:c r="Y52" s="37" t="n">
        <x:v>1.17</x:v>
      </x:c>
      <x:c r="Z52" s="37" t="n">
        <x:f>IF(OR(U52="",U52=0),"",R52^2/U52^2*100)</x:f>
        <x:v>1.734378266765052</x:v>
      </x:c>
      <x:c r="AA52" s="37" t="n">
        <x:f>IF(OR(U52="",U52=0),"",S52^2/U52^2*100)</x:f>
        <x:v>27.527544155785904</x:v>
      </x:c>
      <x:c r="AB52" s="37" t="n">
        <x:f>IF(OR(U52="",U52=0),"",T52^2/U52^2*100)</x:f>
        <x:v>68.64948285345102</x:v>
      </x:c>
      <x:c r="AC52" s="26" t="str">
        <x:f>IF(U52="","",IF(R52=MAX(R52:T52),"X",IF(S52=MAX(R52:T52),"Y","Z")))</x:f>
        <x:v>Z</x:v>
      </x:c>
      <x:c r="AD52" s="36" t="n">
        <x:f>IF(OR(R52="",R52=0,S52=""),"",S52/R52)</x:f>
        <x:v>3.9839311334289813</x:v>
      </x:c>
      <x:c r="AE52" s="36" t="n">
        <x:f>IF(OR(R52="",R52=0,T52=""),"",T52/R52)</x:f>
        <x:v>6.291391678622669</x:v>
      </x:c>
      <x:c r="AF52" s="36" t="n">
        <x:f>IF(OR(R52="",F52=0),"",R52/F52)</x:f>
        <x:v>0.017425</x:v>
      </x:c>
      <x:c r="AG52" s="36" t="n">
        <x:f>IF(OR(S52="",F52=0),"",S52/F52)</x:f>
        <x:v>0.06942</x:v>
      </x:c>
      <x:c r="AH52" s="36" t="n">
        <x:f>IF(OR(T52="",F52=0),"",T52/F52)</x:f>
        <x:v>0.1096275</x:v>
      </x:c>
      <x:c r="AI52" s="36" t="n">
        <x:f>IF(OR(U52="",F52=0),"",U52/F52)</x:f>
        <x:v>0.1323125</x:v>
      </x:c>
      <x:c r="AJ52" s="26" t="str">
        <x:f>IF(G52=0,"NO VALID SUMMARY",IF(J52&lt;=Settings_Glossary!$B$4,"Excellent",IF(J52&lt;=Settings_Glossary!$B$5,"Acceptable","Review")))</x:f>
        <x:v>Excellent</x:v>
      </x:c>
      <x:c r="AK52" s="26" t="str">
        <x:f>IF(G52=0,"No valid repeats",IF(G52&lt;2,"Single repeat / repeat needed",IF(Y52&lt;=Settings_Glossary!$B$6,"Good","Review")))</x:f>
        <x:v>Good</x:v>
      </x:c>
      <x:c r="AL52" s="26" t="str">
        <x:v>Assess high-drive coupling, phase, and amplitude limits</x:v>
      </x:c>
      <x:c r="AM52" s="26" t="str">
        <x:v>2 repeats per DAC, 268 Hz, DAC 1–15</x:v>
      </x:c>
    </x:row>
    <x:row r="53">
      <x:c r="A53" s="26" t="str">
        <x:v>K4</x:v>
      </x:c>
      <x:c r="B53" s="26" t="str">
        <x:v>Horizontal / flat</x:v>
      </x:c>
      <x:c r="C53" s="26" t="str">
        <x:v>Highest tested</x:v>
      </x:c>
      <x:c r="D53" s="26" t="str">
        <x:v>Pasted text (4).txt</x:v>
      </x:c>
      <x:c r="E53" s="36" t="n">
        <x:v>268</x:v>
      </x:c>
      <x:c r="F53" s="37" t="n">
        <x:v>5</x:v>
      </x:c>
      <x:c r="G53" s="38" t="n">
        <x:v>2</x:v>
      </x:c>
      <x:c r="H53" s="36" t="n">
        <x:v>268.02701</x:v>
      </x:c>
      <x:c r="I53" s="36" t="n">
        <x:f>IF(H53="","",H53-E53)</x:f>
        <x:v>0.027010000000018408</x:v>
      </x:c>
      <x:c r="J53" s="36" t="n">
        <x:f>IF(I53="","",ABS(I53))</x:f>
        <x:v>0.027010000000018408</x:v>
      </x:c>
      <x:c r="K53" s="39" t="n">
        <x:f>IF(I53="","",ABS(I53/E53)*100)</x:f>
        <x:v>0.010078358208962093</x:v>
      </x:c>
      <x:c r="L53" s="36" t="n">
        <x:v>268.44615</x:v>
      </x:c>
      <x:c r="M53" s="36" t="n">
        <x:f>IF(L53="","",L53-E53)</x:f>
        <x:v>0.4461499999999887</x:v>
      </x:c>
      <x:c r="N53" s="36" t="n">
        <x:v>268.06859</x:v>
      </x:c>
      <x:c r="O53" s="36" t="n">
        <x:f>IF(N53="","",N53-E53)</x:f>
        <x:v>0.06858999999997195</x:v>
      </x:c>
      <x:c r="P53" s="36" t="n">
        <x:v>268.00925</x:v>
      </x:c>
      <x:c r="Q53" s="36" t="n">
        <x:f>IF(P53="","",P53-E53)</x:f>
        <x:v>0.00925000000000864</x:v>
      </x:c>
      <x:c r="R53" s="36" t="n">
        <x:v>0.04331</x:v>
      </x:c>
      <x:c r="S53" s="36" t="n">
        <x:v>0.34929</x:v>
      </x:c>
      <x:c r="T53" s="36" t="n">
        <x:v>0.64902</x:v>
      </x:c>
      <x:c r="U53" s="36" t="n">
        <x:v>0.74277</x:v>
      </x:c>
      <x:c r="V53" s="37" t="n">
        <x:v>7.69</x:v>
      </x:c>
      <x:c r="W53" s="37" t="n">
        <x:v>12.03</x:v>
      </x:c>
      <x:c r="X53" s="37" t="n">
        <x:v>2.55</x:v>
      </x:c>
      <x:c r="Y53" s="37" t="n">
        <x:v>4.47</x:v>
      </x:c>
      <x:c r="Z53" s="37" t="n">
        <x:f>IF(OR(U53="",U53=0),"",R53^2/U53^2*100)</x:f>
        <x:v>0.3399911859309477</x:v>
      </x:c>
      <x:c r="AA53" s="37" t="n">
        <x:f>IF(OR(U53="",U53=0),"",S53^2/U53^2*100)</x:f>
        <x:v>22.11381109019996</x:v>
      </x:c>
      <x:c r="AB53" s="37" t="n">
        <x:f>IF(OR(U53="",U53=0),"",T53^2/U53^2*100)</x:f>
        <x:v>76.34972042073291</x:v>
      </x:c>
      <x:c r="AC53" s="26" t="str">
        <x:f>IF(U53="","",IF(R53=MAX(R53:T53),"X",IF(S53=MAX(R53:T53),"Y","Z")))</x:f>
        <x:v>Z</x:v>
      </x:c>
      <x:c r="AD53" s="36" t="n">
        <x:f>IF(OR(R53="",R53=0,S53=""),"",S53/R53)</x:f>
        <x:v>8.064881089817593</x:v>
      </x:c>
      <x:c r="AE53" s="36" t="n">
        <x:f>IF(OR(R53="",R53=0,T53=""),"",T53/R53)</x:f>
        <x:v>14.985453705841607</x:v>
      </x:c>
      <x:c r="AF53" s="36" t="n">
        <x:f>IF(OR(R53="",F53=0),"",R53/F53)</x:f>
        <x:v>0.008662</x:v>
      </x:c>
      <x:c r="AG53" s="36" t="n">
        <x:f>IF(OR(S53="",F53=0),"",S53/F53)</x:f>
        <x:v>0.069858</x:v>
      </x:c>
      <x:c r="AH53" s="36" t="n">
        <x:f>IF(OR(T53="",F53=0),"",T53/F53)</x:f>
        <x:v>0.129804</x:v>
      </x:c>
      <x:c r="AI53" s="36" t="n">
        <x:f>IF(OR(U53="",F53=0),"",U53/F53)</x:f>
        <x:v>0.14855400000000002</x:v>
      </x:c>
      <x:c r="AJ53" s="26" t="str">
        <x:f>IF(G53=0,"NO VALID SUMMARY",IF(J53&lt;=Settings_Glossary!$B$4,"Excellent",IF(J53&lt;=Settings_Glossary!$B$5,"Acceptable","Review")))</x:f>
        <x:v>Excellent</x:v>
      </x:c>
      <x:c r="AK53" s="26" t="str">
        <x:f>IF(G53=0,"No valid repeats",IF(G53&lt;2,"Single repeat / repeat needed",IF(Y53&lt;=Settings_Glossary!$B$6,"Good","Review")))</x:f>
        <x:v>Good</x:v>
      </x:c>
      <x:c r="AL53" s="26" t="str">
        <x:v>Assess high-drive coupling, phase, and amplitude limits</x:v>
      </x:c>
      <x:c r="AM53" s="26" t="str">
        <x:v>2 repeats per DAC, 268 Hz, DAC 1–15</x:v>
      </x:c>
    </x:row>
    <x:row r="54">
      <x:c r="A54" s="26" t="str">
        <x:v>K4</x:v>
      </x:c>
      <x:c r="B54" s="26" t="str">
        <x:v>Horizontal / flat</x:v>
      </x:c>
      <x:c r="C54" s="26" t="str">
        <x:v>Highest tested</x:v>
      </x:c>
      <x:c r="D54" s="26" t="str">
        <x:v>Pasted text (4).txt</x:v>
      </x:c>
      <x:c r="E54" s="36" t="n">
        <x:v>268</x:v>
      </x:c>
      <x:c r="F54" s="37" t="n">
        <x:v>6</x:v>
      </x:c>
      <x:c r="G54" s="38" t="n">
        <x:v>2</x:v>
      </x:c>
      <x:c r="H54" s="36" t="n">
        <x:v>268.10083</x:v>
      </x:c>
      <x:c r="I54" s="36" t="n">
        <x:f>IF(H54="","",H54-E54)</x:f>
        <x:v>0.10082999999997355</x:v>
      </x:c>
      <x:c r="J54" s="36" t="n">
        <x:f>IF(I54="","",ABS(I54))</x:f>
        <x:v>0.10082999999997355</x:v>
      </x:c>
      <x:c r="K54" s="39" t="n">
        <x:f>IF(I54="","",ABS(I54/E54)*100)</x:f>
        <x:v>0.03762313432834834</x:v>
      </x:c>
      <x:c r="L54" s="36" t="n">
        <x:v>267.9879</x:v>
      </x:c>
      <x:c r="M54" s="36" t="n">
        <x:f>IF(L54="","",L54-E54)</x:f>
        <x:v>-0.012099999999975353</x:v>
      </x:c>
      <x:c r="N54" s="36" t="n">
        <x:v>268.36791</x:v>
      </x:c>
      <x:c r="O54" s="36" t="n">
        <x:f>IF(N54="","",N54-E54)</x:f>
        <x:v>0.36790999999999485</x:v>
      </x:c>
      <x:c r="P54" s="36" t="n">
        <x:v>268.00379</x:v>
      </x:c>
      <x:c r="Q54" s="36" t="n">
        <x:f>IF(P54="","",P54-E54)</x:f>
        <x:v>0.0037899999999808642</x:v>
      </x:c>
      <x:c r="R54" s="36" t="n">
        <x:v>0.07535</x:v>
      </x:c>
      <x:c r="S54" s="36" t="n">
        <x:v>0.47174</x:v>
      </x:c>
      <x:c r="T54" s="36" t="n">
        <x:v>0.89998</x:v>
      </x:c>
      <x:c r="U54" s="36" t="n">
        <x:v>1.02173</x:v>
      </x:c>
      <x:c r="V54" s="37" t="n">
        <x:v>2.94</x:v>
      </x:c>
      <x:c r="W54" s="37" t="n">
        <x:v>7.08</x:v>
      </x:c>
      <x:c r="X54" s="37" t="n">
        <x:v>1.44</x:v>
      </x:c>
      <x:c r="Y54" s="37" t="n">
        <x:v>2.41</x:v>
      </x:c>
      <x:c r="Z54" s="37" t="n">
        <x:f>IF(OR(U54="",U54=0),"",R54^2/U54^2*100)</x:f>
        <x:v>0.5438688967171136</x:v>
      </x:c>
      <x:c r="AA54" s="37" t="n">
        <x:f>IF(OR(U54="",U54=0),"",S54^2/U54^2*100)</x:f>
        <x:v>21.317345045351747</x:v>
      </x:c>
      <x:c r="AB54" s="37" t="n">
        <x:f>IF(OR(U54="",U54=0),"",T54^2/U54^2*100)</x:f>
        <x:v>77.5877979344572</x:v>
      </x:c>
      <x:c r="AC54" s="26" t="str">
        <x:f>IF(U54="","",IF(R54=MAX(R54:T54),"X",IF(S54=MAX(R54:T54),"Y","Z")))</x:f>
        <x:v>Z</x:v>
      </x:c>
      <x:c r="AD54" s="36" t="n">
        <x:f>IF(OR(R54="",R54=0,S54=""),"",S54/R54)</x:f>
        <x:v>6.260650298606503</x:v>
      </x:c>
      <x:c r="AE54" s="36" t="n">
        <x:f>IF(OR(R54="",R54=0,T54=""),"",T54/R54)</x:f>
        <x:v>11.943994691439947</x:v>
      </x:c>
      <x:c r="AF54" s="36" t="n">
        <x:f>IF(OR(R54="",F54=0),"",R54/F54)</x:f>
        <x:v>0.012558333333333333</x:v>
      </x:c>
      <x:c r="AG54" s="36" t="n">
        <x:f>IF(OR(S54="",F54=0),"",S54/F54)</x:f>
        <x:v>0.07862333333333334</x:v>
      </x:c>
      <x:c r="AH54" s="36" t="n">
        <x:f>IF(OR(T54="",F54=0),"",T54/F54)</x:f>
        <x:v>0.14999666666666667</x:v>
      </x:c>
      <x:c r="AI54" s="36" t="n">
        <x:f>IF(OR(U54="",F54=0),"",U54/F54)</x:f>
        <x:v>0.17028833333333335</x:v>
      </x:c>
      <x:c r="AJ54" s="26" t="str">
        <x:f>IF(G54=0,"NO VALID SUMMARY",IF(J54&lt;=Settings_Glossary!$B$4,"Excellent",IF(J54&lt;=Settings_Glossary!$B$5,"Acceptable","Review")))</x:f>
        <x:v>Acceptable</x:v>
      </x:c>
      <x:c r="AK54" s="26" t="str">
        <x:f>IF(G54=0,"No valid repeats",IF(G54&lt;2,"Single repeat / repeat needed",IF(Y54&lt;=Settings_Glossary!$B$6,"Good","Review")))</x:f>
        <x:v>Good</x:v>
      </x:c>
      <x:c r="AL54" s="26" t="str">
        <x:v>Assess high-drive coupling, phase, and amplitude limits</x:v>
      </x:c>
      <x:c r="AM54" s="26" t="str">
        <x:v>2 repeats per DAC, 268 Hz, DAC 1–15</x:v>
      </x:c>
    </x:row>
    <x:row r="55">
      <x:c r="A55" s="26" t="str">
        <x:v>K4</x:v>
      </x:c>
      <x:c r="B55" s="26" t="str">
        <x:v>Horizontal / flat</x:v>
      </x:c>
      <x:c r="C55" s="26" t="str">
        <x:v>Highest tested</x:v>
      </x:c>
      <x:c r="D55" s="26" t="str">
        <x:v>Pasted text (4).txt</x:v>
      </x:c>
      <x:c r="E55" s="36" t="n">
        <x:v>268</x:v>
      </x:c>
      <x:c r="F55" s="37" t="n">
        <x:v>7</x:v>
      </x:c>
      <x:c r="G55" s="38" t="n">
        <x:v>2</x:v>
      </x:c>
      <x:c r="H55" s="36" t="n">
        <x:v>268.01697</x:v>
      </x:c>
      <x:c r="I55" s="36" t="n">
        <x:f>IF(H55="","",H55-E55)</x:f>
        <x:v>0.016970000000014807</x:v>
      </x:c>
      <x:c r="J55" s="36" t="n">
        <x:f>IF(I55="","",ABS(I55))</x:f>
        <x:v>0.016970000000014807</x:v>
      </x:c>
      <x:c r="K55" s="39" t="n">
        <x:f>IF(I55="","",ABS(I55/E55)*100)</x:f>
        <x:v>0.006332089552244331</x:v>
      </x:c>
      <x:c r="L55" s="36" t="n">
        <x:v>268.07487</x:v>
      </x:c>
      <x:c r="M55" s="36" t="n">
        <x:f>IF(L55="","",L55-E55)</x:f>
        <x:v>0.07486999999997579</x:v>
      </x:c>
      <x:c r="N55" s="36" t="n">
        <x:v>267.98675</x:v>
      </x:c>
      <x:c r="O55" s="36" t="n">
        <x:f>IF(N55="","",N55-E55)</x:f>
        <x:v>-0.01325000000002774</x:v>
      </x:c>
      <x:c r="P55" s="36" t="n">
        <x:v>268.02452</x:v>
      </x:c>
      <x:c r="Q55" s="36" t="n">
        <x:f>IF(P55="","",P55-E55)</x:f>
        <x:v>0.024519999999995434</x:v>
      </x:c>
      <x:c r="R55" s="36" t="n">
        <x:v>0.08714</x:v>
      </x:c>
      <x:c r="S55" s="36" t="n">
        <x:v>0.64373</x:v>
      </x:c>
      <x:c r="T55" s="36" t="n">
        <x:v>1.24313</x:v>
      </x:c>
      <x:c r="U55" s="36" t="n">
        <x:v>1.40291</x:v>
      </x:c>
      <x:c r="V55" s="37" t="n">
        <x:v>25.2</x:v>
      </x:c>
      <x:c r="W55" s="37" t="n">
        <x:v>0.96</x:v>
      </x:c>
      <x:c r="X55" s="37" t="n">
        <x:v>1.35</x:v>
      </x:c>
      <x:c r="Y55" s="37" t="n">
        <x:v>1.36</x:v>
      </x:c>
      <x:c r="Z55" s="37" t="n">
        <x:f>IF(OR(U55="",U55=0),"",R55^2/U55^2*100)</x:f>
        <x:v>0.3858117849405755</x:v>
      </x:c>
      <x:c r="AA55" s="37" t="n">
        <x:f>IF(OR(U55="",U55=0),"",S55^2/U55^2*100)</x:f>
        <x:v>21.054642738848816</x:v>
      </x:c>
      <x:c r="AB55" s="37" t="n">
        <x:f>IF(OR(U55="",U55=0),"",T55^2/U55^2*100)</x:f>
        <x:v>78.51876728031976</x:v>
      </x:c>
      <x:c r="AC55" s="26" t="str">
        <x:f>IF(U55="","",IF(R55=MAX(R55:T55),"X",IF(S55=MAX(R55:T55),"Y","Z")))</x:f>
        <x:v>Z</x:v>
      </x:c>
      <x:c r="AD55" s="36" t="n">
        <x:f>IF(OR(R55="",R55=0,S55=""),"",S55/R55)</x:f>
        <x:v>7.3873077805829706</x:v>
      </x:c>
      <x:c r="AE55" s="36" t="n">
        <x:f>IF(OR(R55="",R55=0,T55=""),"",T55/R55)</x:f>
        <x:v>14.265893963736518</x:v>
      </x:c>
      <x:c r="AF55" s="36" t="n">
        <x:f>IF(OR(R55="",F55=0),"",R55/F55)</x:f>
        <x:v>0.012448571428571429</x:v>
      </x:c>
      <x:c r="AG55" s="36" t="n">
        <x:f>IF(OR(S55="",F55=0),"",S55/F55)</x:f>
        <x:v>0.09196142857142857</x:v>
      </x:c>
      <x:c r="AH55" s="36" t="n">
        <x:f>IF(OR(T55="",F55=0),"",T55/F55)</x:f>
        <x:v>0.17759</x:v>
      </x:c>
      <x:c r="AI55" s="36" t="n">
        <x:f>IF(OR(U55="",F55=0),"",U55/F55)</x:f>
        <x:v>0.2004157142857143</x:v>
      </x:c>
      <x:c r="AJ55" s="26" t="str">
        <x:f>IF(G55=0,"NO VALID SUMMARY",IF(J55&lt;=Settings_Glossary!$B$4,"Excellent",IF(J55&lt;=Settings_Glossary!$B$5,"Acceptable","Review")))</x:f>
        <x:v>Excellent</x:v>
      </x:c>
      <x:c r="AK55" s="26" t="str">
        <x:f>IF(G55=0,"No valid repeats",IF(G55&lt;2,"Single repeat / repeat needed",IF(Y55&lt;=Settings_Glossary!$B$6,"Good","Review")))</x:f>
        <x:v>Good</x:v>
      </x:c>
      <x:c r="AL55" s="26" t="str">
        <x:v>Assess high-drive coupling, phase, and amplitude limits</x:v>
      </x:c>
      <x:c r="AM55" s="26" t="str">
        <x:v>2 repeats per DAC, 268 Hz, DAC 1–15</x:v>
      </x:c>
    </x:row>
    <x:row r="56">
      <x:c r="A56" s="26" t="str">
        <x:v>K4</x:v>
      </x:c>
      <x:c r="B56" s="26" t="str">
        <x:v>Horizontal / flat</x:v>
      </x:c>
      <x:c r="C56" s="26" t="str">
        <x:v>Highest tested</x:v>
      </x:c>
      <x:c r="D56" s="26" t="str">
        <x:v>Pasted text (4).txt</x:v>
      </x:c>
      <x:c r="E56" s="36" t="n">
        <x:v>268</x:v>
      </x:c>
      <x:c r="F56" s="37" t="n">
        <x:v>8</x:v>
      </x:c>
      <x:c r="G56" s="38" t="n">
        <x:v>2</x:v>
      </x:c>
      <x:c r="H56" s="36" t="n">
        <x:v>268.00963</x:v>
      </x:c>
      <x:c r="I56" s="36" t="n">
        <x:f>IF(H56="","",H56-E56)</x:f>
        <x:v>0.00963000000001557</x:v>
      </x:c>
      <x:c r="J56" s="36" t="n">
        <x:f>IF(I56="","",ABS(I56))</x:f>
        <x:v>0.00963000000001557</x:v>
      </x:c>
      <x:c r="K56" s="39" t="n">
        <x:f>IF(I56="","",ABS(I56/E56)*100)</x:f>
        <x:v>0.003593283582095362</x:v>
      </x:c>
      <x:c r="L56" s="36" t="n">
        <x:v>268.01295</x:v>
      </x:c>
      <x:c r="M56" s="36" t="n">
        <x:f>IF(L56="","",L56-E56)</x:f>
        <x:v>0.012949999999989359</x:v>
      </x:c>
      <x:c r="N56" s="36" t="n">
        <x:v>268.00648</x:v>
      </x:c>
      <x:c r="O56" s="36" t="n">
        <x:f>IF(N56="","",N56-E56)</x:f>
        <x:v>0.006480000000010477</x:v>
      </x:c>
      <x:c r="P56" s="36" t="n">
        <x:v>268.01015</x:v>
      </x:c>
      <x:c r="Q56" s="36" t="n">
        <x:f>IF(P56="","",P56-E56)</x:f>
        <x:v>0.010150000000010095</x:v>
      </x:c>
      <x:c r="R56" s="36" t="n">
        <x:v>0.10376</x:v>
      </x:c>
      <x:c r="S56" s="36" t="n">
        <x:v>0.85774</x:v>
      </x:c>
      <x:c r="T56" s="36" t="n">
        <x:v>1.57001</x:v>
      </x:c>
      <x:c r="U56" s="36" t="n">
        <x:v>1.79271</x:v>
      </x:c>
      <x:c r="V56" s="37" t="n">
        <x:v>8.4</x:v>
      </x:c>
      <x:c r="W56" s="37" t="n">
        <x:v>1.16</x:v>
      </x:c>
      <x:c r="X56" s="37" t="n">
        <x:v>0.35</x:v>
      </x:c>
      <x:c r="Y56" s="37" t="n">
        <x:v>0.04</x:v>
      </x:c>
      <x:c r="Z56" s="37" t="n">
        <x:f>IF(OR(U56="",U56=0),"",R56^2/U56^2*100)</x:f>
        <x:v>0.33499617174731033</x:v>
      </x:c>
      <x:c r="AA56" s="37" t="n">
        <x:f>IF(OR(U56="",U56=0),"",S56^2/U56^2*100)</x:f>
        <x:v>22.89239574013445</x:v>
      </x:c>
      <x:c r="AB56" s="37" t="n">
        <x:f>IF(OR(U56="",U56=0),"",T56^2/U56^2*100)</x:f>
        <x:v>76.69812641566438</x:v>
      </x:c>
      <x:c r="AC56" s="26" t="str">
        <x:f>IF(U56="","",IF(R56=MAX(R56:T56),"X",IF(S56=MAX(R56:T56),"Y","Z")))</x:f>
        <x:v>Z</x:v>
      </x:c>
      <x:c r="AD56" s="36" t="n">
        <x:f>IF(OR(R56="",R56=0,S56=""),"",S56/R56)</x:f>
        <x:v>8.266576715497301</x:v>
      </x:c>
      <x:c r="AE56" s="36" t="n">
        <x:f>IF(OR(R56="",R56=0,T56=""),"",T56/R56)</x:f>
        <x:v>15.131168080185041</x:v>
      </x:c>
      <x:c r="AF56" s="36" t="n">
        <x:f>IF(OR(R56="",F56=0),"",R56/F56)</x:f>
        <x:v>0.01297</x:v>
      </x:c>
      <x:c r="AG56" s="36" t="n">
        <x:f>IF(OR(S56="",F56=0),"",S56/F56)</x:f>
        <x:v>0.1072175</x:v>
      </x:c>
      <x:c r="AH56" s="36" t="n">
        <x:f>IF(OR(T56="",F56=0),"",T56/F56)</x:f>
        <x:v>0.19625125</x:v>
      </x:c>
      <x:c r="AI56" s="36" t="n">
        <x:f>IF(OR(U56="",F56=0),"",U56/F56)</x:f>
        <x:v>0.22408875</x:v>
      </x:c>
      <x:c r="AJ56" s="26" t="str">
        <x:f>IF(G56=0,"NO VALID SUMMARY",IF(J56&lt;=Settings_Glossary!$B$4,"Excellent",IF(J56&lt;=Settings_Glossary!$B$5,"Acceptable","Review")))</x:f>
        <x:v>Excellent</x:v>
      </x:c>
      <x:c r="AK56" s="26" t="str">
        <x:f>IF(G56=0,"No valid repeats",IF(G56&lt;2,"Single repeat / repeat needed",IF(Y56&lt;=Settings_Glossary!$B$6,"Good","Review")))</x:f>
        <x:v>Good</x:v>
      </x:c>
      <x:c r="AL56" s="26" t="str">
        <x:v>Assess high-drive coupling, phase, and amplitude limits</x:v>
      </x:c>
      <x:c r="AM56" s="26" t="str">
        <x:v>2 repeats per DAC, 268 Hz, DAC 1–15</x:v>
      </x:c>
    </x:row>
    <x:row r="57">
      <x:c r="A57" s="26" t="str">
        <x:v>K4</x:v>
      </x:c>
      <x:c r="B57" s="26" t="str">
        <x:v>Horizontal / flat</x:v>
      </x:c>
      <x:c r="C57" s="26" t="str">
        <x:v>Highest tested</x:v>
      </x:c>
      <x:c r="D57" s="26" t="str">
        <x:v>Pasted text (4).txt</x:v>
      </x:c>
      <x:c r="E57" s="36" t="n">
        <x:v>268</x:v>
      </x:c>
      <x:c r="F57" s="37" t="n">
        <x:v>9</x:v>
      </x:c>
      <x:c r="G57" s="38" t="n">
        <x:v>2</x:v>
      </x:c>
      <x:c r="H57" s="36" t="n">
        <x:v>268.02554</x:v>
      </x:c>
      <x:c r="I57" s="36" t="n">
        <x:f>IF(H57="","",H57-E57)</x:f>
        <x:v>0.025539999999978136</x:v>
      </x:c>
      <x:c r="J57" s="36" t="n">
        <x:f>IF(I57="","",ABS(I57))</x:f>
        <x:v>0.025539999999978136</x:v>
      </x:c>
      <x:c r="K57" s="39" t="n">
        <x:f>IF(I57="","",ABS(I57/E57)*100)</x:f>
        <x:v>0.009529850746260499</x:v>
      </x:c>
      <x:c r="L57" s="36" t="n">
        <x:v>267.92848</x:v>
      </x:c>
      <x:c r="M57" s="36" t="n">
        <x:f>IF(L57="","",L57-E57)</x:f>
        <x:v>-0.0715200000000209</x:v>
      </x:c>
      <x:c r="N57" s="36" t="n">
        <x:v>267.99874</x:v>
      </x:c>
      <x:c r="O57" s="36" t="n">
        <x:f>IF(N57="","",N57-E57)</x:f>
        <x:v>-0.0012600000000020373</x:v>
      </x:c>
      <x:c r="P57" s="36" t="n">
        <x:v>268.02969</x:v>
      </x:c>
      <x:c r="Q57" s="36" t="n">
        <x:f>IF(P57="","",P57-E57)</x:f>
        <x:v>0.029690000000016425</x:v>
      </x:c>
      <x:c r="R57" s="36" t="n">
        <x:v>0.16183</x:v>
      </x:c>
      <x:c r="S57" s="36" t="n">
        <x:v>1.2191</x:v>
      </x:c>
      <x:c r="T57" s="36" t="n">
        <x:v>2.10712</x:v>
      </x:c>
      <x:c r="U57" s="36" t="n">
        <x:v>2.44371</x:v>
      </x:c>
      <x:c r="V57" s="37" t="n">
        <x:v>1.2</x:v>
      </x:c>
      <x:c r="W57" s="37" t="n">
        <x:v>7.04</x:v>
      </x:c>
      <x:c r="X57" s="37" t="n">
        <x:v>2.06</x:v>
      </x:c>
      <x:c r="Y57" s="37" t="n">
        <x:v>3.28</x:v>
      </x:c>
      <x:c r="Z57" s="37" t="n">
        <x:f>IF(OR(U57="",U57=0),"",R57^2/U57^2*100)</x:f>
        <x:v>0.4385496171477222</x:v>
      </x:c>
      <x:c r="AA57" s="37" t="n">
        <x:f>IF(OR(U57="",U57=0),"",S57^2/U57^2*100)</x:f>
        <x:v>24.8873886812847</x:v>
      </x:c>
      <x:c r="AB57" s="37" t="n">
        <x:f>IF(OR(U57="",U57=0),"",T57^2/U57^2*100)</x:f>
        <x:v>74.3496976078468</x:v>
      </x:c>
      <x:c r="AC57" s="26" t="str">
        <x:f>IF(U57="","",IF(R57=MAX(R57:T57),"X",IF(S57=MAX(R57:T57),"Y","Z")))</x:f>
        <x:v>Z</x:v>
      </x:c>
      <x:c r="AD57" s="36" t="n">
        <x:f>IF(OR(R57="",R57=0,S57=""),"",S57/R57)</x:f>
        <x:v>7.533213866403016</x:v>
      </x:c>
      <x:c r="AE57" s="36" t="n">
        <x:f>IF(OR(R57="",R57=0,T57=""),"",T57/R57)</x:f>
        <x:v>13.020577148859916</x:v>
      </x:c>
      <x:c r="AF57" s="36" t="n">
        <x:f>IF(OR(R57="",F57=0),"",R57/F57)</x:f>
        <x:v>0.01798111111111111</x:v>
      </x:c>
      <x:c r="AG57" s="36" t="n">
        <x:f>IF(OR(S57="",F57=0),"",S57/F57)</x:f>
        <x:v>0.13545555555555555</x:v>
      </x:c>
      <x:c r="AH57" s="36" t="n">
        <x:f>IF(OR(T57="",F57=0),"",T57/F57)</x:f>
        <x:v>0.23412444444444447</x:v>
      </x:c>
      <x:c r="AI57" s="36" t="n">
        <x:f>IF(OR(U57="",F57=0),"",U57/F57)</x:f>
        <x:v>0.27152333333333334</x:v>
      </x:c>
      <x:c r="AJ57" s="26" t="str">
        <x:f>IF(G57=0,"NO VALID SUMMARY",IF(J57&lt;=Settings_Glossary!$B$4,"Excellent",IF(J57&lt;=Settings_Glossary!$B$5,"Acceptable","Review")))</x:f>
        <x:v>Excellent</x:v>
      </x:c>
      <x:c r="AK57" s="26" t="str">
        <x:f>IF(G57=0,"No valid repeats",IF(G57&lt;2,"Single repeat / repeat needed",IF(Y57&lt;=Settings_Glossary!$B$6,"Good","Review")))</x:f>
        <x:v>Good</x:v>
      </x:c>
      <x:c r="AL57" s="26" t="str">
        <x:v>Assess high-drive coupling, phase, and amplitude limits</x:v>
      </x:c>
      <x:c r="AM57" s="26" t="str">
        <x:v>2 repeats per DAC, 268 Hz, DAC 1–15</x:v>
      </x:c>
    </x:row>
    <x:row r="58">
      <x:c r="A58" s="26" t="str">
        <x:v>K4</x:v>
      </x:c>
      <x:c r="B58" s="26" t="str">
        <x:v>Horizontal / flat</x:v>
      </x:c>
      <x:c r="C58" s="26" t="str">
        <x:v>Highest tested</x:v>
      </x:c>
      <x:c r="D58" s="26" t="str">
        <x:v>Pasted text (4).txt</x:v>
      </x:c>
      <x:c r="E58" s="36" t="n">
        <x:v>268</x:v>
      </x:c>
      <x:c r="F58" s="37" t="n">
        <x:v>10</x:v>
      </x:c>
      <x:c r="G58" s="38" t="n">
        <x:v>2</x:v>
      </x:c>
      <x:c r="H58" s="36" t="n">
        <x:v>268.02737</x:v>
      </x:c>
      <x:c r="I58" s="36" t="n">
        <x:f>IF(H58="","",H58-E58)</x:f>
        <x:v>0.02737000000001899</x:v>
      </x:c>
      <x:c r="J58" s="36" t="n">
        <x:f>IF(I58="","",ABS(I58))</x:f>
        <x:v>0.02737000000001899</x:v>
      </x:c>
      <x:c r="K58" s="39" t="n">
        <x:f>IF(I58="","",ABS(I58/E58)*100)</x:f>
        <x:v>0.010212686567171265</x:v>
      </x:c>
      <x:c r="L58" s="36" t="n">
        <x:v>268.08518</x:v>
      </x:c>
      <x:c r="M58" s="36" t="n">
        <x:f>IF(L58="","",L58-E58)</x:f>
        <x:v>0.08517999999997983</x:v>
      </x:c>
      <x:c r="N58" s="36" t="n">
        <x:v>268.0308</x:v>
      </x:c>
      <x:c r="O58" s="36" t="n">
        <x:f>IF(N58="","",N58-E58)</x:f>
        <x:v>0.030799999999999272</x:v>
      </x:c>
      <x:c r="P58" s="36" t="n">
        <x:v>268.02567</x:v>
      </x:c>
      <x:c r="Q58" s="36" t="n">
        <x:f>IF(P58="","",P58-E58)</x:f>
        <x:v>0.025669999999990978</x:v>
      </x:c>
      <x:c r="R58" s="36" t="n">
        <x:v>0.17331</x:v>
      </x:c>
      <x:c r="S58" s="36" t="n">
        <x:v>1.61149</x:v>
      </x:c>
      <x:c r="T58" s="36" t="n">
        <x:v>2.57913</x:v>
      </x:c>
      <x:c r="U58" s="36" t="n">
        <x:v>3.04648</x:v>
      </x:c>
      <x:c r="V58" s="37" t="n">
        <x:v>11.62</x:v>
      </x:c>
      <x:c r="W58" s="37" t="n">
        <x:v>0</x:v>
      </x:c>
      <x:c r="X58" s="37" t="n">
        <x:v>0.04</x:v>
      </x:c>
      <x:c r="Y58" s="37" t="n">
        <x:v>0.01</x:v>
      </x:c>
      <x:c r="Z58" s="37" t="n">
        <x:f>IF(OR(U58="",U58=0),"",R58^2/U58^2*100)</x:f>
        <x:v>0.32363134774274455</x:v>
      </x:c>
      <x:c r="AA58" s="37" t="n">
        <x:f>IF(OR(U58="",U58=0),"",S58^2/U58^2*100)</x:f>
        <x:v>27.980699478327313</x:v>
      </x:c>
      <x:c r="AB58" s="37" t="n">
        <x:f>IF(OR(U58="",U58=0),"",T58^2/U58^2*100)</x:f>
        <x:v>71.67204620486855</x:v>
      </x:c>
      <x:c r="AC58" s="26" t="str">
        <x:f>IF(U58="","",IF(R58=MAX(R58:T58),"X",IF(S58=MAX(R58:T58),"Y","Z")))</x:f>
        <x:v>Z</x:v>
      </x:c>
      <x:c r="AD58" s="36" t="n">
        <x:f>IF(OR(R58="",R58=0,S58=""),"",S58/R58)</x:f>
        <x:v>9.298309387802204</x:v>
      </x:c>
      <x:c r="AE58" s="36" t="n">
        <x:f>IF(OR(R58="",R58=0,T58=""),"",T58/R58)</x:f>
        <x:v>14.881599446079282</x:v>
      </x:c>
      <x:c r="AF58" s="36" t="n">
        <x:f>IF(OR(R58="",F58=0),"",R58/F58)</x:f>
        <x:v>0.017331</x:v>
      </x:c>
      <x:c r="AG58" s="36" t="n">
        <x:f>IF(OR(S58="",F58=0),"",S58/F58)</x:f>
        <x:v>0.16114900000000001</x:v>
      </x:c>
      <x:c r="AH58" s="36" t="n">
        <x:f>IF(OR(T58="",F58=0),"",T58/F58)</x:f>
        <x:v>0.257913</x:v>
      </x:c>
      <x:c r="AI58" s="36" t="n">
        <x:f>IF(OR(U58="",F58=0),"",U58/F58)</x:f>
        <x:v>0.304648</x:v>
      </x:c>
      <x:c r="AJ58" s="26" t="str">
        <x:f>IF(G58=0,"NO VALID SUMMARY",IF(J58&lt;=Settings_Glossary!$B$4,"Excellent",IF(J58&lt;=Settings_Glossary!$B$5,"Acceptable","Review")))</x:f>
        <x:v>Excellent</x:v>
      </x:c>
      <x:c r="AK58" s="26" t="str">
        <x:f>IF(G58=0,"No valid repeats",IF(G58&lt;2,"Single repeat / repeat needed",IF(Y58&lt;=Settings_Glossary!$B$6,"Good","Review")))</x:f>
        <x:v>Good</x:v>
      </x:c>
      <x:c r="AL58" s="26" t="str">
        <x:v>Assess high-drive coupling, phase, and amplitude limits</x:v>
      </x:c>
      <x:c r="AM58" s="26" t="str">
        <x:v>2 repeats per DAC, 268 Hz, DAC 1–15</x:v>
      </x:c>
    </x:row>
    <x:row r="59">
      <x:c r="A59" s="26" t="str">
        <x:v>K4</x:v>
      </x:c>
      <x:c r="B59" s="26" t="str">
        <x:v>Horizontal / flat</x:v>
      </x:c>
      <x:c r="C59" s="26" t="str">
        <x:v>Highest tested</x:v>
      </x:c>
      <x:c r="D59" s="26" t="str">
        <x:v>Pasted text (4).txt</x:v>
      </x:c>
      <x:c r="E59" s="36" t="n">
        <x:v>268</x:v>
      </x:c>
      <x:c r="F59" s="37" t="n">
        <x:v>11</x:v>
      </x:c>
      <x:c r="G59" s="38" t="n">
        <x:v>2</x:v>
      </x:c>
      <x:c r="H59" s="36" t="n">
        <x:v>268.02516</x:v>
      </x:c>
      <x:c r="I59" s="36" t="n">
        <x:f>IF(H59="","",H59-E59)</x:f>
        <x:v>0.02516000000002805</x:v>
      </x:c>
      <x:c r="J59" s="36" t="n">
        <x:f>IF(I59="","",ABS(I59))</x:f>
        <x:v>0.02516000000002805</x:v>
      </x:c>
      <x:c r="K59" s="39" t="n">
        <x:f>IF(I59="","",ABS(I59/E59)*100)</x:f>
        <x:v>0.009388059701503004</x:v>
      </x:c>
      <x:c r="L59" s="36" t="n">
        <x:v>268.02643</x:v>
      </x:c>
      <x:c r="M59" s="36" t="n">
        <x:f>IF(L59="","",L59-E59)</x:f>
        <x:v>0.02643000000000484</x:v>
      </x:c>
      <x:c r="N59" s="36" t="n">
        <x:v>268.003</x:v>
      </x:c>
      <x:c r="O59" s="36" t="n">
        <x:f>IF(N59="","",N59-E59)</x:f>
        <x:v>0.002999999999985903</x:v>
      </x:c>
      <x:c r="P59" s="36" t="n">
        <x:v>268.03316</x:v>
      </x:c>
      <x:c r="Q59" s="36" t="n">
        <x:f>IF(P59="","",P59-E59)</x:f>
        <x:v>0.033160000000009404</x:v>
      </x:c>
      <x:c r="R59" s="36" t="n">
        <x:v>0.20047</x:v>
      </x:c>
      <x:c r="S59" s="36" t="n">
        <x:v>2.07433</x:v>
      </x:c>
      <x:c r="T59" s="36" t="n">
        <x:v>3.14277</x:v>
      </x:c>
      <x:c r="U59" s="36" t="n">
        <x:v>3.77161</x:v>
      </x:c>
      <x:c r="V59" s="37" t="n">
        <x:v>2.52</x:v>
      </x:c>
      <x:c r="W59" s="37" t="n">
        <x:v>3.22</x:v>
      </x:c>
      <x:c r="X59" s="37" t="n">
        <x:v>4.05</x:v>
      </x:c>
      <x:c r="Y59" s="37" t="n">
        <x:v>3.78</x:v>
      </x:c>
      <x:c r="Z59" s="37" t="n">
        <x:f>IF(OR(U59="",U59=0),"",R59^2/U59^2*100)</x:f>
        <x:v>0.2825174148682224</x:v>
      </x:c>
      <x:c r="AA59" s="37" t="n">
        <x:f>IF(OR(U59="",U59=0),"",S59^2/U59^2*100)</x:f>
        <x:v>30.248381349521647</x:v>
      </x:c>
      <x:c r="AB59" s="37" t="n">
        <x:f>IF(OR(U59="",U59=0),"",T59^2/U59^2*100)</x:f>
        <x:v>69.43391294300065</x:v>
      </x:c>
      <x:c r="AC59" s="26" t="str">
        <x:f>IF(U59="","",IF(R59=MAX(R59:T59),"X",IF(S59=MAX(R59:T59),"Y","Z")))</x:f>
        <x:v>Z</x:v>
      </x:c>
      <x:c r="AD59" s="36" t="n">
        <x:f>IF(OR(R59="",R59=0,S59=""),"",S59/R59)</x:f>
        <x:v>10.347333765650719</x:v>
      </x:c>
      <x:c r="AE59" s="36" t="n">
        <x:f>IF(OR(R59="",R59=0,T59=""),"",T59/R59)</x:f>
        <x:v>15.677009028782361</x:v>
      </x:c>
      <x:c r="AF59" s="36" t="n">
        <x:f>IF(OR(R59="",F59=0),"",R59/F59)</x:f>
        <x:v>0.018224545454545455</x:v>
      </x:c>
      <x:c r="AG59" s="36" t="n">
        <x:f>IF(OR(S59="",F59=0),"",S59/F59)</x:f>
        <x:v>0.18857545454545452</x:v>
      </x:c>
      <x:c r="AH59" s="36" t="n">
        <x:f>IF(OR(T59="",F59=0),"",T59/F59)</x:f>
        <x:v>0.28570636363636365</x:v>
      </x:c>
      <x:c r="AI59" s="36" t="n">
        <x:f>IF(OR(U59="",F59=0),"",U59/F59)</x:f>
        <x:v>0.3428736363636364</x:v>
      </x:c>
      <x:c r="AJ59" s="26" t="str">
        <x:f>IF(G59=0,"NO VALID SUMMARY",IF(J59&lt;=Settings_Glossary!$B$4,"Excellent",IF(J59&lt;=Settings_Glossary!$B$5,"Acceptable","Review")))</x:f>
        <x:v>Excellent</x:v>
      </x:c>
      <x:c r="AK59" s="26" t="str">
        <x:f>IF(G59=0,"No valid repeats",IF(G59&lt;2,"Single repeat / repeat needed",IF(Y59&lt;=Settings_Glossary!$B$6,"Good","Review")))</x:f>
        <x:v>Good</x:v>
      </x:c>
      <x:c r="AL59" s="26" t="str">
        <x:v>Assess high-drive coupling, phase, and amplitude limits</x:v>
      </x:c>
      <x:c r="AM59" s="26" t="str">
        <x:v>2 repeats per DAC, 268 Hz, DAC 1–15</x:v>
      </x:c>
    </x:row>
    <x:row r="60">
      <x:c r="A60" s="26" t="str">
        <x:v>K4</x:v>
      </x:c>
      <x:c r="B60" s="26" t="str">
        <x:v>Horizontal / flat</x:v>
      </x:c>
      <x:c r="C60" s="26" t="str">
        <x:v>Highest tested</x:v>
      </x:c>
      <x:c r="D60" s="26" t="str">
        <x:v>Pasted text (4).txt</x:v>
      </x:c>
      <x:c r="E60" s="36" t="n">
        <x:v>268</x:v>
      </x:c>
      <x:c r="F60" s="37" t="n">
        <x:v>12</x:v>
      </x:c>
      <x:c r="G60" s="38" t="n">
        <x:v>2</x:v>
      </x:c>
      <x:c r="H60" s="36" t="n">
        <x:v>268.02269</x:v>
      </x:c>
      <x:c r="I60" s="36" t="n">
        <x:f>IF(H60="","",H60-E60)</x:f>
        <x:v>0.022690000000011423</x:v>
      </x:c>
      <x:c r="J60" s="36" t="n">
        <x:f>IF(I60="","",ABS(I60))</x:f>
        <x:v>0.022690000000011423</x:v>
      </x:c>
      <x:c r="K60" s="39" t="n">
        <x:f>IF(I60="","",ABS(I60/E60)*100)</x:f>
        <x:v>0.008466417910452023</x:v>
      </x:c>
      <x:c r="L60" s="36" t="n">
        <x:v>267.94451</x:v>
      </x:c>
      <x:c r="M60" s="36" t="n">
        <x:f>IF(L60="","",L60-E60)</x:f>
        <x:v>-0.055490000000020245</x:v>
      </x:c>
      <x:c r="N60" s="36" t="n">
        <x:v>268.00057</x:v>
      </x:c>
      <x:c r="O60" s="36" t="n">
        <x:f>IF(N60="","",N60-E60)</x:f>
        <x:v>0.0005699999999819738</x:v>
      </x:c>
      <x:c r="P60" s="36" t="n">
        <x:v>268.03332</x:v>
      </x:c>
      <x:c r="Q60" s="36" t="n">
        <x:f>IF(P60="","",P60-E60)</x:f>
        <x:v>0.03332000000000335</x:v>
      </x:c>
      <x:c r="R60" s="36" t="n">
        <x:v>0.27203</x:v>
      </x:c>
      <x:c r="S60" s="36" t="n">
        <x:v>2.62407</x:v>
      </x:c>
      <x:c r="T60" s="36" t="n">
        <x:v>3.75415</x:v>
      </x:c>
      <x:c r="U60" s="36" t="n">
        <x:v>4.58934</x:v>
      </x:c>
      <x:c r="V60" s="37" t="n">
        <x:v>6.62</x:v>
      </x:c>
      <x:c r="W60" s="37" t="n">
        <x:v>4.04</x:v>
      </x:c>
      <x:c r="X60" s="37" t="n">
        <x:v>5.98</x:v>
      </x:c>
      <x:c r="Y60" s="37" t="n">
        <x:v>5.35</x:v>
      </x:c>
      <x:c r="Z60" s="37" t="n">
        <x:f>IF(OR(U60="",U60=0),"",R60^2/U60^2*100)</x:f>
        <x:v>0.3513444811300789</x:v>
      </x:c>
      <x:c r="AA60" s="37" t="n">
        <x:f>IF(OR(U60="",U60=0),"",S60^2/U60^2*100)</x:f>
        <x:v>32.69266808997951</x:v>
      </x:c>
      <x:c r="AB60" s="37" t="n">
        <x:f>IF(OR(U60="",U60=0),"",T60^2/U60^2*100)</x:f>
        <x:v>66.91489109336058</x:v>
      </x:c>
      <x:c r="AC60" s="26" t="str">
        <x:f>IF(U60="","",IF(R60=MAX(R60:T60),"X",IF(S60=MAX(R60:T60),"Y","Z")))</x:f>
        <x:v>Z</x:v>
      </x:c>
      <x:c r="AD60" s="36" t="n">
        <x:f>IF(OR(R60="",R60=0,S60=""),"",S60/R60)</x:f>
        <x:v>9.6462522515899</x:v>
      </x:c>
      <x:c r="AE60" s="36" t="n">
        <x:f>IF(OR(R60="",R60=0,T60=""),"",T60/R60)</x:f>
        <x:v>13.800499944859023</x:v>
      </x:c>
      <x:c r="AF60" s="36" t="n">
        <x:f>IF(OR(R60="",F60=0),"",R60/F60)</x:f>
        <x:v>0.022669166666666667</x:v>
      </x:c>
      <x:c r="AG60" s="36" t="n">
        <x:f>IF(OR(S60="",F60=0),"",S60/F60)</x:f>
        <x:v>0.21867250000000002</x:v>
      </x:c>
      <x:c r="AH60" s="36" t="n">
        <x:f>IF(OR(T60="",F60=0),"",T60/F60)</x:f>
        <x:v>0.3128458333333333</x:v>
      </x:c>
      <x:c r="AI60" s="36" t="n">
        <x:f>IF(OR(U60="",F60=0),"",U60/F60)</x:f>
        <x:v>0.382445</x:v>
      </x:c>
      <x:c r="AJ60" s="26" t="str">
        <x:f>IF(G60=0,"NO VALID SUMMARY",IF(J60&lt;=Settings_Glossary!$B$4,"Excellent",IF(J60&lt;=Settings_Glossary!$B$5,"Acceptable","Review")))</x:f>
        <x:v>Excellent</x:v>
      </x:c>
      <x:c r="AK60" s="26" t="str">
        <x:f>IF(G60=0,"No valid repeats",IF(G60&lt;2,"Single repeat / repeat needed",IF(Y60&lt;=Settings_Glossary!$B$6,"Good","Review")))</x:f>
        <x:v>Good</x:v>
      </x:c>
      <x:c r="AL60" s="26" t="str">
        <x:v>Assess high-drive coupling, phase, and amplitude limits</x:v>
      </x:c>
      <x:c r="AM60" s="26" t="str">
        <x:v>2 repeats per DAC, 268 Hz, DAC 1–15</x:v>
      </x:c>
    </x:row>
    <x:row r="61">
      <x:c r="A61" s="26" t="str">
        <x:v>K4</x:v>
      </x:c>
      <x:c r="B61" s="26" t="str">
        <x:v>Horizontal / flat</x:v>
      </x:c>
      <x:c r="C61" s="26" t="str">
        <x:v>Highest tested</x:v>
      </x:c>
      <x:c r="D61" s="26" t="str">
        <x:v>Pasted text (4).txt</x:v>
      </x:c>
      <x:c r="E61" s="36" t="n">
        <x:v>268</x:v>
      </x:c>
      <x:c r="F61" s="37" t="n">
        <x:v>13</x:v>
      </x:c>
      <x:c r="G61" s="38" t="n">
        <x:v>2</x:v>
      </x:c>
      <x:c r="H61" s="36" t="n">
        <x:v>268.03648</x:v>
      </x:c>
      <x:c r="I61" s="36" t="n">
        <x:f>IF(H61="","",H61-E61)</x:f>
        <x:v>0.03647999999998319</x:v>
      </x:c>
      <x:c r="J61" s="36" t="n">
        <x:f>IF(I61="","",ABS(I61))</x:f>
        <x:v>0.03647999999998319</x:v>
      </x:c>
      <x:c r="K61" s="39" t="n">
        <x:f>IF(I61="","",ABS(I61/E61)*100)</x:f>
        <x:v>0.01361194029850119</x:v>
      </x:c>
      <x:c r="L61" s="36" t="n">
        <x:v>268.01752</x:v>
      </x:c>
      <x:c r="M61" s="36" t="n">
        <x:f>IF(L61="","",L61-E61)</x:f>
        <x:v>0.017519999999990432</x:v>
      </x:c>
      <x:c r="N61" s="36" t="n">
        <x:v>268.06216</x:v>
      </x:c>
      <x:c r="O61" s="36" t="n">
        <x:f>IF(N61="","",N61-E61)</x:f>
        <x:v>0.062160000000005766</x:v>
      </x:c>
      <x:c r="P61" s="36" t="n">
        <x:v>268.02059</x:v>
      </x:c>
      <x:c r="Q61" s="36" t="n">
        <x:f>IF(P61="","",P61-E61)</x:f>
        <x:v>0.020590000000026976</x:v>
      </x:c>
      <x:c r="R61" s="36" t="n">
        <x:v>0.33639</x:v>
      </x:c>
      <x:c r="S61" s="36" t="n">
        <x:v>3.83228</x:v>
      </x:c>
      <x:c r="T61" s="36" t="n">
        <x:v>4.87504</x:v>
      </x:c>
      <x:c r="U61" s="36" t="n">
        <x:v>6.2109</x:v>
      </x:c>
      <x:c r="V61" s="37" t="n">
        <x:v>1.02</x:v>
      </x:c>
      <x:c r="W61" s="37" t="n">
        <x:v>6.99</x:v>
      </x:c>
      <x:c r="X61" s="37" t="n">
        <x:v>5.21</x:v>
      </x:c>
      <x:c r="Y61" s="37" t="n">
        <x:v>5.87</x:v>
      </x:c>
      <x:c r="Z61" s="37" t="n">
        <x:f>IF(OR(U61="",U61=0),"",R61^2/U61^2*100)</x:f>
        <x:v>0.2933439124506487</x:v>
      </x:c>
      <x:c r="AA61" s="37" t="n">
        <x:f>IF(OR(U61="",U61=0),"",S61^2/U61^2*100)</x:f>
        <x:v>38.07197368744048</x:v>
      </x:c>
      <x:c r="AB61" s="37" t="n">
        <x:f>IF(OR(U61="",U61=0),"",T61^2/U61^2*100)</x:f>
        <x:v>61.609444532229965</x:v>
      </x:c>
      <x:c r="AC61" s="26" t="str">
        <x:f>IF(U61="","",IF(R61=MAX(R61:T61),"X",IF(S61=MAX(R61:T61),"Y","Z")))</x:f>
        <x:v>Z</x:v>
      </x:c>
      <x:c r="AD61" s="36" t="n">
        <x:f>IF(OR(R61="",R61=0,S61=""),"",S61/R61)</x:f>
        <x:v>11.3923719492256</x:v>
      </x:c>
      <x:c r="AE61" s="36" t="n">
        <x:f>IF(OR(R61="",R61=0,T61=""),"",T61/R61)</x:f>
        <x:v>14.492226284966854</x:v>
      </x:c>
      <x:c r="AF61" s="36" t="n">
        <x:f>IF(OR(R61="",F61=0),"",R61/F61)</x:f>
        <x:v>0.025876153846153847</x:v>
      </x:c>
      <x:c r="AG61" s="36" t="n">
        <x:f>IF(OR(S61="",F61=0),"",S61/F61)</x:f>
        <x:v>0.29479076923076925</x:v>
      </x:c>
      <x:c r="AH61" s="36" t="n">
        <x:f>IF(OR(T61="",F61=0),"",T61/F61)</x:f>
        <x:v>0.37500307692307694</x:v>
      </x:c>
      <x:c r="AI61" s="36" t="n">
        <x:f>IF(OR(U61="",F61=0),"",U61/F61)</x:f>
        <x:v>0.47776153846153846</x:v>
      </x:c>
      <x:c r="AJ61" s="26" t="str">
        <x:f>IF(G61=0,"NO VALID SUMMARY",IF(J61&lt;=Settings_Glossary!$B$4,"Excellent",IF(J61&lt;=Settings_Glossary!$B$5,"Acceptable","Review")))</x:f>
        <x:v>Excellent</x:v>
      </x:c>
      <x:c r="AK61" s="26" t="str">
        <x:f>IF(G61=0,"No valid repeats",IF(G61&lt;2,"Single repeat / repeat needed",IF(Y61&lt;=Settings_Glossary!$B$6,"Good","Review")))</x:f>
        <x:v>Good</x:v>
      </x:c>
      <x:c r="AL61" s="26" t="str">
        <x:v>Assess high-drive coupling, phase, and amplitude limits</x:v>
      </x:c>
      <x:c r="AM61" s="26" t="str">
        <x:v>2 repeats per DAC, 268 Hz, DAC 1–15</x:v>
      </x:c>
    </x:row>
    <x:row r="62">
      <x:c r="A62" s="26" t="str">
        <x:v>K4</x:v>
      </x:c>
      <x:c r="B62" s="26" t="str">
        <x:v>Horizontal / flat</x:v>
      </x:c>
      <x:c r="C62" s="26" t="str">
        <x:v>Highest tested</x:v>
      </x:c>
      <x:c r="D62" s="26" t="str">
        <x:v>Pasted text (4).txt</x:v>
      </x:c>
      <x:c r="E62" s="36" t="n">
        <x:v>268</x:v>
      </x:c>
      <x:c r="F62" s="37" t="n">
        <x:v>14</x:v>
      </x:c>
      <x:c r="G62" s="38" t="n">
        <x:v>2</x:v>
      </x:c>
      <x:c r="H62" s="36" t="n">
        <x:v>268.02806</x:v>
      </x:c>
      <x:c r="I62" s="36" t="n">
        <x:f>IF(H62="","",H62-E62)</x:f>
        <x:v>0.02805999999998221</x:v>
      </x:c>
      <x:c r="J62" s="36" t="n">
        <x:f>IF(I62="","",ABS(I62))</x:f>
        <x:v>0.02805999999998221</x:v>
      </x:c>
      <x:c r="K62" s="39" t="n">
        <x:f>IF(I62="","",ABS(I62/E62)*100)</x:f>
        <x:v>0.010470149253724706</x:v>
      </x:c>
      <x:c r="L62" s="36" t="n">
        <x:v>267.9086</x:v>
      </x:c>
      <x:c r="M62" s="36" t="n">
        <x:f>IF(L62="","",L62-E62)</x:f>
        <x:v>-0.09140000000002146</x:v>
      </x:c>
      <x:c r="N62" s="36" t="n">
        <x:v>268.02643</x:v>
      </x:c>
      <x:c r="O62" s="36" t="n">
        <x:f>IF(N62="","",N62-E62)</x:f>
        <x:v>0.02643000000000484</x:v>
      </x:c>
      <x:c r="P62" s="36" t="n">
        <x:v>268.03013</x:v>
      </x:c>
      <x:c r="Q62" s="36" t="n">
        <x:f>IF(P62="","",P62-E62)</x:f>
        <x:v>0.030129999999985557</x:v>
      </x:c>
      <x:c r="R62" s="36" t="n">
        <x:v>0.4269</x:v>
      </x:c>
      <x:c r="S62" s="36" t="n">
        <x:v>5.02056</x:v>
      </x:c>
      <x:c r="T62" s="36" t="n">
        <x:v>5.51402</x:v>
      </x:c>
      <x:c r="U62" s="36" t="n">
        <x:v>7.47242</x:v>
      </x:c>
      <x:c r="V62" s="37" t="n">
        <x:v>37.44</x:v>
      </x:c>
      <x:c r="W62" s="37" t="n">
        <x:v>2.32</x:v>
      </x:c>
      <x:c r="X62" s="37" t="n">
        <x:v>0.02</x:v>
      </x:c>
      <x:c r="Y62" s="37" t="n">
        <x:v>0.9</x:v>
      </x:c>
      <x:c r="Z62" s="37" t="n">
        <x:f>IF(OR(U62="",U62=0),"",R62^2/U62^2*100)</x:f>
        <x:v>0.32638467687519906</x:v>
      </x:c>
      <x:c r="AA62" s="37" t="n">
        <x:f>IF(OR(U62="",U62=0),"",S62^2/U62^2*100)</x:f>
        <x:v>45.14210171038239</x:v>
      </x:c>
      <x:c r="AB62" s="37" t="n">
        <x:f>IF(OR(U62="",U62=0),"",T62^2/U62^2*100)</x:f>
        <x:v>54.45203634105529</x:v>
      </x:c>
      <x:c r="AC62" s="26" t="str">
        <x:f>IF(U62="","",IF(R62=MAX(R62:T62),"X",IF(S62=MAX(R62:T62),"Y","Z")))</x:f>
        <x:v>Z</x:v>
      </x:c>
      <x:c r="AD62" s="36" t="n">
        <x:f>IF(OR(R62="",R62=0,S62=""),"",S62/R62)</x:f>
        <x:v>11.760505973295853</x:v>
      </x:c>
      <x:c r="AE62" s="36" t="n">
        <x:f>IF(OR(R62="",R62=0,T62=""),"",T62/R62)</x:f>
        <x:v>12.916420707425628</x:v>
      </x:c>
      <x:c r="AF62" s="36" t="n">
        <x:f>IF(OR(R62="",F62=0),"",R62/F62)</x:f>
        <x:v>0.030492857142857144</x:v>
      </x:c>
      <x:c r="AG62" s="36" t="n">
        <x:f>IF(OR(S62="",F62=0),"",S62/F62)</x:f>
        <x:v>0.3586114285714285</x:v>
      </x:c>
      <x:c r="AH62" s="36" t="n">
        <x:f>IF(OR(T62="",F62=0),"",T62/F62)</x:f>
        <x:v>0.39385857142857145</x:v>
      </x:c>
      <x:c r="AI62" s="36" t="n">
        <x:f>IF(OR(U62="",F62=0),"",U62/F62)</x:f>
        <x:v>0.5337442857142857</x:v>
      </x:c>
      <x:c r="AJ62" s="26" t="str">
        <x:f>IF(G62=0,"NO VALID SUMMARY",IF(J62&lt;=Settings_Glossary!$B$4,"Excellent",IF(J62&lt;=Settings_Glossary!$B$5,"Acceptable","Review")))</x:f>
        <x:v>Excellent</x:v>
      </x:c>
      <x:c r="AK62" s="26" t="str">
        <x:f>IF(G62=0,"No valid repeats",IF(G62&lt;2,"Single repeat / repeat needed",IF(Y62&lt;=Settings_Glossary!$B$6,"Good","Review")))</x:f>
        <x:v>Good</x:v>
      </x:c>
      <x:c r="AL62" s="26" t="str">
        <x:v>Assess high-drive coupling, phase, and amplitude limits</x:v>
      </x:c>
      <x:c r="AM62" s="26" t="str">
        <x:v>2 repeats per DAC, 268 Hz, DAC 1–15</x:v>
      </x:c>
    </x:row>
    <x:row r="63">
      <x:c r="A63" s="26" t="str">
        <x:v>K4</x:v>
      </x:c>
      <x:c r="B63" s="26" t="str">
        <x:v>Horizontal / flat</x:v>
      </x:c>
      <x:c r="C63" s="26" t="str">
        <x:v>Highest tested</x:v>
      </x:c>
      <x:c r="D63" s="26" t="str">
        <x:v>Pasted text (4).txt</x:v>
      </x:c>
      <x:c r="E63" s="36" t="n">
        <x:v>268</x:v>
      </x:c>
      <x:c r="F63" s="37" t="n">
        <x:v>15</x:v>
      </x:c>
      <x:c r="G63" s="38" t="n">
        <x:v>2</x:v>
      </x:c>
      <x:c r="H63" s="36" t="n">
        <x:v>268.03242</x:v>
      </x:c>
      <x:c r="I63" s="36" t="n">
        <x:f>IF(H63="","",H63-E63)</x:f>
        <x:v>0.03242000000000189</x:v>
      </x:c>
      <x:c r="J63" s="36" t="n">
        <x:f>IF(I63="","",ABS(I63))</x:f>
        <x:v>0.03242000000000189</x:v>
      </x:c>
      <x:c r="K63" s="39" t="n">
        <x:f>IF(I63="","",ABS(I63/E63)*100)</x:f>
        <x:v>0.01209701492537384</x:v>
      </x:c>
      <x:c r="L63" s="36" t="n">
        <x:v>268.06489</x:v>
      </x:c>
      <x:c r="M63" s="36" t="n">
        <x:f>IF(L63="","",L63-E63)</x:f>
        <x:v>0.06488999999999123</x:v>
      </x:c>
      <x:c r="N63" s="36" t="n">
        <x:v>268.03301</x:v>
      </x:c>
      <x:c r="O63" s="36" t="n">
        <x:f>IF(N63="","",N63-E63)</x:f>
        <x:v>0.033009999999990214</x:v>
      </x:c>
      <x:c r="P63" s="36" t="n">
        <x:v>268.03141</x:v>
      </x:c>
      <x:c r="Q63" s="36" t="n">
        <x:f>IF(P63="","",P63-E63)</x:f>
        <x:v>0.03140999999999394</x:v>
      </x:c>
      <x:c r="R63" s="36" t="n">
        <x:v>0.84451</x:v>
      </x:c>
      <x:c r="S63" s="36" t="n">
        <x:v>5.96327</x:v>
      </x:c>
      <x:c r="T63" s="36" t="n">
        <x:v>6.02333</x:v>
      </x:c>
      <x:c r="U63" s="36" t="n">
        <x:v>8.51885</x:v>
      </x:c>
      <x:c r="V63" s="37" t="n">
        <x:v>13.3</x:v>
      </x:c>
      <x:c r="W63" s="37" t="n">
        <x:v>3.32</x:v>
      </x:c>
      <x:c r="X63" s="37" t="n">
        <x:v>0.66</x:v>
      </x:c>
      <x:c r="Y63" s="37" t="n">
        <x:v>2.08</x:v>
      </x:c>
      <x:c r="Z63" s="37" t="n">
        <x:f>IF(OR(U63="",U63=0),"",R63^2/U63^2*100)</x:f>
        <x:v>0.9827604047255609</x:v>
      </x:c>
      <x:c r="AA63" s="37" t="n">
        <x:f>IF(OR(U63="",U63=0),"",S63^2/U63^2*100)</x:f>
        <x:v>49.001232568484006</x:v>
      </x:c>
      <x:c r="AB63" s="37" t="n">
        <x:f>IF(OR(U63="",U63=0),"",T63^2/U63^2*100)</x:f>
        <x:v>49.9932502163532</x:v>
      </x:c>
      <x:c r="AC63" s="26" t="str">
        <x:f>IF(U63="","",IF(R63=MAX(R63:T63),"X",IF(S63=MAX(R63:T63),"Y","Z")))</x:f>
        <x:v>Z</x:v>
      </x:c>
      <x:c r="AD63" s="36" t="n">
        <x:f>IF(OR(R63="",R63=0,S63=""),"",S63/R63)</x:f>
        <x:v>7.061218931688198</x:v>
      </x:c>
      <x:c r="AE63" s="36" t="n">
        <x:f>IF(OR(R63="",R63=0,T63=""),"",T63/R63)</x:f>
        <x:v>7.1323370948834235</x:v>
      </x:c>
      <x:c r="AF63" s="36" t="n">
        <x:f>IF(OR(R63="",F63=0),"",R63/F63)</x:f>
        <x:v>0.056300666666666666</x:v>
      </x:c>
      <x:c r="AG63" s="36" t="n">
        <x:f>IF(OR(S63="",F63=0),"",S63/F63)</x:f>
        <x:v>0.3975513333333333</x:v>
      </x:c>
      <x:c r="AH63" s="36" t="n">
        <x:f>IF(OR(T63="",F63=0),"",T63/F63)</x:f>
        <x:v>0.4015553333333333</x:v>
      </x:c>
      <x:c r="AI63" s="36" t="n">
        <x:f>IF(OR(U63="",F63=0),"",U63/F63)</x:f>
        <x:v>0.5679233333333333</x:v>
      </x:c>
      <x:c r="AJ63" s="26" t="str">
        <x:f>IF(G63=0,"NO VALID SUMMARY",IF(J63&lt;=Settings_Glossary!$B$4,"Excellent",IF(J63&lt;=Settings_Glossary!$B$5,"Acceptable","Review")))</x:f>
        <x:v>Excellent</x:v>
      </x:c>
      <x:c r="AK63" s="26" t="str">
        <x:f>IF(G63=0,"No valid repeats",IF(G63&lt;2,"Single repeat / repeat needed",IF(Y63&lt;=Settings_Glossary!$B$6,"Good","Review")))</x:f>
        <x:v>Good</x:v>
      </x:c>
      <x:c r="AL63" s="26" t="str">
        <x:v>Assess high-drive coupling, phase, and amplitude limits</x:v>
      </x:c>
      <x:c r="AM63" s="26" t="str">
        <x:v>2 repeats per DAC, 268 Hz, DAC 1–15</x:v>
      </x:c>
    </x:row>
    <x:row r="64">
      <x:c r="A64" s="26" t="str">
        <x:v>K5</x:v>
      </x:c>
      <x:c r="B64" s="26" t="str">
        <x:v>Horizontal / flat</x:v>
      </x:c>
      <x:c r="C64" s="26" t="str">
        <x:v>Intermediate</x:v>
      </x:c>
      <x:c r="D64" s="26" t="str">
        <x:v>Pasted text(20260812-103624).txt</x:v>
      </x:c>
      <x:c r="E64" s="36" t="n">
        <x:v>268</x:v>
      </x:c>
      <x:c r="F64" s="37" t="n">
        <x:v>1</x:v>
      </x:c>
      <x:c r="G64" s="38" t="n">
        <x:v>0</x:v>
      </x:c>
      <x:c r="H64" s="36"/>
      <x:c r="I64" s="36" t="str">
        <x:f>IF(H64="","",H64-E64)</x:f>
      </x:c>
      <x:c r="J64" s="36" t="str">
        <x:f>IF(I64="","",ABS(I64))</x:f>
      </x:c>
      <x:c r="K64" s="39" t="str">
        <x:f>IF(I64="","",ABS(I64/E64)*100)</x:f>
      </x:c>
      <x:c r="L64" s="36"/>
      <x:c r="M64" s="36" t="str">
        <x:f>IF(L64="","",L64-E64)</x:f>
      </x:c>
      <x:c r="N64" s="36"/>
      <x:c r="O64" s="36" t="str">
        <x:f>IF(N64="","",N64-E64)</x:f>
      </x:c>
      <x:c r="P64" s="36"/>
      <x:c r="Q64" s="36" t="str">
        <x:f>IF(P64="","",P64-E64)</x:f>
      </x:c>
      <x:c r="R64" s="36"/>
      <x:c r="S64" s="36"/>
      <x:c r="T64" s="36"/>
      <x:c r="U64" s="36"/>
      <x:c r="V64" s="37"/>
      <x:c r="W64" s="37"/>
      <x:c r="X64" s="37"/>
      <x:c r="Y64" s="37"/>
      <x:c r="Z64" s="37" t="str">
        <x:f>IF(OR(U64="",U64=0),"",R64^2/U64^2*100)</x:f>
      </x:c>
      <x:c r="AA64" s="37" t="str">
        <x:f>IF(OR(U64="",U64=0),"",S64^2/U64^2*100)</x:f>
      </x:c>
      <x:c r="AB64" s="37" t="str">
        <x:f>IF(OR(U64="",U64=0),"",T64^2/U64^2*100)</x:f>
      </x:c>
      <x:c r="AC64" s="26" t="str">
        <x:f>IF(U64="","",IF(R64=MAX(R64:T64),"X",IF(S64=MAX(R64:T64),"Y","Z")))</x:f>
      </x:c>
      <x:c r="AD64" s="36" t="str">
        <x:f>IF(OR(R64="",R64=0,S64=""),"",S64/R64)</x:f>
      </x:c>
      <x:c r="AE64" s="36" t="str">
        <x:f>IF(OR(R64="",R64=0,T64=""),"",T64/R64)</x:f>
      </x:c>
      <x:c r="AF64" s="36" t="str">
        <x:f>IF(OR(R64="",F64=0),"",R64/F64)</x:f>
      </x:c>
      <x:c r="AG64" s="36" t="str">
        <x:f>IF(OR(S64="",F64=0),"",S64/F64)</x:f>
      </x:c>
      <x:c r="AH64" s="36" t="str">
        <x:f>IF(OR(T64="",F64=0),"",T64/F64)</x:f>
      </x:c>
      <x:c r="AI64" s="36" t="str">
        <x:f>IF(OR(U64="",F64=0),"",U64/F64)</x:f>
      </x:c>
      <x:c r="AJ64" s="26" t="str">
        <x:f>IF(G64=0,"NO VALID SUMMARY",IF(J64&lt;=Settings_Glossary!$B$4,"Excellent",IF(J64&lt;=Settings_Glossary!$B$5,"Acceptable","Review")))</x:f>
        <x:v>NO VALID SUMMARY</x:v>
      </x:c>
      <x:c r="AK64" s="26" t="str">
        <x:f>IF(G64=0,"No valid repeats",IF(G64&lt;2,"Single repeat / repeat needed",IF(Y64&lt;=Settings_Glossary!$B$6,"Good","Review")))</x:f>
        <x:v>No valid repeats</x:v>
      </x:c>
      <x:c r="AL64" s="26" t="str">
        <x:v>Resolve behavior between K2 and K3 with finer DAC steps</x:v>
      </x:c>
      <x:c r="AM64" s="26" t="str">
        <x:v>3 repeats per DAC, 268 Hz, DAC 1–6 in 0.5 steps</x:v>
      </x:c>
    </x:row>
    <x:row r="65">
      <x:c r="A65" s="26" t="str">
        <x:v>K5</x:v>
      </x:c>
      <x:c r="B65" s="26" t="str">
        <x:v>Horizontal / flat</x:v>
      </x:c>
      <x:c r="C65" s="26" t="str">
        <x:v>Intermediate</x:v>
      </x:c>
      <x:c r="D65" s="26" t="str">
        <x:v>Pasted text(20260812-103624).txt</x:v>
      </x:c>
      <x:c r="E65" s="36" t="n">
        <x:v>268</x:v>
      </x:c>
      <x:c r="F65" s="37" t="n">
        <x:v>1.5</x:v>
      </x:c>
      <x:c r="G65" s="38" t="n">
        <x:v>3</x:v>
      </x:c>
      <x:c r="H65" s="36" t="n">
        <x:v>267.27191</x:v>
      </x:c>
      <x:c r="I65" s="36" t="n">
        <x:f>IF(H65="","",H65-E65)</x:f>
        <x:v>-0.7280900000000088</x:v>
      </x:c>
      <x:c r="J65" s="36" t="n">
        <x:f>IF(I65="","",ABS(I65))</x:f>
        <x:v>0.7280900000000088</x:v>
      </x:c>
      <x:c r="K65" s="39" t="n">
        <x:f>IF(I65="","",ABS(I65/E65)*100)</x:f>
        <x:v>0.27167537313433165</x:v>
      </x:c>
      <x:c r="L65" s="36" t="n">
        <x:v>264.32573</x:v>
      </x:c>
      <x:c r="M65" s="36" t="n">
        <x:f>IF(L65="","",L65-E65)</x:f>
        <x:v>-3.6742699999999786</x:v>
      </x:c>
      <x:c r="N65" s="36" t="n">
        <x:v>267.20516</x:v>
      </x:c>
      <x:c r="O65" s="36" t="n">
        <x:f>IF(N65="","",N65-E65)</x:f>
        <x:v>-0.794840000000022</x:v>
      </x:c>
      <x:c r="P65" s="36" t="n">
        <x:v>267.00898</x:v>
      </x:c>
      <x:c r="Q65" s="36" t="n">
        <x:f>IF(P65="","",P65-E65)</x:f>
        <x:v>-0.9910199999999918</x:v>
      </x:c>
      <x:c r="R65" s="36" t="n">
        <x:v>0.01191</x:v>
      </x:c>
      <x:c r="S65" s="36" t="n">
        <x:v>0.03236</x:v>
      </x:c>
      <x:c r="T65" s="36" t="n">
        <x:v>0.02544</x:v>
      </x:c>
      <x:c r="U65" s="36" t="n">
        <x:v>0.04495</x:v>
      </x:c>
      <x:c r="V65" s="37" t="n">
        <x:v>18.84</x:v>
      </x:c>
      <x:c r="W65" s="37" t="n">
        <x:v>21.22</x:v>
      </x:c>
      <x:c r="X65" s="37" t="n">
        <x:v>15.75</x:v>
      </x:c>
      <x:c r="Y65" s="37" t="n">
        <x:v>7.73</x:v>
      </x:c>
      <x:c r="Z65" s="37" t="n">
        <x:f>IF(OR(U65="",U65=0),"",R65^2/U65^2*100)</x:f>
        <x:v>7.020436747789227</x:v>
      </x:c>
      <x:c r="AA65" s="37" t="n">
        <x:f>IF(OR(U65="",U65=0),"",S65^2/U65^2*100)</x:f>
        <x:v>51.82718655383995</x:v>
      </x:c>
      <x:c r="AB65" s="37" t="n">
        <x:f>IF(OR(U65="",U65=0),"",T65^2/U65^2*100)</x:f>
        <x:v>32.03131894169891</x:v>
      </x:c>
      <x:c r="AC65" s="26" t="str">
        <x:f>IF(U65="","",IF(R65=MAX(R65:T65),"X",IF(S65=MAX(R65:T65),"Y","Z")))</x:f>
        <x:v>Y</x:v>
      </x:c>
      <x:c r="AD65" s="36" t="n">
        <x:f>IF(OR(R65="",R65=0,S65=""),"",S65/R65)</x:f>
        <x:v>2.7170445004198154</x:v>
      </x:c>
      <x:c r="AE65" s="36" t="n">
        <x:f>IF(OR(R65="",R65=0,T65=""),"",T65/R65)</x:f>
        <x:v>2.136020151133501</x:v>
      </x:c>
      <x:c r="AF65" s="36" t="n">
        <x:f>IF(OR(R65="",F65=0),"",R65/F65)</x:f>
        <x:v>0.007940000000000001</x:v>
      </x:c>
      <x:c r="AG65" s="36" t="n">
        <x:f>IF(OR(S65="",F65=0),"",S65/F65)</x:f>
        <x:v>0.021573333333333333</x:v>
      </x:c>
      <x:c r="AH65" s="36" t="n">
        <x:f>IF(OR(T65="",F65=0),"",T65/F65)</x:f>
        <x:v>0.01696</x:v>
      </x:c>
      <x:c r="AI65" s="36" t="n">
        <x:f>IF(OR(U65="",F65=0),"",U65/F65)</x:f>
        <x:v>0.029966666666666666</x:v>
      </x:c>
      <x:c r="AJ65" s="26" t="str">
        <x:f>IF(G65=0,"NO VALID SUMMARY",IF(J65&lt;=Settings_Glossary!$B$4,"Excellent",IF(J65&lt;=Settings_Glossary!$B$5,"Acceptable","Review")))</x:f>
        <x:v>Review</x:v>
      </x:c>
      <x:c r="AK65" s="26" t="str">
        <x:f>IF(G65=0,"No valid repeats",IF(G65&lt;2,"Single repeat / repeat needed",IF(Y65&lt;=Settings_Glossary!$B$6,"Good","Review")))</x:f>
        <x:v>Good</x:v>
      </x:c>
      <x:c r="AL65" s="26" t="str">
        <x:v>Resolve behavior between K2 and K3 with finer DAC steps</x:v>
      </x:c>
      <x:c r="AM65" s="26" t="str">
        <x:v>3 repeats per DAC, 268 Hz, DAC 1–6 in 0.5 steps</x:v>
      </x:c>
    </x:row>
    <x:row r="66">
      <x:c r="A66" s="26" t="str">
        <x:v>K5</x:v>
      </x:c>
      <x:c r="B66" s="26" t="str">
        <x:v>Horizontal / flat</x:v>
      </x:c>
      <x:c r="C66" s="26" t="str">
        <x:v>Intermediate</x:v>
      </x:c>
      <x:c r="D66" s="26" t="str">
        <x:v>Pasted text(20260812-103624).txt</x:v>
      </x:c>
      <x:c r="E66" s="36" t="n">
        <x:v>268</x:v>
      </x:c>
      <x:c r="F66" s="37" t="n">
        <x:v>2</x:v>
      </x:c>
      <x:c r="G66" s="38" t="n">
        <x:v>3</x:v>
      </x:c>
      <x:c r="H66" s="36" t="n">
        <x:v>268.07632</x:v>
      </x:c>
      <x:c r="I66" s="36" t="n">
        <x:f>IF(H66="","",H66-E66)</x:f>
        <x:v>0.07632000000000971</x:v>
      </x:c>
      <x:c r="J66" s="36" t="n">
        <x:f>IF(I66="","",ABS(I66))</x:f>
        <x:v>0.07632000000000971</x:v>
      </x:c>
      <x:c r="K66" s="39" t="n">
        <x:f>IF(I66="","",ABS(I66/E66)*100)</x:f>
        <x:v>0.02847761194030213</x:v>
      </x:c>
      <x:c r="L66" s="36" t="n">
        <x:v>270.63605</x:v>
      </x:c>
      <x:c r="M66" s="36" t="n">
        <x:f>IF(L66="","",L66-E66)</x:f>
        <x:v>2.6360500000000116</x:v>
      </x:c>
      <x:c r="N66" s="36" t="n">
        <x:v>267.87575</x:v>
      </x:c>
      <x:c r="O66" s="36" t="n">
        <x:f>IF(N66="","",N66-E66)</x:f>
        <x:v>-0.12425000000001774</x:v>
      </x:c>
      <x:c r="P66" s="36" t="n">
        <x:v>268.25881</x:v>
      </x:c>
      <x:c r="Q66" s="36" t="n">
        <x:f>IF(P66="","",P66-E66)</x:f>
        <x:v>0.25880999999998267</x:v>
      </x:c>
      <x:c r="R66" s="36" t="n">
        <x:v>0.01255</x:v>
      </x:c>
      <x:c r="S66" s="36" t="n">
        <x:v>0.0387</x:v>
      </x:c>
      <x:c r="T66" s="36" t="n">
        <x:v>0.05931</x:v>
      </x:c>
      <x:c r="U66" s="36" t="n">
        <x:v>0.07351</x:v>
      </x:c>
      <x:c r="V66" s="37" t="n">
        <x:v>22.59</x:v>
      </x:c>
      <x:c r="W66" s="37" t="n">
        <x:v>21.52</x:v>
      </x:c>
      <x:c r="X66" s="37" t="n">
        <x:v>15.37</x:v>
      </x:c>
      <x:c r="Y66" s="37" t="n">
        <x:v>12.41</x:v>
      </x:c>
      <x:c r="Z66" s="37" t="n">
        <x:f>IF(OR(U66="",U66=0),"",R66^2/U66^2*100)</x:f>
        <x:v>2.9147050010972992</x:v>
      </x:c>
      <x:c r="AA66" s="37" t="n">
        <x:f>IF(OR(U66="",U66=0),"",S66^2/U66^2*100)</x:f>
        <x:v>27.715906306842196</x:v>
      </x:c>
      <x:c r="AB66" s="37" t="n">
        <x:f>IF(OR(U66="",U66=0),"",T66^2/U66^2*100)</x:f>
        <x:v>65.0973039850824</x:v>
      </x:c>
      <x:c r="AC66" s="26" t="str">
        <x:f>IF(U66="","",IF(R66=MAX(R66:T66),"X",IF(S66=MAX(R66:T66),"Y","Z")))</x:f>
        <x:v>Z</x:v>
      </x:c>
      <x:c r="AD66" s="36" t="n">
        <x:f>IF(OR(R66="",R66=0,S66=""),"",S66/R66)</x:f>
        <x:v>3.0836653386454183</x:v>
      </x:c>
      <x:c r="AE66" s="36" t="n">
        <x:f>IF(OR(R66="",R66=0,T66=""),"",T66/R66)</x:f>
        <x:v>4.725896414342629</x:v>
      </x:c>
      <x:c r="AF66" s="36" t="n">
        <x:f>IF(OR(R66="",F66=0),"",R66/F66)</x:f>
        <x:v>0.006275</x:v>
      </x:c>
      <x:c r="AG66" s="36" t="n">
        <x:f>IF(OR(S66="",F66=0),"",S66/F66)</x:f>
        <x:v>0.01935</x:v>
      </x:c>
      <x:c r="AH66" s="36" t="n">
        <x:f>IF(OR(T66="",F66=0),"",T66/F66)</x:f>
        <x:v>0.029655</x:v>
      </x:c>
      <x:c r="AI66" s="36" t="n">
        <x:f>IF(OR(U66="",F66=0),"",U66/F66)</x:f>
        <x:v>0.036755</x:v>
      </x:c>
      <x:c r="AJ66" s="26" t="str">
        <x:f>IF(G66=0,"NO VALID SUMMARY",IF(J66&lt;=Settings_Glossary!$B$4,"Excellent",IF(J66&lt;=Settings_Glossary!$B$5,"Acceptable","Review")))</x:f>
        <x:v>Excellent</x:v>
      </x:c>
      <x:c r="AK66" s="26" t="str">
        <x:f>IF(G66=0,"No valid repeats",IF(G66&lt;2,"Single repeat / repeat needed",IF(Y66&lt;=Settings_Glossary!$B$6,"Good","Review")))</x:f>
        <x:v>Review</x:v>
      </x:c>
      <x:c r="AL66" s="26" t="str">
        <x:v>Resolve behavior between K2 and K3 with finer DAC steps</x:v>
      </x:c>
      <x:c r="AM66" s="26" t="str">
        <x:v>3 repeats per DAC, 268 Hz, DAC 1–6 in 0.5 steps</x:v>
      </x:c>
    </x:row>
    <x:row r="67">
      <x:c r="A67" s="26" t="str">
        <x:v>K5</x:v>
      </x:c>
      <x:c r="B67" s="26" t="str">
        <x:v>Horizontal / flat</x:v>
      </x:c>
      <x:c r="C67" s="26" t="str">
        <x:v>Intermediate</x:v>
      </x:c>
      <x:c r="D67" s="26" t="str">
        <x:v>Pasted text(20260812-103624).txt</x:v>
      </x:c>
      <x:c r="E67" s="36" t="n">
        <x:v>268</x:v>
      </x:c>
      <x:c r="F67" s="37" t="n">
        <x:v>2.5</x:v>
      </x:c>
      <x:c r="G67" s="38" t="n">
        <x:v>3</x:v>
      </x:c>
      <x:c r="H67" s="36" t="n">
        <x:v>267.7962</x:v>
      </x:c>
      <x:c r="I67" s="36" t="n">
        <x:f>IF(H67="","",H67-E67)</x:f>
        <x:v>-0.2038000000000011</x:v>
      </x:c>
      <x:c r="J67" s="36" t="n">
        <x:f>IF(I67="","",ABS(I67))</x:f>
        <x:v>0.2038000000000011</x:v>
      </x:c>
      <x:c r="K67" s="39" t="n">
        <x:f>IF(I67="","",ABS(I67/E67)*100)</x:f>
        <x:v>0.0760447761194034</x:v>
      </x:c>
      <x:c r="L67" s="36" t="n">
        <x:v>270.54054</x:v>
      </x:c>
      <x:c r="M67" s="36" t="n">
        <x:f>IF(L67="","",L67-E67)</x:f>
        <x:v>2.5405400000000213</x:v>
      </x:c>
      <x:c r="N67" s="36" t="n">
        <x:v>267.42442</x:v>
      </x:c>
      <x:c r="O67" s="36" t="n">
        <x:f>IF(N67="","",N67-E67)</x:f>
        <x:v>-0.5755800000000022</x:v>
      </x:c>
      <x:c r="P67" s="36" t="n">
        <x:v>268.00915</x:v>
      </x:c>
      <x:c r="Q67" s="36" t="n">
        <x:f>IF(P67="","",P67-E67)</x:f>
        <x:v>0.009149999999976899</x:v>
      </x:c>
      <x:c r="R67" s="36" t="n">
        <x:v>0.01219</x:v>
      </x:c>
      <x:c r="S67" s="36" t="n">
        <x:v>0.04481</x:v>
      </x:c>
      <x:c r="T67" s="36" t="n">
        <x:v>0.07459</x:v>
      </x:c>
      <x:c r="U67" s="36" t="n">
        <x:v>0.09005</x:v>
      </x:c>
      <x:c r="V67" s="37" t="n">
        <x:v>34.42</x:v>
      </x:c>
      <x:c r="W67" s="37" t="n">
        <x:v>2.61</x:v>
      </x:c>
      <x:c r="X67" s="37" t="n">
        <x:v>17.49</x:v>
      </x:c>
      <x:c r="Y67" s="37" t="n">
        <x:v>11.84</x:v>
      </x:c>
      <x:c r="Z67" s="37" t="n">
        <x:f>IF(OR(U67="",U67=0),"",R67^2/U67^2*100)</x:f>
        <x:v>1.8324830951772424</x:v>
      </x:c>
      <x:c r="AA67" s="37" t="n">
        <x:f>IF(OR(U67="",U67=0),"",S67^2/U67^2*100)</x:f>
        <x:v>24.761813798922862</x:v>
      </x:c>
      <x:c r="AB67" s="37" t="n">
        <x:f>IF(OR(U67="",U67=0),"",T67^2/U67^2*100)</x:f>
        <x:v>68.61100486773805</x:v>
      </x:c>
      <x:c r="AC67" s="26" t="str">
        <x:f>IF(U67="","",IF(R67=MAX(R67:T67),"X",IF(S67=MAX(R67:T67),"Y","Z")))</x:f>
        <x:v>Z</x:v>
      </x:c>
      <x:c r="AD67" s="36" t="n">
        <x:f>IF(OR(R67="",R67=0,S67=""),"",S67/R67)</x:f>
        <x:v>3.675963904840033</x:v>
      </x:c>
      <x:c r="AE67" s="36" t="n">
        <x:f>IF(OR(R67="",R67=0,T67=""),"",T67/R67)</x:f>
        <x:v>6.118949958982773</x:v>
      </x:c>
      <x:c r="AF67" s="36" t="n">
        <x:f>IF(OR(R67="",F67=0),"",R67/F67)</x:f>
        <x:v>0.004876</x:v>
      </x:c>
      <x:c r="AG67" s="36" t="n">
        <x:f>IF(OR(S67="",F67=0),"",S67/F67)</x:f>
        <x:v>0.017924000000000002</x:v>
      </x:c>
      <x:c r="AH67" s="36" t="n">
        <x:f>IF(OR(T67="",F67=0),"",T67/F67)</x:f>
        <x:v>0.029836</x:v>
      </x:c>
      <x:c r="AI67" s="36" t="n">
        <x:f>IF(OR(U67="",F67=0),"",U67/F67)</x:f>
        <x:v>0.03602</x:v>
      </x:c>
      <x:c r="AJ67" s="26" t="str">
        <x:f>IF(G67=0,"NO VALID SUMMARY",IF(J67&lt;=Settings_Glossary!$B$4,"Excellent",IF(J67&lt;=Settings_Glossary!$B$5,"Acceptable","Review")))</x:f>
        <x:v>Acceptable</x:v>
      </x:c>
      <x:c r="AK67" s="26" t="str">
        <x:f>IF(G67=0,"No valid repeats",IF(G67&lt;2,"Single repeat / repeat needed",IF(Y67&lt;=Settings_Glossary!$B$6,"Good","Review")))</x:f>
        <x:v>Review</x:v>
      </x:c>
      <x:c r="AL67" s="26" t="str">
        <x:v>Resolve behavior between K2 and K3 with finer DAC steps</x:v>
      </x:c>
      <x:c r="AM67" s="26" t="str">
        <x:v>3 repeats per DAC, 268 Hz, DAC 1–6 in 0.5 steps</x:v>
      </x:c>
    </x:row>
    <x:row r="68">
      <x:c r="A68" s="26" t="str">
        <x:v>K5</x:v>
      </x:c>
      <x:c r="B68" s="26" t="str">
        <x:v>Horizontal / flat</x:v>
      </x:c>
      <x:c r="C68" s="26" t="str">
        <x:v>Intermediate</x:v>
      </x:c>
      <x:c r="D68" s="26" t="str">
        <x:v>Pasted text(20260812-103624).txt</x:v>
      </x:c>
      <x:c r="E68" s="36" t="n">
        <x:v>268</x:v>
      </x:c>
      <x:c r="F68" s="37" t="n">
        <x:v>3</x:v>
      </x:c>
      <x:c r="G68" s="38" t="n">
        <x:v>3</x:v>
      </x:c>
      <x:c r="H68" s="36" t="n">
        <x:v>268.04543</x:v>
      </x:c>
      <x:c r="I68" s="36" t="n">
        <x:f>IF(H68="","",H68-E68)</x:f>
        <x:v>0.045430000000010295</x:v>
      </x:c>
      <x:c r="J68" s="36" t="n">
        <x:f>IF(I68="","",ABS(I68))</x:f>
        <x:v>0.045430000000010295</x:v>
      </x:c>
      <x:c r="K68" s="39" t="n">
        <x:f>IF(I68="","",ABS(I68/E68)*100)</x:f>
        <x:v>0.016951492537317273</x:v>
      </x:c>
      <x:c r="L68" s="36" t="n">
        <x:v>268.03081</x:v>
      </x:c>
      <x:c r="M68" s="36" t="n">
        <x:f>IF(L68="","",L68-E68)</x:f>
        <x:v>0.030809999999974025</x:v>
      </x:c>
      <x:c r="N68" s="36" t="n">
        <x:v>267.81682</x:v>
      </x:c>
      <x:c r="O68" s="36" t="n">
        <x:f>IF(N68="","",N68-E68)</x:f>
        <x:v>-0.18317999999999302</x:v>
      </x:c>
      <x:c r="P68" s="36" t="n">
        <x:v>268.08221</x:v>
      </x:c>
      <x:c r="Q68" s="36" t="n">
        <x:f>IF(P68="","",P68-E68)</x:f>
        <x:v>0.08220999999997503</x:v>
      </x:c>
      <x:c r="R68" s="36" t="n">
        <x:v>0.01685</x:v>
      </x:c>
      <x:c r="S68" s="36" t="n">
        <x:v>0.05415</x:v>
      </x:c>
      <x:c r="T68" s="36" t="n">
        <x:v>0.12912</x:v>
      </x:c>
      <x:c r="U68" s="36" t="n">
        <x:v>0.14252</x:v>
      </x:c>
      <x:c r="V68" s="37" t="n">
        <x:v>19.13</x:v>
      </x:c>
      <x:c r="W68" s="37" t="n">
        <x:v>17.14</x:v>
      </x:c>
      <x:c r="X68" s="37" t="n">
        <x:v>3.68</x:v>
      </x:c>
      <x:c r="Y68" s="37" t="n">
        <x:v>3.88</x:v>
      </x:c>
      <x:c r="Z68" s="37" t="n">
        <x:f>IF(OR(U68="",U68=0),"",R68^2/U68^2*100)</x:f>
        <x:v>1.3978101285635278</x:v>
      </x:c>
      <x:c r="AA68" s="37" t="n">
        <x:f>IF(OR(U68="",U68=0),"",S68^2/U68^2*100)</x:f>
        <x:v>14.435947519840338</x:v>
      </x:c>
      <x:c r="AB68" s="37" t="n">
        <x:f>IF(OR(U68="",U68=0),"",T68^2/U68^2*100)</x:f>
        <x:v>82.07963327834833</x:v>
      </x:c>
      <x:c r="AC68" s="26" t="str">
        <x:f>IF(U68="","",IF(R68=MAX(R68:T68),"X",IF(S68=MAX(R68:T68),"Y","Z")))</x:f>
        <x:v>Z</x:v>
      </x:c>
      <x:c r="AD68" s="36" t="n">
        <x:f>IF(OR(R68="",R68=0,S68=""),"",S68/R68)</x:f>
        <x:v>3.2136498516320473</x:v>
      </x:c>
      <x:c r="AE68" s="36" t="n">
        <x:f>IF(OR(R68="",R68=0,T68=""),"",T68/R68)</x:f>
        <x:v>7.662908011869437</x:v>
      </x:c>
      <x:c r="AF68" s="36" t="n">
        <x:f>IF(OR(R68="",F68=0),"",R68/F68)</x:f>
        <x:v>0.0056166666666666665</x:v>
      </x:c>
      <x:c r="AG68" s="36" t="n">
        <x:f>IF(OR(S68="",F68=0),"",S68/F68)</x:f>
        <x:v>0.01805</x:v>
      </x:c>
      <x:c r="AH68" s="36" t="n">
        <x:f>IF(OR(T68="",F68=0),"",T68/F68)</x:f>
        <x:v>0.04304</x:v>
      </x:c>
      <x:c r="AI68" s="36" t="n">
        <x:f>IF(OR(U68="",F68=0),"",U68/F68)</x:f>
        <x:v>0.04750666666666667</x:v>
      </x:c>
      <x:c r="AJ68" s="26" t="str">
        <x:f>IF(G68=0,"NO VALID SUMMARY",IF(J68&lt;=Settings_Glossary!$B$4,"Excellent",IF(J68&lt;=Settings_Glossary!$B$5,"Acceptable","Review")))</x:f>
        <x:v>Excellent</x:v>
      </x:c>
      <x:c r="AK68" s="26" t="str">
        <x:f>IF(G68=0,"No valid repeats",IF(G68&lt;2,"Single repeat / repeat needed",IF(Y68&lt;=Settings_Glossary!$B$6,"Good","Review")))</x:f>
        <x:v>Good</x:v>
      </x:c>
      <x:c r="AL68" s="26" t="str">
        <x:v>Resolve behavior between K2 and K3 with finer DAC steps</x:v>
      </x:c>
      <x:c r="AM68" s="26" t="str">
        <x:v>3 repeats per DAC, 268 Hz, DAC 1–6 in 0.5 steps</x:v>
      </x:c>
    </x:row>
    <x:row r="69">
      <x:c r="A69" s="26" t="str">
        <x:v>K5</x:v>
      </x:c>
      <x:c r="B69" s="26" t="str">
        <x:v>Horizontal / flat</x:v>
      </x:c>
      <x:c r="C69" s="26" t="str">
        <x:v>Intermediate</x:v>
      </x:c>
      <x:c r="D69" s="26" t="str">
        <x:v>Pasted text(20260812-103624).txt</x:v>
      </x:c>
      <x:c r="E69" s="36" t="n">
        <x:v>268</x:v>
      </x:c>
      <x:c r="F69" s="37" t="n">
        <x:v>3.5</x:v>
      </x:c>
      <x:c r="G69" s="38" t="n">
        <x:v>3</x:v>
      </x:c>
      <x:c r="H69" s="36" t="n">
        <x:v>267.98924</x:v>
      </x:c>
      <x:c r="I69" s="36" t="n">
        <x:f>IF(H69="","",H69-E69)</x:f>
        <x:v>-0.010760000000004766</x:v>
      </x:c>
      <x:c r="J69" s="36" t="n">
        <x:f>IF(I69="","",ABS(I69))</x:f>
        <x:v>0.010760000000004766</x:v>
      </x:c>
      <x:c r="K69" s="39" t="n">
        <x:f>IF(I69="","",ABS(I69/E69)*100)</x:f>
        <x:v>0.004014925373136107</x:v>
      </x:c>
      <x:c r="L69" s="36" t="n">
        <x:v>267.96592</x:v>
      </x:c>
      <x:c r="M69" s="36" t="n">
        <x:f>IF(L69="","",L69-E69)</x:f>
        <x:v>-0.03408000000001721</x:v>
      </x:c>
      <x:c r="N69" s="36" t="n">
        <x:v>267.5916</x:v>
      </x:c>
      <x:c r="O69" s="36" t="n">
        <x:f>IF(N69="","",N69-E69)</x:f>
        <x:v>-0.4083999999999719</x:v>
      </x:c>
      <x:c r="P69" s="36" t="n">
        <x:v>268.0373</x:v>
      </x:c>
      <x:c r="Q69" s="36" t="n">
        <x:f>IF(P69="","",P69-E69)</x:f>
        <x:v>0.0373000000000161</x:v>
      </x:c>
      <x:c r="R69" s="36" t="n">
        <x:v>0.02231</x:v>
      </x:c>
      <x:c r="S69" s="36" t="n">
        <x:v>0.06324</x:v>
      </x:c>
      <x:c r="T69" s="36" t="n">
        <x:v>0.15499</x:v>
      </x:c>
      <x:c r="U69" s="36" t="n">
        <x:v>0.17018</x:v>
      </x:c>
      <x:c r="V69" s="37" t="n">
        <x:v>7.62</x:v>
      </x:c>
      <x:c r="W69" s="37" t="n">
        <x:v>7.06</x:v>
      </x:c>
      <x:c r="X69" s="37" t="n">
        <x:v>5.26</x:v>
      </x:c>
      <x:c r="Y69" s="37" t="n">
        <x:v>4.58</x:v>
      </x:c>
      <x:c r="Z69" s="37" t="n">
        <x:f>IF(OR(U69="",U69=0),"",R69^2/U69^2*100)</x:f>
        <x:v>1.7186288660837514</x:v>
      </x:c>
      <x:c r="AA69" s="37" t="n">
        <x:f>IF(OR(U69="",U69=0),"",S69^2/U69^2*100)</x:f>
        <x:v>13.809141630312668</x:v>
      </x:c>
      <x:c r="AB69" s="37" t="n">
        <x:f>IF(OR(U69="",U69=0),"",T69^2/U69^2*100)</x:f>
        <x:v>82.94502032309923</x:v>
      </x:c>
      <x:c r="AC69" s="26" t="str">
        <x:f>IF(U69="","",IF(R69=MAX(R69:T69),"X",IF(S69=MAX(R69:T69),"Y","Z")))</x:f>
        <x:v>Z</x:v>
      </x:c>
      <x:c r="AD69" s="36" t="n">
        <x:f>IF(OR(R69="",R69=0,S69=""),"",S69/R69)</x:f>
        <x:v>2.834603316898252</x:v>
      </x:c>
      <x:c r="AE69" s="36" t="n">
        <x:f>IF(OR(R69="",R69=0,T69=""),"",T69/R69)</x:f>
        <x:v>6.9471089197669205</x:v>
      </x:c>
      <x:c r="AF69" s="36" t="n">
        <x:f>IF(OR(R69="",F69=0),"",R69/F69)</x:f>
        <x:v>0.006374285714285714</x:v>
      </x:c>
      <x:c r="AG69" s="36" t="n">
        <x:f>IF(OR(S69="",F69=0),"",S69/F69)</x:f>
        <x:v>0.01806857142857143</x:v>
      </x:c>
      <x:c r="AH69" s="36" t="n">
        <x:f>IF(OR(T69="",F69=0),"",T69/F69)</x:f>
        <x:v>0.04428285714285714</x:v>
      </x:c>
      <x:c r="AI69" s="36" t="n">
        <x:f>IF(OR(U69="",F69=0),"",U69/F69)</x:f>
        <x:v>0.04862285714285714</x:v>
      </x:c>
      <x:c r="AJ69" s="26" t="str">
        <x:f>IF(G69=0,"NO VALID SUMMARY",IF(J69&lt;=Settings_Glossary!$B$4,"Excellent",IF(J69&lt;=Settings_Glossary!$B$5,"Acceptable","Review")))</x:f>
        <x:v>Excellent</x:v>
      </x:c>
      <x:c r="AK69" s="26" t="str">
        <x:f>IF(G69=0,"No valid repeats",IF(G69&lt;2,"Single repeat / repeat needed",IF(Y69&lt;=Settings_Glossary!$B$6,"Good","Review")))</x:f>
        <x:v>Good</x:v>
      </x:c>
      <x:c r="AL69" s="26" t="str">
        <x:v>Resolve behavior between K2 and K3 with finer DAC steps</x:v>
      </x:c>
      <x:c r="AM69" s="26" t="str">
        <x:v>3 repeats per DAC, 268 Hz, DAC 1–6 in 0.5 steps</x:v>
      </x:c>
    </x:row>
    <x:row r="70">
      <x:c r="A70" s="26" t="str">
        <x:v>K5</x:v>
      </x:c>
      <x:c r="B70" s="26" t="str">
        <x:v>Horizontal / flat</x:v>
      </x:c>
      <x:c r="C70" s="26" t="str">
        <x:v>Intermediate</x:v>
      </x:c>
      <x:c r="D70" s="26" t="str">
        <x:v>Pasted text(20260812-103624).txt</x:v>
      </x:c>
      <x:c r="E70" s="36" t="n">
        <x:v>268</x:v>
      </x:c>
      <x:c r="F70" s="37" t="n">
        <x:v>4</x:v>
      </x:c>
      <x:c r="G70" s="38" t="n">
        <x:v>3</x:v>
      </x:c>
      <x:c r="H70" s="36" t="n">
        <x:v>268.07413</x:v>
      </x:c>
      <x:c r="I70" s="36" t="n">
        <x:f>IF(H70="","",H70-E70)</x:f>
        <x:v>0.07413000000002512</x:v>
      </x:c>
      <x:c r="J70" s="36" t="n">
        <x:f>IF(I70="","",ABS(I70))</x:f>
        <x:v>0.07413000000002512</x:v>
      </x:c>
      <x:c r="K70" s="39" t="n">
        <x:f>IF(I70="","",ABS(I70/E70)*100)</x:f>
        <x:v>0.027660447761203404</x:v>
      </x:c>
      <x:c r="L70" s="36" t="n">
        <x:v>268.15011</x:v>
      </x:c>
      <x:c r="M70" s="36" t="n">
        <x:f>IF(L70="","",L70-E70)</x:f>
        <x:v>0.15010999999998376</x:v>
      </x:c>
      <x:c r="N70" s="36" t="n">
        <x:v>268.07973</x:v>
      </x:c>
      <x:c r="O70" s="36" t="n">
        <x:f>IF(N70="","",N70-E70)</x:f>
        <x:v>0.07972999999998365</x:v>
      </x:c>
      <x:c r="P70" s="36" t="n">
        <x:v>268.06997</x:v>
      </x:c>
      <x:c r="Q70" s="36" t="n">
        <x:f>IF(P70="","",P70-E70)</x:f>
        <x:v>0.06997000000001208</x:v>
      </x:c>
      <x:c r="R70" s="36" t="n">
        <x:v>0.03088</x:v>
      </x:c>
      <x:c r="S70" s="36" t="n">
        <x:v>0.08077</x:v>
      </x:c>
      <x:c r="T70" s="36" t="n">
        <x:v>0.21239</x:v>
      </x:c>
      <x:c r="U70" s="36" t="n">
        <x:v>0.23058</x:v>
      </x:c>
      <x:c r="V70" s="37" t="n">
        <x:v>5.61</x:v>
      </x:c>
      <x:c r="W70" s="37" t="n">
        <x:v>10.31</x:v>
      </x:c>
      <x:c r="X70" s="37" t="n">
        <x:v>5.96</x:v>
      </x:c>
      <x:c r="Y70" s="37" t="n">
        <x:v>4.1</x:v>
      </x:c>
      <x:c r="Z70" s="37" t="n">
        <x:f>IF(OR(U70="",U70=0),"",R70^2/U70^2*100)</x:f>
        <x:v>1.7935410190720746</x:v>
      </x:c>
      <x:c r="AA70" s="37" t="n">
        <x:f>IF(OR(U70="",U70=0),"",S70^2/U70^2*100)</x:f>
        <x:v>12.27034845532888</x:v>
      </x:c>
      <x:c r="AB70" s="37" t="n">
        <x:f>IF(OR(U70="",U70=0),"",T70^2/U70^2*100)</x:f>
        <x:v>84.84472769159709</x:v>
      </x:c>
      <x:c r="AC70" s="26" t="str">
        <x:f>IF(U70="","",IF(R70=MAX(R70:T70),"X",IF(S70=MAX(R70:T70),"Y","Z")))</x:f>
        <x:v>Z</x:v>
      </x:c>
      <x:c r="AD70" s="36" t="n">
        <x:f>IF(OR(R70="",R70=0,S70=""),"",S70/R70)</x:f>
        <x:v>2.615608808290155</x:v>
      </x:c>
      <x:c r="AE70" s="36" t="n">
        <x:f>IF(OR(R70="",R70=0,T70=""),"",T70/R70)</x:f>
        <x:v>6.8779145077720205</x:v>
      </x:c>
      <x:c r="AF70" s="36" t="n">
        <x:f>IF(OR(R70="",F70=0),"",R70/F70)</x:f>
        <x:v>0.00772</x:v>
      </x:c>
      <x:c r="AG70" s="36" t="n">
        <x:f>IF(OR(S70="",F70=0),"",S70/F70)</x:f>
        <x:v>0.0201925</x:v>
      </x:c>
      <x:c r="AH70" s="36" t="n">
        <x:f>IF(OR(T70="",F70=0),"",T70/F70)</x:f>
        <x:v>0.0530975</x:v>
      </x:c>
      <x:c r="AI70" s="36" t="n">
        <x:f>IF(OR(U70="",F70=0),"",U70/F70)</x:f>
        <x:v>0.057645</x:v>
      </x:c>
      <x:c r="AJ70" s="26" t="str">
        <x:f>IF(G70=0,"NO VALID SUMMARY",IF(J70&lt;=Settings_Glossary!$B$4,"Excellent",IF(J70&lt;=Settings_Glossary!$B$5,"Acceptable","Review")))</x:f>
        <x:v>Excellent</x:v>
      </x:c>
      <x:c r="AK70" s="26" t="str">
        <x:f>IF(G70=0,"No valid repeats",IF(G70&lt;2,"Single repeat / repeat needed",IF(Y70&lt;=Settings_Glossary!$B$6,"Good","Review")))</x:f>
        <x:v>Good</x:v>
      </x:c>
      <x:c r="AL70" s="26" t="str">
        <x:v>Resolve behavior between K2 and K3 with finer DAC steps</x:v>
      </x:c>
      <x:c r="AM70" s="26" t="str">
        <x:v>3 repeats per DAC, 268 Hz, DAC 1–6 in 0.5 steps</x:v>
      </x:c>
    </x:row>
    <x:row r="71">
      <x:c r="A71" s="26" t="str">
        <x:v>K5</x:v>
      </x:c>
      <x:c r="B71" s="26" t="str">
        <x:v>Horizontal / flat</x:v>
      </x:c>
      <x:c r="C71" s="26" t="str">
        <x:v>Intermediate</x:v>
      </x:c>
      <x:c r="D71" s="26" t="str">
        <x:v>Pasted text(20260812-103624).txt</x:v>
      </x:c>
      <x:c r="E71" s="36" t="n">
        <x:v>268</x:v>
      </x:c>
      <x:c r="F71" s="37" t="n">
        <x:v>4.5</x:v>
      </x:c>
      <x:c r="G71" s="38" t="n">
        <x:v>3</x:v>
      </x:c>
      <x:c r="H71" s="36" t="n">
        <x:v>268.01249</x:v>
      </x:c>
      <x:c r="I71" s="36" t="n">
        <x:f>IF(H71="","",H71-E71)</x:f>
        <x:v>0.012490000000013879</x:v>
      </x:c>
      <x:c r="J71" s="36" t="n">
        <x:f>IF(I71="","",ABS(I71))</x:f>
        <x:v>0.012490000000013879</x:v>
      </x:c>
      <x:c r="K71" s="39" t="n">
        <x:f>IF(I71="","",ABS(I71/E71)*100)</x:f>
        <x:v>0.0046604477611992086</x:v>
      </x:c>
      <x:c r="L71" s="36" t="n">
        <x:v>268.0759</x:v>
      </x:c>
      <x:c r="M71" s="36" t="n">
        <x:f>IF(L71="","",L71-E71)</x:f>
        <x:v>0.07589999999999009</x:v>
      </x:c>
      <x:c r="N71" s="36" t="n">
        <x:v>267.97572</x:v>
      </x:c>
      <x:c r="O71" s="36" t="n">
        <x:f>IF(N71="","",N71-E71)</x:f>
        <x:v>-0.0242799999999761</x:v>
      </x:c>
      <x:c r="P71" s="36" t="n">
        <x:v>268.01733</x:v>
      </x:c>
      <x:c r="Q71" s="36" t="n">
        <x:f>IF(P71="","",P71-E71)</x:f>
        <x:v>0.01733000000001539</x:v>
      </x:c>
      <x:c r="R71" s="36" t="n">
        <x:v>0.0256</x:v>
      </x:c>
      <x:c r="S71" s="36" t="n">
        <x:v>0.08908</x:v>
      </x:c>
      <x:c r="T71" s="36" t="n">
        <x:v>0.23195</x:v>
      </x:c>
      <x:c r="U71" s="36" t="n">
        <x:v>0.25037</x:v>
      </x:c>
      <x:c r="V71" s="37" t="n">
        <x:v>9.17</x:v>
      </x:c>
      <x:c r="W71" s="37" t="n">
        <x:v>15.43</x:v>
      </x:c>
      <x:c r="X71" s="37" t="n">
        <x:v>6.21</x:v>
      </x:c>
      <x:c r="Y71" s="37" t="n">
        <x:v>7.31</x:v>
      </x:c>
      <x:c r="Z71" s="37" t="n">
        <x:f>IF(OR(U71="",U71=0),"",R71^2/U71^2*100)</x:f>
        <x:v>1.04547909187066</x:v>
      </x:c>
      <x:c r="AA71" s="37" t="n">
        <x:f>IF(OR(U71="",U71=0),"",S71^2/U71^2*100)</x:f>
        <x:v>12.658896179263193</x:v>
      </x:c>
      <x:c r="AB71" s="37" t="n">
        <x:f>IF(OR(U71="",U71=0),"",T71^2/U71^2*100)</x:f>
        <x:v>85.82704794252432</x:v>
      </x:c>
      <x:c r="AC71" s="26" t="str">
        <x:f>IF(U71="","",IF(R71=MAX(R71:T71),"X",IF(S71=MAX(R71:T71),"Y","Z")))</x:f>
        <x:v>Z</x:v>
      </x:c>
      <x:c r="AD71" s="36" t="n">
        <x:f>IF(OR(R71="",R71=0,S71=""),"",S71/R71)</x:f>
        <x:v>3.4796875000000003</x:v>
      </x:c>
      <x:c r="AE71" s="36" t="n">
        <x:f>IF(OR(R71="",R71=0,T71=""),"",T71/R71)</x:f>
        <x:v>9.060546875</x:v>
      </x:c>
      <x:c r="AF71" s="36" t="n">
        <x:f>IF(OR(R71="",F71=0),"",R71/F71)</x:f>
        <x:v>0.005688888888888889</x:v>
      </x:c>
      <x:c r="AG71" s="36" t="n">
        <x:f>IF(OR(S71="",F71=0),"",S71/F71)</x:f>
        <x:v>0.019795555555555556</x:v>
      </x:c>
      <x:c r="AH71" s="36" t="n">
        <x:f>IF(OR(T71="",F71=0),"",T71/F71)</x:f>
        <x:v>0.05154444444444444</x:v>
      </x:c>
      <x:c r="AI71" s="36" t="n">
        <x:f>IF(OR(U71="",F71=0),"",U71/F71)</x:f>
        <x:v>0.05563777777777777</x:v>
      </x:c>
      <x:c r="AJ71" s="26" t="str">
        <x:f>IF(G71=0,"NO VALID SUMMARY",IF(J71&lt;=Settings_Glossary!$B$4,"Excellent",IF(J71&lt;=Settings_Glossary!$B$5,"Acceptable","Review")))</x:f>
        <x:v>Excellent</x:v>
      </x:c>
      <x:c r="AK71" s="26" t="str">
        <x:f>IF(G71=0,"No valid repeats",IF(G71&lt;2,"Single repeat / repeat needed",IF(Y71&lt;=Settings_Glossary!$B$6,"Good","Review")))</x:f>
        <x:v>Good</x:v>
      </x:c>
      <x:c r="AL71" s="26" t="str">
        <x:v>Resolve behavior between K2 and K3 with finer DAC steps</x:v>
      </x:c>
      <x:c r="AM71" s="26" t="str">
        <x:v>3 repeats per DAC, 268 Hz, DAC 1–6 in 0.5 steps</x:v>
      </x:c>
    </x:row>
    <x:row r="72">
      <x:c r="A72" s="26" t="str">
        <x:v>K5</x:v>
      </x:c>
      <x:c r="B72" s="26" t="str">
        <x:v>Horizontal / flat</x:v>
      </x:c>
      <x:c r="C72" s="26" t="str">
        <x:v>Intermediate</x:v>
      </x:c>
      <x:c r="D72" s="26" t="str">
        <x:v>Pasted text(20260812-103624).txt</x:v>
      </x:c>
      <x:c r="E72" s="36" t="n">
        <x:v>268</x:v>
      </x:c>
      <x:c r="F72" s="37" t="n">
        <x:v>5</x:v>
      </x:c>
      <x:c r="G72" s="38" t="n">
        <x:v>3</x:v>
      </x:c>
      <x:c r="H72" s="36" t="n">
        <x:v>268.0125</x:v>
      </x:c>
      <x:c r="I72" s="36" t="n">
        <x:f>IF(H72="","",H72-E72)</x:f>
        <x:v>0.012499999999988631</x:v>
      </x:c>
      <x:c r="J72" s="36" t="n">
        <x:f>IF(I72="","",ABS(I72))</x:f>
        <x:v>0.012499999999988631</x:v>
      </x:c>
      <x:c r="K72" s="39" t="n">
        <x:f>IF(I72="","",ABS(I72/E72)*100)</x:f>
        <x:v>0.00466417910447337</x:v>
      </x:c>
      <x:c r="L72" s="36" t="n">
        <x:v>267.91921</x:v>
      </x:c>
      <x:c r="M72" s="36" t="n">
        <x:f>IF(L72="","",L72-E72)</x:f>
        <x:v>-0.08078999999997905</x:v>
      </x:c>
      <x:c r="N72" s="36" t="n">
        <x:v>268.04022</x:v>
      </x:c>
      <x:c r="O72" s="36" t="n">
        <x:f>IF(N72="","",N72-E72)</x:f>
        <x:v>0.04021999999997661</x:v>
      </x:c>
      <x:c r="P72" s="36" t="n">
        <x:v>268.00978</x:v>
      </x:c>
      <x:c r="Q72" s="36" t="n">
        <x:f>IF(P72="","",P72-E72)</x:f>
        <x:v>0.009779999999977917</x:v>
      </x:c>
      <x:c r="R72" s="36" t="n">
        <x:v>0.03828</x:v>
      </x:c>
      <x:c r="S72" s="36" t="n">
        <x:v>0.10704</x:v>
      </x:c>
      <x:c r="T72" s="36" t="n">
        <x:v>0.28609</x:v>
      </x:c>
      <x:c r="U72" s="36" t="n">
        <x:v>0.30833</x:v>
      </x:c>
      <x:c r="V72" s="37" t="n">
        <x:v>22.86</x:v>
      </x:c>
      <x:c r="W72" s="37" t="n">
        <x:v>5.07</x:v>
      </x:c>
      <x:c r="X72" s="37" t="n">
        <x:v>2.57</x:v>
      </x:c>
      <x:c r="Y72" s="37" t="n">
        <x:v>1.6</x:v>
      </x:c>
      <x:c r="Z72" s="37" t="n">
        <x:f>IF(OR(U72="",U72=0),"",R72^2/U72^2*100)</x:f>
        <x:v>1.5413891313890922</x:v>
      </x:c>
      <x:c r="AA72" s="37" t="n">
        <x:f>IF(OR(U72="",U72=0),"",S72^2/U72^2*100)</x:f>
        <x:v>12.052041959469447</x:v>
      </x:c>
      <x:c r="AB72" s="37" t="n">
        <x:f>IF(OR(U72="",U72=0),"",T72^2/U72^2*100)</x:f>
        <x:v>86.09417913654302</x:v>
      </x:c>
      <x:c r="AC72" s="26" t="str">
        <x:f>IF(U72="","",IF(R72=MAX(R72:T72),"X",IF(S72=MAX(R72:T72),"Y","Z")))</x:f>
        <x:v>Z</x:v>
      </x:c>
      <x:c r="AD72" s="36" t="n">
        <x:f>IF(OR(R72="",R72=0,S72=""),"",S72/R72)</x:f>
        <x:v>2.7962382445141065</x:v>
      </x:c>
      <x:c r="AE72" s="36" t="n">
        <x:f>IF(OR(R72="",R72=0,T72=""),"",T72/R72)</x:f>
        <x:v>7.473615464994776</x:v>
      </x:c>
      <x:c r="AF72" s="36" t="n">
        <x:f>IF(OR(R72="",F72=0),"",R72/F72)</x:f>
        <x:v>0.0076560000000000005</x:v>
      </x:c>
      <x:c r="AG72" s="36" t="n">
        <x:f>IF(OR(S72="",F72=0),"",S72/F72)</x:f>
        <x:v>0.021408</x:v>
      </x:c>
      <x:c r="AH72" s="36" t="n">
        <x:f>IF(OR(T72="",F72=0),"",T72/F72)</x:f>
        <x:v>0.057218000000000005</x:v>
      </x:c>
      <x:c r="AI72" s="36" t="n">
        <x:f>IF(OR(U72="",F72=0),"",U72/F72)</x:f>
        <x:v>0.061666</x:v>
      </x:c>
      <x:c r="AJ72" s="26" t="str">
        <x:f>IF(G72=0,"NO VALID SUMMARY",IF(J72&lt;=Settings_Glossary!$B$4,"Excellent",IF(J72&lt;=Settings_Glossary!$B$5,"Acceptable","Review")))</x:f>
        <x:v>Excellent</x:v>
      </x:c>
      <x:c r="AK72" s="26" t="str">
        <x:f>IF(G72=0,"No valid repeats",IF(G72&lt;2,"Single repeat / repeat needed",IF(Y72&lt;=Settings_Glossary!$B$6,"Good","Review")))</x:f>
        <x:v>Good</x:v>
      </x:c>
      <x:c r="AL72" s="26" t="str">
        <x:v>Resolve behavior between K2 and K3 with finer DAC steps</x:v>
      </x:c>
      <x:c r="AM72" s="26" t="str">
        <x:v>3 repeats per DAC, 268 Hz, DAC 1–6 in 0.5 steps</x:v>
      </x:c>
    </x:row>
    <x:row r="73">
      <x:c r="A73" s="26" t="str">
        <x:v>K5</x:v>
      </x:c>
      <x:c r="B73" s="26" t="str">
        <x:v>Horizontal / flat</x:v>
      </x:c>
      <x:c r="C73" s="26" t="str">
        <x:v>Intermediate</x:v>
      </x:c>
      <x:c r="D73" s="26" t="str">
        <x:v>Pasted text(20260812-103624).txt</x:v>
      </x:c>
      <x:c r="E73" s="36" t="n">
        <x:v>268</x:v>
      </x:c>
      <x:c r="F73" s="37" t="n">
        <x:v>5.5</x:v>
      </x:c>
      <x:c r="G73" s="38" t="n">
        <x:v>3</x:v>
      </x:c>
      <x:c r="H73" s="36" t="n">
        <x:v>267.9803</x:v>
      </x:c>
      <x:c r="I73" s="36" t="n">
        <x:f>IF(H73="","",H73-E73)</x:f>
        <x:v>-0.019700000000000273</x:v>
      </x:c>
      <x:c r="J73" s="36" t="n">
        <x:f>IF(I73="","",ABS(I73))</x:f>
        <x:v>0.019700000000000273</x:v>
      </x:c>
      <x:c r="K73" s="39" t="n">
        <x:f>IF(I73="","",ABS(I73/E73)*100)</x:f>
        <x:v>0.007350746268656817</x:v>
      </x:c>
      <x:c r="L73" s="36" t="n">
        <x:v>268.09824</x:v>
      </x:c>
      <x:c r="M73" s="36" t="n">
        <x:f>IF(L73="","",L73-E73)</x:f>
        <x:v>0.09823999999997568</x:v>
      </x:c>
      <x:c r="N73" s="36" t="n">
        <x:v>267.95221</x:v>
      </x:c>
      <x:c r="O73" s="36" t="n">
        <x:f>IF(N73="","",N73-E73)</x:f>
        <x:v>-0.04779000000002043</x:v>
      </x:c>
      <x:c r="P73" s="36" t="n">
        <x:v>267.98257</x:v>
      </x:c>
      <x:c r="Q73" s="36" t="n">
        <x:f>IF(P73="","",P73-E73)</x:f>
        <x:v>-0.017429999999990287</x:v>
      </x:c>
      <x:c r="R73" s="36" t="n">
        <x:v>0.03948</x:v>
      </x:c>
      <x:c r="S73" s="36" t="n">
        <x:v>0.1206</x:v>
      </x:c>
      <x:c r="T73" s="36" t="n">
        <x:v>0.31008</x:v>
      </x:c>
      <x:c r="U73" s="36" t="n">
        <x:v>0.33629</x:v>
      </x:c>
      <x:c r="V73" s="37" t="n">
        <x:v>10.91</x:v>
      </x:c>
      <x:c r="W73" s="37" t="n">
        <x:v>8.02</x:v>
      </x:c>
      <x:c r="X73" s="37" t="n">
        <x:v>3.54</x:v>
      </x:c>
      <x:c r="Y73" s="37" t="n">
        <x:v>4.05</x:v>
      </x:c>
      <x:c r="Z73" s="37" t="n">
        <x:f>IF(OR(U73="",U73=0),"",R73^2/U73^2*100)</x:f>
        <x:v>1.3782448601479387</x:v>
      </x:c>
      <x:c r="AA73" s="37" t="n">
        <x:f>IF(OR(U73="",U73=0),"",S73^2/U73^2*100)</x:f>
        <x:v>12.860762233081008</x:v>
      </x:c>
      <x:c r="AB73" s="37" t="n">
        <x:f>IF(OR(U73="",U73=0),"",T73^2/U73^2*100)</x:f>
        <x:v>85.01970706959429</x:v>
      </x:c>
      <x:c r="AC73" s="26" t="str">
        <x:f>IF(U73="","",IF(R73=MAX(R73:T73),"X",IF(S73=MAX(R73:T73),"Y","Z")))</x:f>
        <x:v>Z</x:v>
      </x:c>
      <x:c r="AD73" s="36" t="n">
        <x:f>IF(OR(R73="",R73=0,S73=""),"",S73/R73)</x:f>
        <x:v>3.0547112462006076</x:v>
      </x:c>
      <x:c r="AE73" s="36" t="n">
        <x:f>IF(OR(R73="",R73=0,T73=""),"",T73/R73)</x:f>
        <x:v>7.854103343465046</x:v>
      </x:c>
      <x:c r="AF73" s="36" t="n">
        <x:f>IF(OR(R73="",F73=0),"",R73/F73)</x:f>
        <x:v>0.007178181818181819</x:v>
      </x:c>
      <x:c r="AG73" s="36" t="n">
        <x:f>IF(OR(S73="",F73=0),"",S73/F73)</x:f>
        <x:v>0.021927272727272726</x:v>
      </x:c>
      <x:c r="AH73" s="36" t="n">
        <x:f>IF(OR(T73="",F73=0),"",T73/F73)</x:f>
        <x:v>0.05637818181818182</x:v>
      </x:c>
      <x:c r="AI73" s="36" t="n">
        <x:f>IF(OR(U73="",F73=0),"",U73/F73)</x:f>
        <x:v>0.06114363636363636</x:v>
      </x:c>
      <x:c r="AJ73" s="26" t="str">
        <x:f>IF(G73=0,"NO VALID SUMMARY",IF(J73&lt;=Settings_Glossary!$B$4,"Excellent",IF(J73&lt;=Settings_Glossary!$B$5,"Acceptable","Review")))</x:f>
        <x:v>Excellent</x:v>
      </x:c>
      <x:c r="AK73" s="26" t="str">
        <x:f>IF(G73=0,"No valid repeats",IF(G73&lt;2,"Single repeat / repeat needed",IF(Y73&lt;=Settings_Glossary!$B$6,"Good","Review")))</x:f>
        <x:v>Good</x:v>
      </x:c>
      <x:c r="AL73" s="26" t="str">
        <x:v>Resolve behavior between K2 and K3 with finer DAC steps</x:v>
      </x:c>
      <x:c r="AM73" s="26" t="str">
        <x:v>3 repeats per DAC, 268 Hz, DAC 1–6 in 0.5 steps</x:v>
      </x:c>
    </x:row>
    <x:row r="74">
      <x:c r="A74" s="26" t="str">
        <x:v>K5</x:v>
      </x:c>
      <x:c r="B74" s="26" t="str">
        <x:v>Horizontal / flat</x:v>
      </x:c>
      <x:c r="C74" s="26" t="str">
        <x:v>Intermediate</x:v>
      </x:c>
      <x:c r="D74" s="26" t="str">
        <x:v>Pasted text(20260812-103624).txt</x:v>
      </x:c>
      <x:c r="E74" s="36" t="n">
        <x:v>268</x:v>
      </x:c>
      <x:c r="F74" s="37" t="n">
        <x:v>6</x:v>
      </x:c>
      <x:c r="G74" s="38" t="n">
        <x:v>3</x:v>
      </x:c>
      <x:c r="H74" s="36" t="n">
        <x:v>267.99066</x:v>
      </x:c>
      <x:c r="I74" s="36" t="n">
        <x:f>IF(H74="","",H74-E74)</x:f>
        <x:v>-0.009340000000008786</x:v>
      </x:c>
      <x:c r="J74" s="36" t="n">
        <x:f>IF(I74="","",ABS(I74))</x:f>
        <x:v>0.009340000000008786</x:v>
      </x:c>
      <x:c r="K74" s="39" t="n">
        <x:f>IF(I74="","",ABS(I74/E74)*100)</x:f>
        <x:v>0.00348507462686895</x:v>
      </x:c>
      <x:c r="L74" s="36" t="n">
        <x:v>267.91927</x:v>
      </x:c>
      <x:c r="M74" s="36" t="n">
        <x:f>IF(L74="","",L74-E74)</x:f>
        <x:v>-0.08073000000001684</x:v>
      </x:c>
      <x:c r="N74" s="36" t="n">
        <x:v>267.91159</x:v>
      </x:c>
      <x:c r="O74" s="36" t="n">
        <x:f>IF(N74="","",N74-E74)</x:f>
        <x:v>-0.08841000000001031</x:v>
      </x:c>
      <x:c r="P74" s="36" t="n">
        <x:v>268.00298</x:v>
      </x:c>
      <x:c r="Q74" s="36" t="n">
        <x:f>IF(P74="","",P74-E74)</x:f>
        <x:v>0.0029799999999795546</x:v>
      </x:c>
      <x:c r="R74" s="36" t="n">
        <x:v>0.04948</x:v>
      </x:c>
      <x:c r="S74" s="36" t="n">
        <x:v>0.14795</x:v>
      </x:c>
      <x:c r="T74" s="36" t="n">
        <x:v>0.3596</x:v>
      </x:c>
      <x:c r="U74" s="36" t="n">
        <x:v>0.39302</x:v>
      </x:c>
      <x:c r="V74" s="37" t="n">
        <x:v>2.56</x:v>
      </x:c>
      <x:c r="W74" s="37" t="n">
        <x:v>5.72</x:v>
      </x:c>
      <x:c r="X74" s="37" t="n">
        <x:v>3.85</x:v>
      </x:c>
      <x:c r="Y74" s="37" t="n">
        <x:v>3.69</x:v>
      </x:c>
      <x:c r="Z74" s="37" t="n">
        <x:f>IF(OR(U74="",U74=0),"",R74^2/U74^2*100)</x:f>
        <x:v>1.5850029661530405</x:v>
      </x:c>
      <x:c r="AA74" s="37" t="n">
        <x:f>IF(OR(U74="",U74=0),"",S74^2/U74^2*100)</x:f>
        <x:v>14.171004513727137</x:v>
      </x:c>
      <x:c r="AB74" s="37" t="n">
        <x:f>IF(OR(U74="",U74=0),"",T74^2/U74^2*100)</x:f>
        <x:v>83.71630729990302</x:v>
      </x:c>
      <x:c r="AC74" s="26" t="str">
        <x:f>IF(U74="","",IF(R74=MAX(R74:T74),"X",IF(S74=MAX(R74:T74),"Y","Z")))</x:f>
        <x:v>Z</x:v>
      </x:c>
      <x:c r="AD74" s="36" t="n">
        <x:f>IF(OR(R74="",R74=0,S74=""),"",S74/R74)</x:f>
        <x:v>2.9900970088924814</x:v>
      </x:c>
      <x:c r="AE74" s="36" t="n">
        <x:f>IF(OR(R74="",R74=0,T74=""),"",T74/R74)</x:f>
        <x:v>7.267582861762327</x:v>
      </x:c>
      <x:c r="AF74" s="36" t="n">
        <x:f>IF(OR(R74="",F74=0),"",R74/F74)</x:f>
        <x:v>0.008246666666666668</x:v>
      </x:c>
      <x:c r="AG74" s="36" t="n">
        <x:f>IF(OR(S74="",F74=0),"",S74/F74)</x:f>
        <x:v>0.024658333333333334</x:v>
      </x:c>
      <x:c r="AH74" s="36" t="n">
        <x:f>IF(OR(T74="",F74=0),"",T74/F74)</x:f>
        <x:v>0.05993333333333333</x:v>
      </x:c>
      <x:c r="AI74" s="36" t="n">
        <x:f>IF(OR(U74="",F74=0),"",U74/F74)</x:f>
        <x:v>0.06550333333333333</x:v>
      </x:c>
      <x:c r="AJ74" s="26" t="str">
        <x:f>IF(G74=0,"NO VALID SUMMARY",IF(J74&lt;=Settings_Glossary!$B$4,"Excellent",IF(J74&lt;=Settings_Glossary!$B$5,"Acceptable","Review")))</x:f>
        <x:v>Excellent</x:v>
      </x:c>
      <x:c r="AK74" s="26" t="str">
        <x:f>IF(G74=0,"No valid repeats",IF(G74&lt;2,"Single repeat / repeat needed",IF(Y74&lt;=Settings_Glossary!$B$6,"Good","Review")))</x:f>
        <x:v>Good</x:v>
      </x:c>
      <x:c r="AL74" s="26" t="str">
        <x:v>Resolve behavior between K2 and K3 with finer DAC steps</x:v>
      </x:c>
      <x:c r="AM74" s="26" t="str">
        <x:v>3 repeats per DAC, 268 Hz, DAC 1–6 in 0.5 steps</x:v>
      </x:c>
    </x:row>
    <x:row r="75">
      <x:c r="A75" s="26" t="str">
        <x:v>INC-01</x:v>
      </x:c>
      <x:c r="B75" s="26" t="str">
        <x:v>Inclined / wearable-like</x:v>
      </x:c>
      <x:c r="C75" s="26" t="str">
        <x:v>As tested</x:v>
      </x:c>
      <x:c r="D75" s="26" t="str">
        <x:v>Pasted text(20260812-103956).txt</x:v>
      </x:c>
      <x:c r="E75" s="36" t="n">
        <x:v>268</x:v>
      </x:c>
      <x:c r="F75" s="37" t="n">
        <x:v>10</x:v>
      </x:c>
      <x:c r="G75" s="38" t="n">
        <x:v>1</x:v>
      </x:c>
      <x:c r="H75" s="36" t="n">
        <x:v>268.03623</x:v>
      </x:c>
      <x:c r="I75" s="36" t="n">
        <x:f>IF(H75="","",H75-E75)</x:f>
        <x:v>0.036229999999989104</x:v>
      </x:c>
      <x:c r="J75" s="36" t="n">
        <x:f>IF(I75="","",ABS(I75))</x:f>
        <x:v>0.036229999999989104</x:v>
      </x:c>
      <x:c r="K75" s="39" t="n">
        <x:f>IF(I75="","",ABS(I75/E75)*100)</x:f>
        <x:v>0.013518656716413844</x:v>
      </x:c>
      <x:c r="L75" s="36" t="n">
        <x:v>268.06653</x:v>
      </x:c>
      <x:c r="M75" s="36" t="n">
        <x:f>IF(L75="","",L75-E75)</x:f>
        <x:v>0.0665300000000002</x:v>
      </x:c>
      <x:c r="N75" s="36" t="n">
        <x:v>268.01234</x:v>
      </x:c>
      <x:c r="O75" s="36" t="n">
        <x:f>IF(N75="","",N75-E75)</x:f>
        <x:v>0.012339999999994689</x:v>
      </x:c>
      <x:c r="P75" s="36" t="n">
        <x:v>268.07075</x:v>
      </x:c>
      <x:c r="Q75" s="36" t="n">
        <x:f>IF(P75="","",P75-E75)</x:f>
        <x:v>0.07074999999997544</x:v>
      </x:c>
      <x:c r="R75" s="36" t="n">
        <x:v>0.03155</x:v>
      </x:c>
      <x:c r="S75" s="36" t="n">
        <x:v>0.68373</x:v>
      </x:c>
      <x:c r="T75" s="36" t="n">
        <x:v>0.56922</x:v>
      </x:c>
      <x:c r="U75" s="36" t="n">
        <x:v>0.89039</x:v>
      </x:c>
      <x:c r="V75" s="37" t="n">
        <x:v>0</x:v>
      </x:c>
      <x:c r="W75" s="37" t="n">
        <x:v>0</x:v>
      </x:c>
      <x:c r="X75" s="37" t="n">
        <x:v>0</x:v>
      </x:c>
      <x:c r="Y75" s="37" t="n">
        <x:v>0</x:v>
      </x:c>
      <x:c r="Z75" s="37" t="n">
        <x:f>IF(OR(U75="",U75=0),"",R75^2/U75^2*100)</x:f>
        <x:v>0.12555620475389612</x:v>
      </x:c>
      <x:c r="AA75" s="37" t="n">
        <x:f>IF(OR(U75="",U75=0),"",S75^2/U75^2*100)</x:f>
        <x:v>58.96695803416028</x:v>
      </x:c>
      <x:c r="AB75" s="37" t="n">
        <x:f>IF(OR(U75="",U75=0),"",T75^2/U75^2*100)</x:f>
        <x:v>40.86954044787775</x:v>
      </x:c>
      <x:c r="AC75" s="26" t="str">
        <x:f>IF(U75="","",IF(R75=MAX(R75:T75),"X",IF(S75=MAX(R75:T75),"Y","Z")))</x:f>
        <x:v>Y</x:v>
      </x:c>
      <x:c r="AD75" s="36" t="n">
        <x:f>IF(OR(R75="",R75=0,S75=""),"",S75/R75)</x:f>
        <x:v>21.67131537242472</x:v>
      </x:c>
      <x:c r="AE75" s="36" t="n">
        <x:f>IF(OR(R75="",R75=0,T75=""),"",T75/R75)</x:f>
        <x:v>18.041838351822502</x:v>
      </x:c>
      <x:c r="AF75" s="36" t="n">
        <x:f>IF(OR(R75="",F75=0),"",R75/F75)</x:f>
        <x:v>0.0031550000000000003</x:v>
      </x:c>
      <x:c r="AG75" s="36" t="n">
        <x:f>IF(OR(S75="",F75=0),"",S75/F75)</x:f>
        <x:v>0.06837299999999999</x:v>
      </x:c>
      <x:c r="AH75" s="36" t="n">
        <x:f>IF(OR(T75="",F75=0),"",T75/F75)</x:f>
        <x:v>0.05692199999999999</x:v>
      </x:c>
      <x:c r="AI75" s="36" t="n">
        <x:f>IF(OR(U75="",F75=0),"",U75/F75)</x:f>
        <x:v>0.08903900000000001</x:v>
      </x:c>
      <x:c r="AJ75" s="26" t="str">
        <x:f>IF(G75=0,"NO VALID SUMMARY",IF(J75&lt;=Settings_Glossary!$B$4,"Excellent",IF(J75&lt;=Settings_Glossary!$B$5,"Acceptable","Review")))</x:f>
        <x:v>Excellent</x:v>
      </x:c>
      <x:c r="AK75" s="26" t="str">
        <x:f>IF(G75=0,"No valid repeats",IF(G75&lt;2,"Single repeat / repeat needed",IF(Y75&lt;=Settings_Glossary!$B$6,"Good","Review")))</x:f>
        <x:v>Single repeat / repeat needed</x:v>
      </x:c>
      <x:c r="AL75" s="26" t="str">
        <x:v>Replicate likely back-of-hand installation orientation while gripping tool</x:v>
      </x:c>
      <x:c r="AM75" s="26" t="str">
        <x:v>1 repeat per DAC, 268 Hz, DAC 10–30</x:v>
      </x:c>
    </x:row>
    <x:row r="76">
      <x:c r="A76" s="26" t="str">
        <x:v>INC-01</x:v>
      </x:c>
      <x:c r="B76" s="26" t="str">
        <x:v>Inclined / wearable-like</x:v>
      </x:c>
      <x:c r="C76" s="26" t="str">
        <x:v>As tested</x:v>
      </x:c>
      <x:c r="D76" s="26" t="str">
        <x:v>Pasted text(20260812-103956).txt</x:v>
      </x:c>
      <x:c r="E76" s="36" t="n">
        <x:v>268</x:v>
      </x:c>
      <x:c r="F76" s="37" t="n">
        <x:v>11</x:v>
      </x:c>
      <x:c r="G76" s="38" t="n">
        <x:v>1</x:v>
      </x:c>
      <x:c r="H76" s="36" t="n">
        <x:v>268.00079</x:v>
      </x:c>
      <x:c r="I76" s="36" t="n">
        <x:f>IF(H76="","",H76-E76)</x:f>
        <x:v>0.0007899999999949614</x:v>
      </x:c>
      <x:c r="J76" s="36" t="n">
        <x:f>IF(I76="","",ABS(I76))</x:f>
        <x:v>0.0007899999999949614</x:v>
      </x:c>
      <x:c r="K76" s="39" t="n">
        <x:f>IF(I76="","",ABS(I76/E76)*100)</x:f>
        <x:v>0.000294776119401105</x:v>
      </x:c>
      <x:c r="L76" s="36" t="n">
        <x:v>275.63074</x:v>
      </x:c>
      <x:c r="M76" s="36" t="n">
        <x:f>IF(L76="","",L76-E76)</x:f>
        <x:v>7.630740000000003</x:v>
      </x:c>
      <x:c r="N76" s="36" t="n">
        <x:v>267.99817</x:v>
      </x:c>
      <x:c r="O76" s="36" t="n">
        <x:f>IF(N76="","",N76-E76)</x:f>
        <x:v>-0.001829999999984011</x:v>
      </x:c>
      <x:c r="P76" s="36" t="n">
        <x:v>268.00508</x:v>
      </x:c>
      <x:c r="Q76" s="36" t="n">
        <x:f>IF(P76="","",P76-E76)</x:f>
        <x:v>0.005080000000020846</x:v>
      </x:c>
      <x:c r="R76" s="36" t="n">
        <x:v>0.02225</x:v>
      </x:c>
      <x:c r="S76" s="36" t="n">
        <x:v>0.79715</x:v>
      </x:c>
      <x:c r="T76" s="36" t="n">
        <x:v>0.66543</x:v>
      </x:c>
      <x:c r="U76" s="36" t="n">
        <x:v>1.03881</x:v>
      </x:c>
      <x:c r="V76" s="37" t="n">
        <x:v>0</x:v>
      </x:c>
      <x:c r="W76" s="37" t="n">
        <x:v>0</x:v>
      </x:c>
      <x:c r="X76" s="37" t="n">
        <x:v>0</x:v>
      </x:c>
      <x:c r="Y76" s="37" t="n">
        <x:v>0</x:v>
      </x:c>
      <x:c r="Z76" s="37" t="n">
        <x:f>IF(OR(U76="",U76=0),"",R76^2/U76^2*100)</x:f>
        <x:v>0.045876236960415366</x:v>
      </x:c>
      <x:c r="AA76" s="37" t="n">
        <x:f>IF(OR(U76="",U76=0),"",S76^2/U76^2*100)</x:f>
        <x:v>58.88543091803773</x:v>
      </x:c>
      <x:c r="AB76" s="37" t="n">
        <x:f>IF(OR(U76="",U76=0),"",T76^2/U76^2*100)</x:f>
        <x:v>41.03292814998826</x:v>
      </x:c>
      <x:c r="AC76" s="26" t="str">
        <x:f>IF(U76="","",IF(R76=MAX(R76:T76),"X",IF(S76=MAX(R76:T76),"Y","Z")))</x:f>
        <x:v>Y</x:v>
      </x:c>
      <x:c r="AD76" s="36" t="n">
        <x:f>IF(OR(R76="",R76=0,S76=""),"",S76/R76)</x:f>
        <x:v>35.826966292134834</x:v>
      </x:c>
      <x:c r="AE76" s="36" t="n">
        <x:f>IF(OR(R76="",R76=0,T76=""),"",T76/R76)</x:f>
        <x:v>29.906966292134832</x:v>
      </x:c>
      <x:c r="AF76" s="36" t="n">
        <x:f>IF(OR(R76="",F76=0),"",R76/F76)</x:f>
        <x:v>0.002022727272727273</x:v>
      </x:c>
      <x:c r="AG76" s="36" t="n">
        <x:f>IF(OR(S76="",F76=0),"",S76/F76)</x:f>
        <x:v>0.07246818181818182</x:v>
      </x:c>
      <x:c r="AH76" s="36" t="n">
        <x:f>IF(OR(T76="",F76=0),"",T76/F76)</x:f>
        <x:v>0.06049363636363636</x:v>
      </x:c>
      <x:c r="AI76" s="36" t="n">
        <x:f>IF(OR(U76="",F76=0),"",U76/F76)</x:f>
        <x:v>0.09443727272727273</x:v>
      </x:c>
      <x:c r="AJ76" s="26" t="str">
        <x:f>IF(G76=0,"NO VALID SUMMARY",IF(J76&lt;=Settings_Glossary!$B$4,"Excellent",IF(J76&lt;=Settings_Glossary!$B$5,"Acceptable","Review")))</x:f>
        <x:v>Excellent</x:v>
      </x:c>
      <x:c r="AK76" s="26" t="str">
        <x:f>IF(G76=0,"No valid repeats",IF(G76&lt;2,"Single repeat / repeat needed",IF(Y76&lt;=Settings_Glossary!$B$6,"Good","Review")))</x:f>
        <x:v>Single repeat / repeat needed</x:v>
      </x:c>
      <x:c r="AL76" s="26" t="str">
        <x:v>Replicate likely back-of-hand installation orientation while gripping tool</x:v>
      </x:c>
      <x:c r="AM76" s="26" t="str">
        <x:v>1 repeat per DAC, 268 Hz, DAC 10–30</x:v>
      </x:c>
    </x:row>
    <x:row r="77">
      <x:c r="A77" s="26" t="str">
        <x:v>INC-01</x:v>
      </x:c>
      <x:c r="B77" s="26" t="str">
        <x:v>Inclined / wearable-like</x:v>
      </x:c>
      <x:c r="C77" s="26" t="str">
        <x:v>As tested</x:v>
      </x:c>
      <x:c r="D77" s="26" t="str">
        <x:v>Pasted text(20260812-103956).txt</x:v>
      </x:c>
      <x:c r="E77" s="36" t="n">
        <x:v>268</x:v>
      </x:c>
      <x:c r="F77" s="37" t="n">
        <x:v>12</x:v>
      </x:c>
      <x:c r="G77" s="38" t="n">
        <x:v>1</x:v>
      </x:c>
      <x:c r="H77" s="36" t="n">
        <x:v>268.06635</x:v>
      </x:c>
      <x:c r="I77" s="36" t="n">
        <x:f>IF(H77="","",H77-E77)</x:f>
        <x:v>0.06634999999999991</x:v>
      </x:c>
      <x:c r="J77" s="36" t="n">
        <x:f>IF(I77="","",ABS(I77))</x:f>
        <x:v>0.06634999999999991</x:v>
      </x:c>
      <x:c r="K77" s="39" t="n">
        <x:f>IF(I77="","",ABS(I77/E77)*100)</x:f>
        <x:v>0.02475746268656713</x:v>
      </x:c>
      <x:c r="L77" s="36" t="n">
        <x:v>268.00434</x:v>
      </x:c>
      <x:c r="M77" s="36" t="n">
        <x:f>IF(L77="","",L77-E77)</x:f>
        <x:v>0.004340000000013333</x:v>
      </x:c>
      <x:c r="N77" s="36" t="n">
        <x:v>268.1107</x:v>
      </x:c>
      <x:c r="O77" s="36" t="n">
        <x:f>IF(N77="","",N77-E77)</x:f>
        <x:v>0.11070000000000846</x:v>
      </x:c>
      <x:c r="P77" s="36" t="n">
        <x:v>267.99876</x:v>
      </x:c>
      <x:c r="Q77" s="36" t="n">
        <x:f>IF(P77="","",P77-E77)</x:f>
        <x:v>-0.001239999999995689</x:v>
      </x:c>
      <x:c r="R77" s="36" t="n">
        <x:v>0.13628</x:v>
      </x:c>
      <x:c r="S77" s="36" t="n">
        <x:v>0.8067</x:v>
      </x:c>
      <x:c r="T77" s="36" t="n">
        <x:v>0.6531</x:v>
      </x:c>
      <x:c r="U77" s="36" t="n">
        <x:v>1.04807</x:v>
      </x:c>
      <x:c r="V77" s="37" t="n">
        <x:v>0</x:v>
      </x:c>
      <x:c r="W77" s="37" t="n">
        <x:v>0</x:v>
      </x:c>
      <x:c r="X77" s="37" t="n">
        <x:v>0</x:v>
      </x:c>
      <x:c r="Y77" s="37" t="n">
        <x:v>0</x:v>
      </x:c>
      <x:c r="Z77" s="37" t="n">
        <x:f>IF(OR(U77="",U77=0),"",R77^2/U77^2*100)</x:f>
        <x:v>1.6907666387757874</x:v>
      </x:c>
      <x:c r="AA77" s="37" t="n">
        <x:f>IF(OR(U77="",U77=0),"",S77^2/U77^2*100)</x:f>
        <x:v>59.24388552424541</x:v>
      </x:c>
      <x:c r="AB77" s="37" t="n">
        <x:f>IF(OR(U77="",U77=0),"",T77^2/U77^2*100)</x:f>
        <x:v>38.83101902807984</x:v>
      </x:c>
      <x:c r="AC77" s="26" t="str">
        <x:f>IF(U77="","",IF(R77=MAX(R77:T77),"X",IF(S77=MAX(R77:T77),"Y","Z")))</x:f>
        <x:v>Y</x:v>
      </x:c>
      <x:c r="AD77" s="36" t="n">
        <x:f>IF(OR(R77="",R77=0,S77=""),"",S77/R77)</x:f>
        <x:v>5.919430584091575</x:v>
      </x:c>
      <x:c r="AE77" s="36" t="n">
        <x:f>IF(OR(R77="",R77=0,T77=""),"",T77/R77)</x:f>
        <x:v>4.792339301438215</x:v>
      </x:c>
      <x:c r="AF77" s="36" t="n">
        <x:f>IF(OR(R77="",F77=0),"",R77/F77)</x:f>
        <x:v>0.011356666666666668</x:v>
      </x:c>
      <x:c r="AG77" s="36" t="n">
        <x:f>IF(OR(S77="",F77=0),"",S77/F77)</x:f>
        <x:v>0.067225</x:v>
      </x:c>
      <x:c r="AH77" s="36" t="n">
        <x:f>IF(OR(T77="",F77=0),"",T77/F77)</x:f>
        <x:v>0.054425</x:v>
      </x:c>
      <x:c r="AI77" s="36" t="n">
        <x:f>IF(OR(U77="",F77=0),"",U77/F77)</x:f>
        <x:v>0.08733916666666668</x:v>
      </x:c>
      <x:c r="AJ77" s="26" t="str">
        <x:f>IF(G77=0,"NO VALID SUMMARY",IF(J77&lt;=Settings_Glossary!$B$4,"Excellent",IF(J77&lt;=Settings_Glossary!$B$5,"Acceptable","Review")))</x:f>
        <x:v>Excellent</x:v>
      </x:c>
      <x:c r="AK77" s="26" t="str">
        <x:f>IF(G77=0,"No valid repeats",IF(G77&lt;2,"Single repeat / repeat needed",IF(Y77&lt;=Settings_Glossary!$B$6,"Good","Review")))</x:f>
        <x:v>Single repeat / repeat needed</x:v>
      </x:c>
      <x:c r="AL77" s="26" t="str">
        <x:v>Replicate likely back-of-hand installation orientation while gripping tool</x:v>
      </x:c>
      <x:c r="AM77" s="26" t="str">
        <x:v>1 repeat per DAC, 268 Hz, DAC 10–30</x:v>
      </x:c>
    </x:row>
    <x:row r="78">
      <x:c r="A78" s="26" t="str">
        <x:v>INC-01</x:v>
      </x:c>
      <x:c r="B78" s="26" t="str">
        <x:v>Inclined / wearable-like</x:v>
      </x:c>
      <x:c r="C78" s="26" t="str">
        <x:v>As tested</x:v>
      </x:c>
      <x:c r="D78" s="26" t="str">
        <x:v>Pasted text(20260812-103956).txt</x:v>
      </x:c>
      <x:c r="E78" s="36" t="n">
        <x:v>268</x:v>
      </x:c>
      <x:c r="F78" s="37" t="n">
        <x:v>13</x:v>
      </x:c>
      <x:c r="G78" s="38" t="n">
        <x:v>1</x:v>
      </x:c>
      <x:c r="H78" s="36" t="n">
        <x:v>268.03364</x:v>
      </x:c>
      <x:c r="I78" s="36" t="n">
        <x:f>IF(H78="","",H78-E78)</x:f>
        <x:v>0.03363999999999123</x:v>
      </x:c>
      <x:c r="J78" s="36" t="n">
        <x:f>IF(I78="","",ABS(I78))</x:f>
        <x:v>0.03363999999999123</x:v>
      </x:c>
      <x:c r="K78" s="39" t="n">
        <x:f>IF(I78="","",ABS(I78/E78)*100)</x:f>
        <x:v>0.012552238805966877</x:v>
      </x:c>
      <x:c r="L78" s="36" t="n">
        <x:v>268.04958</x:v>
      </x:c>
      <x:c r="M78" s="36" t="n">
        <x:f>IF(L78="","",L78-E78)</x:f>
        <x:v>0.04957999999999174</x:v>
      </x:c>
      <x:c r="N78" s="36" t="n">
        <x:v>268.01318</x:v>
      </x:c>
      <x:c r="O78" s="36" t="n">
        <x:f>IF(N78="","",N78-E78)</x:f>
        <x:v>0.013179999999977099</x:v>
      </x:c>
      <x:c r="P78" s="36" t="n">
        <x:v>268.06734</x:v>
      </x:c>
      <x:c r="Q78" s="36" t="n">
        <x:f>IF(P78="","",P78-E78)</x:f>
        <x:v>0.06734000000000151</x:v>
      </x:c>
      <x:c r="R78" s="36" t="n">
        <x:v>0.16671</x:v>
      </x:c>
      <x:c r="S78" s="36" t="n">
        <x:v>0.97667</x:v>
      </x:c>
      <x:c r="T78" s="36" t="n">
        <x:v>0.73318</x:v>
      </x:c>
      <x:c r="U78" s="36" t="n">
        <x:v>1.23301</x:v>
      </x:c>
      <x:c r="V78" s="37" t="n">
        <x:v>0</x:v>
      </x:c>
      <x:c r="W78" s="37" t="n">
        <x:v>0</x:v>
      </x:c>
      <x:c r="X78" s="37" t="n">
        <x:v>0</x:v>
      </x:c>
      <x:c r="Y78" s="37" t="n">
        <x:v>0</x:v>
      </x:c>
      <x:c r="Z78" s="37" t="n">
        <x:f>IF(OR(U78="",U78=0),"",R78^2/U78^2*100)</x:f>
        <x:v>1.828058566425822</x:v>
      </x:c>
      <x:c r="AA78" s="37" t="n">
        <x:f>IF(OR(U78="",U78=0),"",S78^2/U78^2*100)</x:f>
        <x:v>62.742598052908214</x:v>
      </x:c>
      <x:c r="AB78" s="37" t="n">
        <x:f>IF(OR(U78="",U78=0),"",T78^2/U78^2*100)</x:f>
        <x:v>35.35802686694547</x:v>
      </x:c>
      <x:c r="AC78" s="26" t="str">
        <x:f>IF(U78="","",IF(R78=MAX(R78:T78),"X",IF(S78=MAX(R78:T78),"Y","Z")))</x:f>
        <x:v>Y</x:v>
      </x:c>
      <x:c r="AD78" s="36" t="n">
        <x:f>IF(OR(R78="",R78=0,S78=""),"",S78/R78)</x:f>
        <x:v>5.8584967908343835</x:v>
      </x:c>
      <x:c r="AE78" s="36" t="n">
        <x:f>IF(OR(R78="",R78=0,T78=""),"",T78/R78)</x:f>
        <x:v>4.39793653650051</x:v>
      </x:c>
      <x:c r="AF78" s="36" t="n">
        <x:f>IF(OR(R78="",F78=0),"",R78/F78)</x:f>
        <x:v>0.012823846153846154</x:v>
      </x:c>
      <x:c r="AG78" s="36" t="n">
        <x:f>IF(OR(S78="",F78=0),"",S78/F78)</x:f>
        <x:v>0.07512846153846155</x:v>
      </x:c>
      <x:c r="AH78" s="36" t="n">
        <x:f>IF(OR(T78="",F78=0),"",T78/F78)</x:f>
        <x:v>0.05639846153846154</x:v>
      </x:c>
      <x:c r="AI78" s="36" t="n">
        <x:f>IF(OR(U78="",F78=0),"",U78/F78)</x:f>
        <x:v>0.09484692307692308</x:v>
      </x:c>
      <x:c r="AJ78" s="26" t="str">
        <x:f>IF(G78=0,"NO VALID SUMMARY",IF(J78&lt;=Settings_Glossary!$B$4,"Excellent",IF(J78&lt;=Settings_Glossary!$B$5,"Acceptable","Review")))</x:f>
        <x:v>Excellent</x:v>
      </x:c>
      <x:c r="AK78" s="26" t="str">
        <x:f>IF(G78=0,"No valid repeats",IF(G78&lt;2,"Single repeat / repeat needed",IF(Y78&lt;=Settings_Glossary!$B$6,"Good","Review")))</x:f>
        <x:v>Single repeat / repeat needed</x:v>
      </x:c>
      <x:c r="AL78" s="26" t="str">
        <x:v>Replicate likely back-of-hand installation orientation while gripping tool</x:v>
      </x:c>
      <x:c r="AM78" s="26" t="str">
        <x:v>1 repeat per DAC, 268 Hz, DAC 10–30</x:v>
      </x:c>
    </x:row>
    <x:row r="79">
      <x:c r="A79" s="26" t="str">
        <x:v>INC-01</x:v>
      </x:c>
      <x:c r="B79" s="26" t="str">
        <x:v>Inclined / wearable-like</x:v>
      </x:c>
      <x:c r="C79" s="26" t="str">
        <x:v>As tested</x:v>
      </x:c>
      <x:c r="D79" s="26" t="str">
        <x:v>Pasted text(20260812-103956).txt</x:v>
      </x:c>
      <x:c r="E79" s="36" t="n">
        <x:v>268</x:v>
      </x:c>
      <x:c r="F79" s="37" t="n">
        <x:v>14</x:v>
      </x:c>
      <x:c r="G79" s="38" t="n">
        <x:v>1</x:v>
      </x:c>
      <x:c r="H79" s="36" t="n">
        <x:v>268.05597</x:v>
      </x:c>
      <x:c r="I79" s="36" t="n">
        <x:f>IF(H79="","",H79-E79)</x:f>
        <x:v>0.055970000000002074</x:v>
      </x:c>
      <x:c r="J79" s="36" t="n">
        <x:f>IF(I79="","",ABS(I79))</x:f>
        <x:v>0.055970000000002074</x:v>
      </x:c>
      <x:c r="K79" s="39" t="n">
        <x:f>IF(I79="","",ABS(I79/E79)*100)</x:f>
        <x:v>0.02088432835820973</x:v>
      </x:c>
      <x:c r="L79" s="36" t="n">
        <x:v>267.93172</x:v>
      </x:c>
      <x:c r="M79" s="36" t="n">
        <x:f>IF(L79="","",L79-E79)</x:f>
        <x:v>-0.06828000000001566</x:v>
      </x:c>
      <x:c r="N79" s="36" t="n">
        <x:v>268.08149</x:v>
      </x:c>
      <x:c r="O79" s="36" t="n">
        <x:f>IF(N79="","",N79-E79)</x:f>
        <x:v>0.08148999999997386</x:v>
      </x:c>
      <x:c r="P79" s="36" t="n">
        <x:v>268.01898</x:v>
      </x:c>
      <x:c r="Q79" s="36" t="n">
        <x:f>IF(P79="","",P79-E79)</x:f>
        <x:v>0.01897999999999911</x:v>
      </x:c>
      <x:c r="R79" s="36" t="n">
        <x:v>0.20355</x:v>
      </x:c>
      <x:c r="S79" s="36" t="n">
        <x:v>1.10322</x:v>
      </x:c>
      <x:c r="T79" s="36" t="n">
        <x:v>0.83177</x:v>
      </x:c>
      <x:c r="U79" s="36" t="n">
        <x:v>1.39686</x:v>
      </x:c>
      <x:c r="V79" s="37" t="n">
        <x:v>0</x:v>
      </x:c>
      <x:c r="W79" s="37" t="n">
        <x:v>0</x:v>
      </x:c>
      <x:c r="X79" s="37" t="n">
        <x:v>0</x:v>
      </x:c>
      <x:c r="Y79" s="37" t="n">
        <x:v>0</x:v>
      </x:c>
      <x:c r="Z79" s="37" t="n">
        <x:f>IF(OR(U79="",U79=0),"",R79^2/U79^2*100)</x:f>
        <x:v>2.123422676568453</x:v>
      </x:c>
      <x:c r="AA79" s="37" t="n">
        <x:f>IF(OR(U79="",U79=0),"",S79^2/U79^2*100)</x:f>
        <x:v>62.376139210282986</x:v>
      </x:c>
      <x:c r="AB79" s="37" t="n">
        <x:f>IF(OR(U79="",U79=0),"",T79^2/U79^2*100)</x:f>
        <x:v>35.45689834152233</x:v>
      </x:c>
      <x:c r="AC79" s="26" t="str">
        <x:f>IF(U79="","",IF(R79=MAX(R79:T79),"X",IF(S79=MAX(R79:T79),"Y","Z")))</x:f>
        <x:v>Y</x:v>
      </x:c>
      <x:c r="AD79" s="36" t="n">
        <x:f>IF(OR(R79="",R79=0,S79=""),"",S79/R79)</x:f>
        <x:v>5.419896831245395</x:v>
      </x:c>
      <x:c r="AE79" s="36" t="n">
        <x:f>IF(OR(R79="",R79=0,T79=""),"",T79/R79)</x:f>
        <x:v>4.086317858020142</x:v>
      </x:c>
      <x:c r="AF79" s="36" t="n">
        <x:f>IF(OR(R79="",F79=0),"",R79/F79)</x:f>
        <x:v>0.014539285714285715</x:v>
      </x:c>
      <x:c r="AG79" s="36" t="n">
        <x:f>IF(OR(S79="",F79=0),"",S79/F79)</x:f>
        <x:v>0.07880142857142858</x:v>
      </x:c>
      <x:c r="AH79" s="36" t="n">
        <x:f>IF(OR(T79="",F79=0),"",T79/F79)</x:f>
        <x:v>0.05941214285714286</x:v>
      </x:c>
      <x:c r="AI79" s="36" t="n">
        <x:f>IF(OR(U79="",F79=0),"",U79/F79)</x:f>
        <x:v>0.09977571428571429</x:v>
      </x:c>
      <x:c r="AJ79" s="26" t="str">
        <x:f>IF(G79=0,"NO VALID SUMMARY",IF(J79&lt;=Settings_Glossary!$B$4,"Excellent",IF(J79&lt;=Settings_Glossary!$B$5,"Acceptable","Review")))</x:f>
        <x:v>Excellent</x:v>
      </x:c>
      <x:c r="AK79" s="26" t="str">
        <x:f>IF(G79=0,"No valid repeats",IF(G79&lt;2,"Single repeat / repeat needed",IF(Y79&lt;=Settings_Glossary!$B$6,"Good","Review")))</x:f>
        <x:v>Single repeat / repeat needed</x:v>
      </x:c>
      <x:c r="AL79" s="26" t="str">
        <x:v>Replicate likely back-of-hand installation orientation while gripping tool</x:v>
      </x:c>
      <x:c r="AM79" s="26" t="str">
        <x:v>1 repeat per DAC, 268 Hz, DAC 10–30</x:v>
      </x:c>
    </x:row>
    <x:row r="80">
      <x:c r="A80" s="26" t="str">
        <x:v>INC-01</x:v>
      </x:c>
      <x:c r="B80" s="26" t="str">
        <x:v>Inclined / wearable-like</x:v>
      </x:c>
      <x:c r="C80" s="26" t="str">
        <x:v>As tested</x:v>
      </x:c>
      <x:c r="D80" s="26" t="str">
        <x:v>Pasted text(20260812-103956).txt</x:v>
      </x:c>
      <x:c r="E80" s="36" t="n">
        <x:v>268</x:v>
      </x:c>
      <x:c r="F80" s="37" t="n">
        <x:v>15</x:v>
      </x:c>
      <x:c r="G80" s="38" t="n">
        <x:v>1</x:v>
      </x:c>
      <x:c r="H80" s="36" t="n">
        <x:v>268.03711</x:v>
      </x:c>
      <x:c r="I80" s="36" t="n">
        <x:f>IF(H80="","",H80-E80)</x:f>
        <x:v>0.03710999999998421</x:v>
      </x:c>
      <x:c r="J80" s="36" t="n">
        <x:f>IF(I80="","",ABS(I80))</x:f>
        <x:v>0.03710999999998421</x:v>
      </x:c>
      <x:c r="K80" s="39" t="n">
        <x:f>IF(I80="","",ABS(I80/E80)*100)</x:f>
        <x:v>0.013847014925367242</x:v>
      </x:c>
      <x:c r="L80" s="36" t="n">
        <x:v>268.06409</x:v>
      </x:c>
      <x:c r="M80" s="36" t="n">
        <x:f>IF(L80="","",L80-E80)</x:f>
        <x:v>0.06409000000002152</x:v>
      </x:c>
      <x:c r="N80" s="36" t="n">
        <x:v>268.03178</x:v>
      </x:c>
      <x:c r="O80" s="36" t="n">
        <x:f>IF(N80="","",N80-E80)</x:f>
        <x:v>0.03178000000002612</x:v>
      </x:c>
      <x:c r="P80" s="36" t="n">
        <x:v>268.04507</x:v>
      </x:c>
      <x:c r="Q80" s="36" t="n">
        <x:f>IF(P80="","",P80-E80)</x:f>
        <x:v>0.04507000000000971</x:v>
      </x:c>
      <x:c r="R80" s="36" t="n">
        <x:v>0.21213</x:v>
      </x:c>
      <x:c r="S80" s="36" t="n">
        <x:v>1.25491</x:v>
      </x:c>
      <x:c r="T80" s="36" t="n">
        <x:v>0.95502</x:v>
      </x:c>
      <x:c r="U80" s="36" t="n">
        <x:v>1.59155</x:v>
      </x:c>
      <x:c r="V80" s="37" t="n">
        <x:v>0</x:v>
      </x:c>
      <x:c r="W80" s="37" t="n">
        <x:v>0</x:v>
      </x:c>
      <x:c r="X80" s="37" t="n">
        <x:v>0</x:v>
      </x:c>
      <x:c r="Y80" s="37" t="n">
        <x:v>0</x:v>
      </x:c>
      <x:c r="Z80" s="37" t="n">
        <x:f>IF(OR(U80="",U80=0),"",R80^2/U80^2*100)</x:f>
        <x:v>1.7764934479528232</x:v>
      </x:c>
      <x:c r="AA80" s="37" t="n">
        <x:f>IF(OR(U80="",U80=0),"",S80^2/U80^2*100)</x:f>
        <x:v>62.17053237262422</x:v>
      </x:c>
      <x:c r="AB80" s="37" t="n">
        <x:f>IF(OR(U80="",U80=0),"",T80^2/U80^2*100)</x:f>
        <x:v>36.00678615748033</x:v>
      </x:c>
      <x:c r="AC80" s="26" t="str">
        <x:f>IF(U80="","",IF(R80=MAX(R80:T80),"X",IF(S80=MAX(R80:T80),"Y","Z")))</x:f>
        <x:v>Y</x:v>
      </x:c>
      <x:c r="AD80" s="36" t="n">
        <x:f>IF(OR(R80="",R80=0,S80=""),"",S80/R80)</x:f>
        <x:v>5.915759204261537</x:v>
      </x:c>
      <x:c r="AE80" s="36" t="n">
        <x:f>IF(OR(R80="",R80=0,T80=""),"",T80/R80)</x:f>
        <x:v>4.5020506293310705</x:v>
      </x:c>
      <x:c r="AF80" s="36" t="n">
        <x:f>IF(OR(R80="",F80=0),"",R80/F80)</x:f>
        <x:v>0.014142</x:v>
      </x:c>
      <x:c r="AG80" s="36" t="n">
        <x:f>IF(OR(S80="",F80=0),"",S80/F80)</x:f>
        <x:v>0.08366066666666666</x:v>
      </x:c>
      <x:c r="AH80" s="36" t="n">
        <x:f>IF(OR(T80="",F80=0),"",T80/F80)</x:f>
        <x:v>0.063668</x:v>
      </x:c>
      <x:c r="AI80" s="36" t="n">
        <x:f>IF(OR(U80="",F80=0),"",U80/F80)</x:f>
        <x:v>0.10610333333333334</x:v>
      </x:c>
      <x:c r="AJ80" s="26" t="str">
        <x:f>IF(G80=0,"NO VALID SUMMARY",IF(J80&lt;=Settings_Glossary!$B$4,"Excellent",IF(J80&lt;=Settings_Glossary!$B$5,"Acceptable","Review")))</x:f>
        <x:v>Excellent</x:v>
      </x:c>
      <x:c r="AK80" s="26" t="str">
        <x:f>IF(G80=0,"No valid repeats",IF(G80&lt;2,"Single repeat / repeat needed",IF(Y80&lt;=Settings_Glossary!$B$6,"Good","Review")))</x:f>
        <x:v>Single repeat / repeat needed</x:v>
      </x:c>
      <x:c r="AL80" s="26" t="str">
        <x:v>Replicate likely back-of-hand installation orientation while gripping tool</x:v>
      </x:c>
      <x:c r="AM80" s="26" t="str">
        <x:v>1 repeat per DAC, 268 Hz, DAC 10–30</x:v>
      </x:c>
    </x:row>
    <x:row r="81">
      <x:c r="A81" s="26" t="str">
        <x:v>INC-01</x:v>
      </x:c>
      <x:c r="B81" s="26" t="str">
        <x:v>Inclined / wearable-like</x:v>
      </x:c>
      <x:c r="C81" s="26" t="str">
        <x:v>As tested</x:v>
      </x:c>
      <x:c r="D81" s="26" t="str">
        <x:v>Pasted text(20260812-103956).txt</x:v>
      </x:c>
      <x:c r="E81" s="36" t="n">
        <x:v>268</x:v>
      </x:c>
      <x:c r="F81" s="37" t="n">
        <x:v>16</x:v>
      </x:c>
      <x:c r="G81" s="38" t="n">
        <x:v>1</x:v>
      </x:c>
      <x:c r="H81" s="36" t="n">
        <x:v>268.02092</x:v>
      </x:c>
      <x:c r="I81" s="36" t="n">
        <x:f>IF(H81="","",H81-E81)</x:f>
        <x:v>0.020919999999989614</x:v>
      </x:c>
      <x:c r="J81" s="36" t="n">
        <x:f>IF(I81="","",ABS(I81))</x:f>
        <x:v>0.020919999999989614</x:v>
      </x:c>
      <x:c r="K81" s="39" t="n">
        <x:f>IF(I81="","",ABS(I81/E81)*100)</x:f>
        <x:v>0.007805970149249856</x:v>
      </x:c>
      <x:c r="L81" s="36" t="n">
        <x:v>267.98679</x:v>
      </x:c>
      <x:c r="M81" s="36" t="n">
        <x:f>IF(L81="","",L81-E81)</x:f>
        <x:v>-0.013210000000015043</x:v>
      </x:c>
      <x:c r="N81" s="36" t="n">
        <x:v>268.02134</x:v>
      </x:c>
      <x:c r="O81" s="36" t="n">
        <x:f>IF(N81="","",N81-E81)</x:f>
        <x:v>0.02134000000000924</x:v>
      </x:c>
      <x:c r="P81" s="36" t="n">
        <x:v>268.02194</x:v>
      </x:c>
      <x:c r="Q81" s="36" t="n">
        <x:f>IF(P81="","",P81-E81)</x:f>
        <x:v>0.021939999999972315</x:v>
      </x:c>
      <x:c r="R81" s="36" t="n">
        <x:v>0.24481</x:v>
      </x:c>
      <x:c r="S81" s="36" t="n">
        <x:v>1.37327</x:v>
      </x:c>
      <x:c r="T81" s="36" t="n">
        <x:v>1.05855</x:v>
      </x:c>
      <x:c r="U81" s="36" t="n">
        <x:v>1.75118</x:v>
      </x:c>
      <x:c r="V81" s="37" t="n">
        <x:v>0</x:v>
      </x:c>
      <x:c r="W81" s="37" t="n">
        <x:v>0</x:v>
      </x:c>
      <x:c r="X81" s="37" t="n">
        <x:v>0</x:v>
      </x:c>
      <x:c r="Y81" s="37" t="n">
        <x:v>0</x:v>
      </x:c>
      <x:c r="Z81" s="37" t="n">
        <x:f>IF(OR(U81="",U81=0),"",R81^2/U81^2*100)</x:f>
        <x:v>1.954324743708314</x:v>
      </x:c>
      <x:c r="AA81" s="37" t="n">
        <x:f>IF(OR(U81="",U81=0),"",S81^2/U81^2*100)</x:f>
        <x:v>61.49648430436514</x:v>
      </x:c>
      <x:c r="AB81" s="37" t="n">
        <x:f>IF(OR(U81="",U81=0),"",T81^2/U81^2*100)</x:f>
        <x:v>36.53938015755637</x:v>
      </x:c>
      <x:c r="AC81" s="26" t="str">
        <x:f>IF(U81="","",IF(R81=MAX(R81:T81),"X",IF(S81=MAX(R81:T81),"Y","Z")))</x:f>
        <x:v>Y</x:v>
      </x:c>
      <x:c r="AD81" s="36" t="n">
        <x:f>IF(OR(R81="",R81=0,S81=""),"",S81/R81)</x:f>
        <x:v>5.609533924267799</x:v>
      </x:c>
      <x:c r="AE81" s="36" t="n">
        <x:f>IF(OR(R81="",R81=0,T81=""),"",T81/R81)</x:f>
        <x:v>4.323965524284139</x:v>
      </x:c>
      <x:c r="AF81" s="36" t="n">
        <x:f>IF(OR(R81="",F81=0),"",R81/F81)</x:f>
        <x:v>0.015300625</x:v>
      </x:c>
      <x:c r="AG81" s="36" t="n">
        <x:f>IF(OR(S81="",F81=0),"",S81/F81)</x:f>
        <x:v>0.085829375</x:v>
      </x:c>
      <x:c r="AH81" s="36" t="n">
        <x:f>IF(OR(T81="",F81=0),"",T81/F81)</x:f>
        <x:v>0.066159375</x:v>
      </x:c>
      <x:c r="AI81" s="36" t="n">
        <x:f>IF(OR(U81="",F81=0),"",U81/F81)</x:f>
        <x:v>0.10944875</x:v>
      </x:c>
      <x:c r="AJ81" s="26" t="str">
        <x:f>IF(G81=0,"NO VALID SUMMARY",IF(J81&lt;=Settings_Glossary!$B$4,"Excellent",IF(J81&lt;=Settings_Glossary!$B$5,"Acceptable","Review")))</x:f>
        <x:v>Excellent</x:v>
      </x:c>
      <x:c r="AK81" s="26" t="str">
        <x:f>IF(G81=0,"No valid repeats",IF(G81&lt;2,"Single repeat / repeat needed",IF(Y81&lt;=Settings_Glossary!$B$6,"Good","Review")))</x:f>
        <x:v>Single repeat / repeat needed</x:v>
      </x:c>
      <x:c r="AL81" s="26" t="str">
        <x:v>Replicate likely back-of-hand installation orientation while gripping tool</x:v>
      </x:c>
      <x:c r="AM81" s="26" t="str">
        <x:v>1 repeat per DAC, 268 Hz, DAC 10–30</x:v>
      </x:c>
    </x:row>
    <x:row r="82">
      <x:c r="A82" s="26" t="str">
        <x:v>INC-01</x:v>
      </x:c>
      <x:c r="B82" s="26" t="str">
        <x:v>Inclined / wearable-like</x:v>
      </x:c>
      <x:c r="C82" s="26" t="str">
        <x:v>As tested</x:v>
      </x:c>
      <x:c r="D82" s="26" t="str">
        <x:v>Pasted text(20260812-103956).txt</x:v>
      </x:c>
      <x:c r="E82" s="36" t="n">
        <x:v>268</x:v>
      </x:c>
      <x:c r="F82" s="37" t="n">
        <x:v>17</x:v>
      </x:c>
      <x:c r="G82" s="38" t="n">
        <x:v>1</x:v>
      </x:c>
      <x:c r="H82" s="36" t="n">
        <x:v>268.02851</x:v>
      </x:c>
      <x:c r="I82" s="36" t="n">
        <x:f>IF(H82="","",H82-E82)</x:f>
        <x:v>0.028509999999982938</x:v>
      </x:c>
      <x:c r="J82" s="36" t="n">
        <x:f>IF(I82="","",ABS(I82))</x:f>
        <x:v>0.028509999999982938</x:v>
      </x:c>
      <x:c r="K82" s="39" t="n">
        <x:f>IF(I82="","",ABS(I82/E82)*100)</x:f>
        <x:v>0.010638059701486171</x:v>
      </x:c>
      <x:c r="L82" s="36" t="n">
        <x:v>268.02015</x:v>
      </x:c>
      <x:c r="M82" s="36" t="n">
        <x:f>IF(L82="","",L82-E82)</x:f>
        <x:v>0.020150000000001</x:v>
      </x:c>
      <x:c r="N82" s="36" t="n">
        <x:v>268.03309</x:v>
      </x:c>
      <x:c r="O82" s="36" t="n">
        <x:f>IF(N82="","",N82-E82)</x:f>
        <x:v>0.03309000000001561</x:v>
      </x:c>
      <x:c r="P82" s="36" t="n">
        <x:v>268.02065</x:v>
      </x:c>
      <x:c r="Q82" s="36" t="n">
        <x:f>IF(P82="","",P82-E82)</x:f>
        <x:v>0.020649999999989177</x:v>
      </x:c>
      <x:c r="R82" s="36" t="n">
        <x:v>0.22369</x:v>
      </x:c>
      <x:c r="S82" s="36" t="n">
        <x:v>1.67639</x:v>
      </x:c>
      <x:c r="T82" s="36" t="n">
        <x:v>1.2371</x:v>
      </x:c>
      <x:c r="U82" s="36" t="n">
        <x:v>2.09557</x:v>
      </x:c>
      <x:c r="V82" s="37" t="n">
        <x:v>0</x:v>
      </x:c>
      <x:c r="W82" s="37" t="n">
        <x:v>0</x:v>
      </x:c>
      <x:c r="X82" s="37" t="n">
        <x:v>0</x:v>
      </x:c>
      <x:c r="Y82" s="37" t="n">
        <x:v>0</x:v>
      </x:c>
      <x:c r="Z82" s="37" t="n">
        <x:f>IF(OR(U82="",U82=0),"",R82^2/U82^2*100)</x:f>
        <x:v>1.1394330020811794</x:v>
      </x:c>
      <x:c r="AA82" s="37" t="n">
        <x:f>IF(OR(U82="",U82=0),"",S82^2/U82^2*100)</x:f>
        <x:v>63.99496089744896</x:v>
      </x:c>
      <x:c r="AB82" s="37" t="n">
        <x:f>IF(OR(U82="",U82=0),"",T82^2/U82^2*100)</x:f>
        <x:v>34.850199519405336</x:v>
      </x:c>
      <x:c r="AC82" s="26" t="str">
        <x:f>IF(U82="","",IF(R82=MAX(R82:T82),"X",IF(S82=MAX(R82:T82),"Y","Z")))</x:f>
        <x:v>Y</x:v>
      </x:c>
      <x:c r="AD82" s="36" t="n">
        <x:f>IF(OR(R82="",R82=0,S82=""),"",S82/R82)</x:f>
        <x:v>7.494255442800304</x:v>
      </x:c>
      <x:c r="AE82" s="36" t="n">
        <x:f>IF(OR(R82="",R82=0,T82=""),"",T82/R82)</x:f>
        <x:v>5.53042156555948</x:v>
      </x:c>
      <x:c r="AF82" s="36" t="n">
        <x:f>IF(OR(R82="",F82=0),"",R82/F82)</x:f>
        <x:v>0.013158235294117648</x:v>
      </x:c>
      <x:c r="AG82" s="36" t="n">
        <x:f>IF(OR(S82="",F82=0),"",S82/F82)</x:f>
        <x:v>0.09861117647058824</x:v>
      </x:c>
      <x:c r="AH82" s="36" t="n">
        <x:f>IF(OR(T82="",F82=0),"",T82/F82)</x:f>
        <x:v>0.07277058823529413</x:v>
      </x:c>
      <x:c r="AI82" s="36" t="n">
        <x:f>IF(OR(U82="",F82=0),"",U82/F82)</x:f>
        <x:v>0.12326882352941176</x:v>
      </x:c>
      <x:c r="AJ82" s="26" t="str">
        <x:f>IF(G82=0,"NO VALID SUMMARY",IF(J82&lt;=Settings_Glossary!$B$4,"Excellent",IF(J82&lt;=Settings_Glossary!$B$5,"Acceptable","Review")))</x:f>
        <x:v>Excellent</x:v>
      </x:c>
      <x:c r="AK82" s="26" t="str">
        <x:f>IF(G82=0,"No valid repeats",IF(G82&lt;2,"Single repeat / repeat needed",IF(Y82&lt;=Settings_Glossary!$B$6,"Good","Review")))</x:f>
        <x:v>Single repeat / repeat needed</x:v>
      </x:c>
      <x:c r="AL82" s="26" t="str">
        <x:v>Replicate likely back-of-hand installation orientation while gripping tool</x:v>
      </x:c>
      <x:c r="AM82" s="26" t="str">
        <x:v>1 repeat per DAC, 268 Hz, DAC 10–30</x:v>
      </x:c>
    </x:row>
    <x:row r="83">
      <x:c r="A83" s="26" t="str">
        <x:v>INC-01</x:v>
      </x:c>
      <x:c r="B83" s="26" t="str">
        <x:v>Inclined / wearable-like</x:v>
      </x:c>
      <x:c r="C83" s="26" t="str">
        <x:v>As tested</x:v>
      </x:c>
      <x:c r="D83" s="26" t="str">
        <x:v>Pasted text(20260812-103956).txt</x:v>
      </x:c>
      <x:c r="E83" s="36" t="n">
        <x:v>268</x:v>
      </x:c>
      <x:c r="F83" s="37" t="n">
        <x:v>18</x:v>
      </x:c>
      <x:c r="G83" s="38" t="n">
        <x:v>1</x:v>
      </x:c>
      <x:c r="H83" s="36" t="n">
        <x:v>268.02892</x:v>
      </x:c>
      <x:c r="I83" s="36" t="n">
        <x:f>IF(H83="","",H83-E83)</x:f>
        <x:v>0.028920000000027812</x:v>
      </x:c>
      <x:c r="J83" s="36" t="n">
        <x:f>IF(I83="","",ABS(I83))</x:f>
        <x:v>0.028920000000027812</x:v>
      </x:c>
      <x:c r="K83" s="39" t="n">
        <x:f>IF(I83="","",ABS(I83/E83)*100)</x:f>
        <x:v>0.010791044776129782</x:v>
      </x:c>
      <x:c r="L83" s="36" t="n">
        <x:v>267.92005</x:v>
      </x:c>
      <x:c r="M83" s="36" t="n">
        <x:f>IF(L83="","",L83-E83)</x:f>
        <x:v>-0.07994999999999663</x:v>
      </x:c>
      <x:c r="N83" s="36" t="n">
        <x:v>268.0364</x:v>
      </x:c>
      <x:c r="O83" s="36" t="n">
        <x:f>IF(N83="","",N83-E83)</x:f>
        <x:v>0.03640000000001464</x:v>
      </x:c>
      <x:c r="P83" s="36" t="n">
        <x:v>268.01826</x:v>
      </x:c>
      <x:c r="Q83" s="36" t="n">
        <x:f>IF(P83="","",P83-E83)</x:f>
        <x:v>0.018259999999997945</x:v>
      </x:c>
      <x:c r="R83" s="36" t="n">
        <x:v>0.23297</x:v>
      </x:c>
      <x:c r="S83" s="36" t="n">
        <x:v>1.93869</x:v>
      </x:c>
      <x:c r="T83" s="36" t="n">
        <x:v>1.45442</x:v>
      </x:c>
      <x:c r="U83" s="36" t="n">
        <x:v>2.43526</x:v>
      </x:c>
      <x:c r="V83" s="37" t="n">
        <x:v>0</x:v>
      </x:c>
      <x:c r="W83" s="37" t="n">
        <x:v>0</x:v>
      </x:c>
      <x:c r="X83" s="37" t="n">
        <x:v>0</x:v>
      </x:c>
      <x:c r="Y83" s="37" t="n">
        <x:v>0</x:v>
      </x:c>
      <x:c r="Z83" s="37" t="n">
        <x:f>IF(OR(U83="",U83=0),"",R83^2/U83^2*100)</x:f>
        <x:v>0.9151859171687892</x:v>
      </x:c>
      <x:c r="AA83" s="37" t="n">
        <x:f>IF(OR(U83="",U83=0),"",S83^2/U83^2*100)</x:f>
        <x:v>63.37618160967343</x:v>
      </x:c>
      <x:c r="AB83" s="37" t="n">
        <x:f>IF(OR(U83="",U83=0),"",T83^2/U83^2*100)</x:f>
        <x:v>35.66884160097672</x:v>
      </x:c>
      <x:c r="AC83" s="26" t="str">
        <x:f>IF(U83="","",IF(R83=MAX(R83:T83),"X",IF(S83=MAX(R83:T83),"Y","Z")))</x:f>
        <x:v>Y</x:v>
      </x:c>
      <x:c r="AD83" s="36" t="n">
        <x:f>IF(OR(R83="",R83=0,S83=""),"",S83/R83)</x:f>
        <x:v>8.321629394342619</x:v>
      </x:c>
      <x:c r="AE83" s="36" t="n">
        <x:f>IF(OR(R83="",R83=0,T83=""),"",T83/R83)</x:f>
        <x:v>6.242949736017513</x:v>
      </x:c>
      <x:c r="AF83" s="36" t="n">
        <x:f>IF(OR(R83="",F83=0),"",R83/F83)</x:f>
        <x:v>0.012942777777777779</x:v>
      </x:c>
      <x:c r="AG83" s="36" t="n">
        <x:f>IF(OR(S83="",F83=0),"",S83/F83)</x:f>
        <x:v>0.107705</x:v>
      </x:c>
      <x:c r="AH83" s="36" t="n">
        <x:f>IF(OR(T83="",F83=0),"",T83/F83)</x:f>
        <x:v>0.08080111111111112</x:v>
      </x:c>
      <x:c r="AI83" s="36" t="n">
        <x:f>IF(OR(U83="",F83=0),"",U83/F83)</x:f>
        <x:v>0.13529222222222223</x:v>
      </x:c>
      <x:c r="AJ83" s="26" t="str">
        <x:f>IF(G83=0,"NO VALID SUMMARY",IF(J83&lt;=Settings_Glossary!$B$4,"Excellent",IF(J83&lt;=Settings_Glossary!$B$5,"Acceptable","Review")))</x:f>
        <x:v>Excellent</x:v>
      </x:c>
      <x:c r="AK83" s="26" t="str">
        <x:f>IF(G83=0,"No valid repeats",IF(G83&lt;2,"Single repeat / repeat needed",IF(Y83&lt;=Settings_Glossary!$B$6,"Good","Review")))</x:f>
        <x:v>Single repeat / repeat needed</x:v>
      </x:c>
      <x:c r="AL83" s="26" t="str">
        <x:v>Replicate likely back-of-hand installation orientation while gripping tool</x:v>
      </x:c>
      <x:c r="AM83" s="26" t="str">
        <x:v>1 repeat per DAC, 268 Hz, DAC 10–30</x:v>
      </x:c>
    </x:row>
    <x:row r="84">
      <x:c r="A84" s="26" t="str">
        <x:v>INC-01</x:v>
      </x:c>
      <x:c r="B84" s="26" t="str">
        <x:v>Inclined / wearable-like</x:v>
      </x:c>
      <x:c r="C84" s="26" t="str">
        <x:v>As tested</x:v>
      </x:c>
      <x:c r="D84" s="26" t="str">
        <x:v>Pasted text(20260812-103956).txt</x:v>
      </x:c>
      <x:c r="E84" s="36" t="n">
        <x:v>268</x:v>
      </x:c>
      <x:c r="F84" s="37" t="n">
        <x:v>19</x:v>
      </x:c>
      <x:c r="G84" s="38" t="n">
        <x:v>1</x:v>
      </x:c>
      <x:c r="H84" s="36" t="n">
        <x:v>268.03233</x:v>
      </x:c>
      <x:c r="I84" s="36" t="n">
        <x:f>IF(H84="","",H84-E84)</x:f>
        <x:v>0.032330000000001746</x:v>
      </x:c>
      <x:c r="J84" s="36" t="n">
        <x:f>IF(I84="","",ABS(I84))</x:f>
        <x:v>0.032330000000001746</x:v>
      </x:c>
      <x:c r="K84" s="39" t="n">
        <x:f>IF(I84="","",ABS(I84/E84)*100)</x:f>
        <x:v>0.012063432835821546</x:v>
      </x:c>
      <x:c r="L84" s="36" t="n">
        <x:v>267.96604</x:v>
      </x:c>
      <x:c r="M84" s="36" t="n">
        <x:f>IF(L84="","",L84-E84)</x:f>
        <x:v>-0.03395999999997912</x:v>
      </x:c>
      <x:c r="N84" s="36" t="n">
        <x:v>268.02631</x:v>
      </x:c>
      <x:c r="O84" s="36" t="n">
        <x:f>IF(N84="","",N84-E84)</x:f>
        <x:v>0.026310000000023592</x:v>
      </x:c>
      <x:c r="P84" s="36" t="n">
        <x:v>268.0446</x:v>
      </x:c>
      <x:c r="Q84" s="36" t="n">
        <x:f>IF(P84="","",P84-E84)</x:f>
        <x:v>0.04460000000000264</x:v>
      </x:c>
      <x:c r="R84" s="36" t="n">
        <x:v>0.24827</x:v>
      </x:c>
      <x:c r="S84" s="36" t="n">
        <x:v>2.09433</x:v>
      </x:c>
      <x:c r="T84" s="36" t="n">
        <x:v>1.57841</x:v>
      </x:c>
      <x:c r="U84" s="36" t="n">
        <x:v>2.63455</x:v>
      </x:c>
      <x:c r="V84" s="37" t="n">
        <x:v>0</x:v>
      </x:c>
      <x:c r="W84" s="37" t="n">
        <x:v>0</x:v>
      </x:c>
      <x:c r="X84" s="37" t="n">
        <x:v>0</x:v>
      </x:c>
      <x:c r="Y84" s="37" t="n">
        <x:v>0</x:v>
      </x:c>
      <x:c r="Z84" s="37" t="n">
        <x:f>IF(OR(U84="",U84=0),"",R84^2/U84^2*100)</x:f>
        <x:v>0.8880462770422438</x:v>
      </x:c>
      <x:c r="AA84" s="37" t="n">
        <x:f>IF(OR(U84="",U84=0),"",S84^2/U84^2*100)</x:f>
        <x:v>63.194216978239204</x:v>
      </x:c>
      <x:c r="AB84" s="37" t="n">
        <x:f>IF(OR(U84="",U84=0),"",T84^2/U84^2*100)</x:f>
        <x:v>35.89440485113006</x:v>
      </x:c>
      <x:c r="AC84" s="26" t="str">
        <x:f>IF(U84="","",IF(R84=MAX(R84:T84),"X",IF(S84=MAX(R84:T84),"Y","Z")))</x:f>
        <x:v>Y</x:v>
      </x:c>
      <x:c r="AD84" s="36" t="n">
        <x:f>IF(OR(R84="",R84=0,S84=""),"",S84/R84)</x:f>
        <x:v>8.435695009465501</x:v>
      </x:c>
      <x:c r="AE84" s="36" t="n">
        <x:f>IF(OR(R84="",R84=0,T84=""),"",T84/R84)</x:f>
        <x:v>6.35763483304467</x:v>
      </x:c>
      <x:c r="AF84" s="36" t="n">
        <x:f>IF(OR(R84="",F84=0),"",R84/F84)</x:f>
        <x:v>0.013066842105263158</x:v>
      </x:c>
      <x:c r="AG84" s="36" t="n">
        <x:f>IF(OR(S84="",F84=0),"",S84/F84)</x:f>
        <x:v>0.1102278947368421</x:v>
      </x:c>
      <x:c r="AH84" s="36" t="n">
        <x:f>IF(OR(T84="",F84=0),"",T84/F84)</x:f>
        <x:v>0.08307421052631579</x:v>
      </x:c>
      <x:c r="AI84" s="36" t="n">
        <x:f>IF(OR(U84="",F84=0),"",U84/F84)</x:f>
        <x:v>0.13866052631578948</x:v>
      </x:c>
      <x:c r="AJ84" s="26" t="str">
        <x:f>IF(G84=0,"NO VALID SUMMARY",IF(J84&lt;=Settings_Glossary!$B$4,"Excellent",IF(J84&lt;=Settings_Glossary!$B$5,"Acceptable","Review")))</x:f>
        <x:v>Excellent</x:v>
      </x:c>
      <x:c r="AK84" s="26" t="str">
        <x:f>IF(G84=0,"No valid repeats",IF(G84&lt;2,"Single repeat / repeat needed",IF(Y84&lt;=Settings_Glossary!$B$6,"Good","Review")))</x:f>
        <x:v>Single repeat / repeat needed</x:v>
      </x:c>
      <x:c r="AL84" s="26" t="str">
        <x:v>Replicate likely back-of-hand installation orientation while gripping tool</x:v>
      </x:c>
      <x:c r="AM84" s="26" t="str">
        <x:v>1 repeat per DAC, 268 Hz, DAC 10–30</x:v>
      </x:c>
    </x:row>
    <x:row r="85">
      <x:c r="A85" s="26" t="str">
        <x:v>INC-01</x:v>
      </x:c>
      <x:c r="B85" s="26" t="str">
        <x:v>Inclined / wearable-like</x:v>
      </x:c>
      <x:c r="C85" s="26" t="str">
        <x:v>As tested</x:v>
      </x:c>
      <x:c r="D85" s="26" t="str">
        <x:v>Pasted text(20260812-103956).txt</x:v>
      </x:c>
      <x:c r="E85" s="36" t="n">
        <x:v>268</x:v>
      </x:c>
      <x:c r="F85" s="37" t="n">
        <x:v>20</x:v>
      </x:c>
      <x:c r="G85" s="38" t="n">
        <x:v>1</x:v>
      </x:c>
      <x:c r="H85" s="36" t="n">
        <x:v>268.02902</x:v>
      </x:c>
      <x:c r="I85" s="36" t="n">
        <x:f>IF(H85="","",H85-E85)</x:f>
        <x:v>0.02902000000000271</x:v>
      </x:c>
      <x:c r="J85" s="36" t="n">
        <x:f>IF(I85="","",ABS(I85))</x:f>
        <x:v>0.02902000000000271</x:v>
      </x:c>
      <x:c r="K85" s="39" t="n">
        <x:f>IF(I85="","",ABS(I85/E85)*100)</x:f>
        <x:v>0.010828358208956234</x:v>
      </x:c>
      <x:c r="L85" s="36" t="n">
        <x:v>267.99767</x:v>
      </x:c>
      <x:c r="M85" s="36" t="n">
        <x:f>IF(L85="","",L85-E85)</x:f>
        <x:v>-0.0023299999999721877</x:v>
      </x:c>
      <x:c r="N85" s="36" t="n">
        <x:v>268.02483</x:v>
      </x:c>
      <x:c r="O85" s="36" t="n">
        <x:f>IF(N85="","",N85-E85)</x:f>
        <x:v>0.024830000000008567</x:v>
      </x:c>
      <x:c r="P85" s="36" t="n">
        <x:v>268.03716</x:v>
      </x:c>
      <x:c r="Q85" s="36" t="n">
        <x:f>IF(P85="","",P85-E85)</x:f>
        <x:v>0.03715999999997166</x:v>
      </x:c>
      <x:c r="R85" s="36" t="n">
        <x:v>0.268</x:v>
      </x:c>
      <x:c r="S85" s="36" t="n">
        <x:v>2.22958</x:v>
      </x:c>
      <x:c r="T85" s="36" t="n">
        <x:v>1.66745</x:v>
      </x:c>
      <x:c r="U85" s="36" t="n">
        <x:v>2.79743</x:v>
      </x:c>
      <x:c r="V85" s="37" t="n">
        <x:v>0</x:v>
      </x:c>
      <x:c r="W85" s="37" t="n">
        <x:v>0</x:v>
      </x:c>
      <x:c r="X85" s="37" t="n">
        <x:v>0</x:v>
      </x:c>
      <x:c r="Y85" s="37" t="n">
        <x:v>0</x:v>
      </x:c>
      <x:c r="Z85" s="37" t="n">
        <x:f>IF(OR(U85="",U85=0),"",R85^2/U85^2*100)</x:f>
        <x:v>0.9178065062778265</x:v>
      </x:c>
      <x:c r="AA85" s="37" t="n">
        <x:f>IF(OR(U85="",U85=0),"",S85^2/U85^2*100)</x:f>
        <x:v>63.52251199908818</x:v>
      </x:c>
      <x:c r="AB85" s="37" t="n">
        <x:f>IF(OR(U85="",U85=0),"",T85^2/U85^2*100)</x:f>
        <x:v>35.529343609114896</x:v>
      </x:c>
      <x:c r="AC85" s="26" t="str">
        <x:f>IF(U85="","",IF(R85=MAX(R85:T85),"X",IF(S85=MAX(R85:T85),"Y","Z")))</x:f>
        <x:v>Y</x:v>
      </x:c>
      <x:c r="AD85" s="36" t="n">
        <x:f>IF(OR(R85="",R85=0,S85=""),"",S85/R85)</x:f>
        <x:v>8.319328358208955</x:v>
      </x:c>
      <x:c r="AE85" s="36" t="n">
        <x:f>IF(OR(R85="",R85=0,T85=""),"",T85/R85)</x:f>
        <x:v>6.221828358208955</x:v>
      </x:c>
      <x:c r="AF85" s="36" t="n">
        <x:f>IF(OR(R85="",F85=0),"",R85/F85)</x:f>
        <x:v>0.0134</x:v>
      </x:c>
      <x:c r="AG85" s="36" t="n">
        <x:f>IF(OR(S85="",F85=0),"",S85/F85)</x:f>
        <x:v>0.111479</x:v>
      </x:c>
      <x:c r="AH85" s="36" t="n">
        <x:f>IF(OR(T85="",F85=0),"",T85/F85)</x:f>
        <x:v>0.0833725</x:v>
      </x:c>
      <x:c r="AI85" s="36" t="n">
        <x:f>IF(OR(U85="",F85=0),"",U85/F85)</x:f>
        <x:v>0.13987149999999998</x:v>
      </x:c>
      <x:c r="AJ85" s="26" t="str">
        <x:f>IF(G85=0,"NO VALID SUMMARY",IF(J85&lt;=Settings_Glossary!$B$4,"Excellent",IF(J85&lt;=Settings_Glossary!$B$5,"Acceptable","Review")))</x:f>
        <x:v>Excellent</x:v>
      </x:c>
      <x:c r="AK85" s="26" t="str">
        <x:f>IF(G85=0,"No valid repeats",IF(G85&lt;2,"Single repeat / repeat needed",IF(Y85&lt;=Settings_Glossary!$B$6,"Good","Review")))</x:f>
        <x:v>Single repeat / repeat needed</x:v>
      </x:c>
      <x:c r="AL85" s="26" t="str">
        <x:v>Replicate likely back-of-hand installation orientation while gripping tool</x:v>
      </x:c>
      <x:c r="AM85" s="26" t="str">
        <x:v>1 repeat per DAC, 268 Hz, DAC 10–30</x:v>
      </x:c>
    </x:row>
    <x:row r="86">
      <x:c r="A86" s="26" t="str">
        <x:v>INC-01</x:v>
      </x:c>
      <x:c r="B86" s="26" t="str">
        <x:v>Inclined / wearable-like</x:v>
      </x:c>
      <x:c r="C86" s="26" t="str">
        <x:v>As tested</x:v>
      </x:c>
      <x:c r="D86" s="26" t="str">
        <x:v>Pasted text(20260812-103956).txt</x:v>
      </x:c>
      <x:c r="E86" s="36" t="n">
        <x:v>268</x:v>
      </x:c>
      <x:c r="F86" s="37" t="n">
        <x:v>21</x:v>
      </x:c>
      <x:c r="G86" s="38" t="n">
        <x:v>1</x:v>
      </x:c>
      <x:c r="H86" s="36" t="n">
        <x:v>268.02313</x:v>
      </x:c>
      <x:c r="I86" s="36" t="n">
        <x:f>IF(H86="","",H86-E86)</x:f>
        <x:v>0.023129999999980555</x:v>
      </x:c>
      <x:c r="J86" s="36" t="n">
        <x:f>IF(I86="","",ABS(I86))</x:f>
        <x:v>0.023129999999980555</x:v>
      </x:c>
      <x:c r="K86" s="39" t="n">
        <x:f>IF(I86="","",ABS(I86/E86)*100)</x:f>
        <x:v>0.008630597014918117</x:v>
      </x:c>
      <x:c r="L86" s="36" t="n">
        <x:v>268.04301</x:v>
      </x:c>
      <x:c r="M86" s="36" t="n">
        <x:f>IF(L86="","",L86-E86)</x:f>
        <x:v>0.04300999999998112</x:v>
      </x:c>
      <x:c r="N86" s="36" t="n">
        <x:v>268.02118</x:v>
      </x:c>
      <x:c r="O86" s="36" t="n">
        <x:f>IF(N86="","",N86-E86)</x:f>
        <x:v>0.021180000000015298</x:v>
      </x:c>
      <x:c r="P86" s="36" t="n">
        <x:v>268.02613</x:v>
      </x:c>
      <x:c r="Q86" s="36" t="n">
        <x:f>IF(P86="","",P86-E86)</x:f>
        <x:v>0.0261300000000233</x:v>
      </x:c>
      <x:c r="R86" s="36" t="n">
        <x:v>0.35211</x:v>
      </x:c>
      <x:c r="S86" s="36" t="n">
        <x:v>2.32485</x:v>
      </x:c>
      <x:c r="T86" s="36" t="n">
        <x:v>1.74133</x:v>
      </x:c>
      <x:c r="U86" s="36" t="n">
        <x:v>2.92673</x:v>
      </x:c>
      <x:c r="V86" s="37" t="n">
        <x:v>0</x:v>
      </x:c>
      <x:c r="W86" s="37" t="n">
        <x:v>0</x:v>
      </x:c>
      <x:c r="X86" s="37" t="n">
        <x:v>0</x:v>
      </x:c>
      <x:c r="Y86" s="37" t="n">
        <x:v>0</x:v>
      </x:c>
      <x:c r="Z86" s="37" t="n">
        <x:f>IF(OR(U86="",U86=0),"",R86^2/U86^2*100)</x:f>
        <x:v>1.4474094377480968</x:v>
      </x:c>
      <x:c r="AA86" s="37" t="n">
        <x:f>IF(OR(U86="",U86=0),"",S86^2/U86^2*100)</x:f>
        <x:v>63.09930214481607</x:v>
      </x:c>
      <x:c r="AB86" s="37" t="n">
        <x:f>IF(OR(U86="",U86=0),"",T86^2/U86^2*100)</x:f>
        <x:v>35.39947701492009</x:v>
      </x:c>
      <x:c r="AC86" s="26" t="str">
        <x:f>IF(U86="","",IF(R86=MAX(R86:T86),"X",IF(S86=MAX(R86:T86),"Y","Z")))</x:f>
        <x:v>Y</x:v>
      </x:c>
      <x:c r="AD86" s="36" t="n">
        <x:f>IF(OR(R86="",R86=0,S86=""),"",S86/R86)</x:f>
        <x:v>6.602624179943768</x:v>
      </x:c>
      <x:c r="AE86" s="36" t="n">
        <x:f>IF(OR(R86="",R86=0,T86=""),"",T86/R86)</x:f>
        <x:v>4.9454147851523675</x:v>
      </x:c>
      <x:c r="AF86" s="36" t="n">
        <x:f>IF(OR(R86="",F86=0),"",R86/F86)</x:f>
        <x:v>0.016767142857142855</x:v>
      </x:c>
      <x:c r="AG86" s="36" t="n">
        <x:f>IF(OR(S86="",F86=0),"",S86/F86)</x:f>
        <x:v>0.11070714285714287</x:v>
      </x:c>
      <x:c r="AH86" s="36" t="n">
        <x:f>IF(OR(T86="",F86=0),"",T86/F86)</x:f>
        <x:v>0.0829204761904762</x:v>
      </x:c>
      <x:c r="AI86" s="36" t="n">
        <x:f>IF(OR(U86="",F86=0),"",U86/F86)</x:f>
        <x:v>0.13936809523809524</x:v>
      </x:c>
      <x:c r="AJ86" s="26" t="str">
        <x:f>IF(G86=0,"NO VALID SUMMARY",IF(J86&lt;=Settings_Glossary!$B$4,"Excellent",IF(J86&lt;=Settings_Glossary!$B$5,"Acceptable","Review")))</x:f>
        <x:v>Excellent</x:v>
      </x:c>
      <x:c r="AK86" s="26" t="str">
        <x:f>IF(G86=0,"No valid repeats",IF(G86&lt;2,"Single repeat / repeat needed",IF(Y86&lt;=Settings_Glossary!$B$6,"Good","Review")))</x:f>
        <x:v>Single repeat / repeat needed</x:v>
      </x:c>
      <x:c r="AL86" s="26" t="str">
        <x:v>Replicate likely back-of-hand installation orientation while gripping tool</x:v>
      </x:c>
      <x:c r="AM86" s="26" t="str">
        <x:v>1 repeat per DAC, 268 Hz, DAC 10–30</x:v>
      </x:c>
    </x:row>
    <x:row r="87">
      <x:c r="A87" s="26" t="str">
        <x:v>INC-01</x:v>
      </x:c>
      <x:c r="B87" s="26" t="str">
        <x:v>Inclined / wearable-like</x:v>
      </x:c>
      <x:c r="C87" s="26" t="str">
        <x:v>As tested</x:v>
      </x:c>
      <x:c r="D87" s="26" t="str">
        <x:v>Pasted text(20260812-103956).txt</x:v>
      </x:c>
      <x:c r="E87" s="36" t="n">
        <x:v>268</x:v>
      </x:c>
      <x:c r="F87" s="37" t="n">
        <x:v>22</x:v>
      </x:c>
      <x:c r="G87" s="38" t="n">
        <x:v>1</x:v>
      </x:c>
      <x:c r="H87" s="36" t="n">
        <x:v>268.02889</x:v>
      </x:c>
      <x:c r="I87" s="36" t="n">
        <x:f>IF(H87="","",H87-E87)</x:f>
        <x:v>0.028889999999989868</x:v>
      </x:c>
      <x:c r="J87" s="36" t="n">
        <x:f>IF(I87="","",ABS(I87))</x:f>
        <x:v>0.028889999999989868</x:v>
      </x:c>
      <x:c r="K87" s="39" t="n">
        <x:f>IF(I87="","",ABS(I87/E87)*100)</x:f>
        <x:v>0.010779850746264877</x:v>
      </x:c>
      <x:c r="L87" s="36" t="n">
        <x:v>268.04097</x:v>
      </x:c>
      <x:c r="M87" s="36" t="n">
        <x:f>IF(L87="","",L87-E87)</x:f>
        <x:v>0.040970000000015716</x:v>
      </x:c>
      <x:c r="N87" s="36" t="n">
        <x:v>268.02842</x:v>
      </x:c>
      <x:c r="O87" s="36" t="n">
        <x:f>IF(N87="","",N87-E87)</x:f>
        <x:v>0.028419999999982792</x:v>
      </x:c>
      <x:c r="P87" s="36" t="n">
        <x:v>268.02904</x:v>
      </x:c>
      <x:c r="Q87" s="36" t="n">
        <x:f>IF(P87="","",P87-E87)</x:f>
        <x:v>0.02904000000000906</x:v>
      </x:c>
      <x:c r="R87" s="36" t="n">
        <x:v>0.42065</x:v>
      </x:c>
      <x:c r="S87" s="36" t="n">
        <x:v>2.39874</x:v>
      </x:c>
      <x:c r="T87" s="36" t="n">
        <x:v>1.77484</x:v>
      </x:c>
      <x:c r="U87" s="36" t="n">
        <x:v>3.01357</x:v>
      </x:c>
      <x:c r="V87" s="37" t="n">
        <x:v>0</x:v>
      </x:c>
      <x:c r="W87" s="37" t="n">
        <x:v>0</x:v>
      </x:c>
      <x:c r="X87" s="37" t="n">
        <x:v>0</x:v>
      </x:c>
      <x:c r="Y87" s="37" t="n">
        <x:v>0</x:v>
      </x:c>
      <x:c r="Z87" s="37" t="n">
        <x:f>IF(OR(U87="",U87=0),"",R87^2/U87^2*100)</x:f>
        <x:v>1.948404925790216</x:v>
      </x:c>
      <x:c r="AA87" s="37" t="n">
        <x:f>IF(OR(U87="",U87=0),"",S87^2/U87^2*100)</x:f>
        <x:v>63.35833951572615</x:v>
      </x:c>
      <x:c r="AB87" s="37" t="n">
        <x:f>IF(OR(U87="",U87=0),"",T87^2/U87^2*100)</x:f>
        <x:v>34.6861300640261</x:v>
      </x:c>
      <x:c r="AC87" s="26" t="str">
        <x:f>IF(U87="","",IF(R87=MAX(R87:T87),"X",IF(S87=MAX(R87:T87),"Y","Z")))</x:f>
        <x:v>Y</x:v>
      </x:c>
      <x:c r="AD87" s="36" t="n">
        <x:f>IF(OR(R87="",R87=0,S87=""),"",S87/R87)</x:f>
        <x:v>5.702460477831926</x:v>
      </x:c>
      <x:c r="AE87" s="36" t="n">
        <x:f>IF(OR(R87="",R87=0,T87=""),"",T87/R87)</x:f>
        <x:v>4.219279686199928</x:v>
      </x:c>
      <x:c r="AF87" s="36" t="n">
        <x:f>IF(OR(R87="",F87=0),"",R87/F87)</x:f>
        <x:v>0.019120454545454548</x:v>
      </x:c>
      <x:c r="AG87" s="36" t="n">
        <x:f>IF(OR(S87="",F87=0),"",S87/F87)</x:f>
        <x:v>0.10903363636363637</x:v>
      </x:c>
      <x:c r="AH87" s="36" t="n">
        <x:f>IF(OR(T87="",F87=0),"",T87/F87)</x:f>
        <x:v>0.08067454545454546</x:v>
      </x:c>
      <x:c r="AI87" s="36" t="n">
        <x:f>IF(OR(U87="",F87=0),"",U87/F87)</x:f>
        <x:v>0.13698045454545454</x:v>
      </x:c>
      <x:c r="AJ87" s="26" t="str">
        <x:f>IF(G87=0,"NO VALID SUMMARY",IF(J87&lt;=Settings_Glossary!$B$4,"Excellent",IF(J87&lt;=Settings_Glossary!$B$5,"Acceptable","Review")))</x:f>
        <x:v>Excellent</x:v>
      </x:c>
      <x:c r="AK87" s="26" t="str">
        <x:f>IF(G87=0,"No valid repeats",IF(G87&lt;2,"Single repeat / repeat needed",IF(Y87&lt;=Settings_Glossary!$B$6,"Good","Review")))</x:f>
        <x:v>Single repeat / repeat needed</x:v>
      </x:c>
      <x:c r="AL87" s="26" t="str">
        <x:v>Replicate likely back-of-hand installation orientation while gripping tool</x:v>
      </x:c>
      <x:c r="AM87" s="26" t="str">
        <x:v>1 repeat per DAC, 268 Hz, DAC 10–30</x:v>
      </x:c>
    </x:row>
    <x:row r="88">
      <x:c r="A88" s="26" t="str">
        <x:v>INC-01</x:v>
      </x:c>
      <x:c r="B88" s="26" t="str">
        <x:v>Inclined / wearable-like</x:v>
      </x:c>
      <x:c r="C88" s="26" t="str">
        <x:v>As tested</x:v>
      </x:c>
      <x:c r="D88" s="26" t="str">
        <x:v>Pasted text(20260812-103956).txt</x:v>
      </x:c>
      <x:c r="E88" s="36" t="n">
        <x:v>268</x:v>
      </x:c>
      <x:c r="F88" s="37" t="n">
        <x:v>23</x:v>
      </x:c>
      <x:c r="G88" s="38" t="n">
        <x:v>1</x:v>
      </x:c>
      <x:c r="H88" s="36" t="n">
        <x:v>268.03256</x:v>
      </x:c>
      <x:c r="I88" s="36" t="n">
        <x:f>IF(H88="","",H88-E88)</x:f>
        <x:v>0.032559999999989486</x:v>
      </x:c>
      <x:c r="J88" s="36" t="n">
        <x:f>IF(I88="","",ABS(I88))</x:f>
        <x:v>0.032559999999989486</x:v>
      </x:c>
      <x:c r="K88" s="39" t="n">
        <x:f>IF(I88="","",ABS(I88/E88)*100)</x:f>
        <x:v>0.01214925373133936</x:v>
      </x:c>
      <x:c r="L88" s="36" t="n">
        <x:v>268.03895</x:v>
      </x:c>
      <x:c r="M88" s="36" t="n">
        <x:f>IF(L88="","",L88-E88)</x:f>
        <x:v>0.03894999999999982</x:v>
      </x:c>
      <x:c r="N88" s="36" t="n">
        <x:v>268.03473</x:v>
      </x:c>
      <x:c r="O88" s="36" t="n">
        <x:f>IF(N88="","",N88-E88)</x:f>
        <x:v>0.034730000000024575</x:v>
      </x:c>
      <x:c r="P88" s="36" t="n">
        <x:v>268.02811</x:v>
      </x:c>
      <x:c r="Q88" s="36" t="n">
        <x:f>IF(P88="","",P88-E88)</x:f>
        <x:v>0.028110000000026503</x:v>
      </x:c>
      <x:c r="R88" s="36" t="n">
        <x:v>0.43219</x:v>
      </x:c>
      <x:c r="S88" s="36" t="n">
        <x:v>2.50002</x:v>
      </x:c>
      <x:c r="T88" s="36" t="n">
        <x:v>1.85654</x:v>
      </x:c>
      <x:c r="U88" s="36" t="n">
        <x:v>3.14401</x:v>
      </x:c>
      <x:c r="V88" s="37" t="n">
        <x:v>0</x:v>
      </x:c>
      <x:c r="W88" s="37" t="n">
        <x:v>0</x:v>
      </x:c>
      <x:c r="X88" s="37" t="n">
        <x:v>0</x:v>
      </x:c>
      <x:c r="Y88" s="37" t="n">
        <x:v>0</x:v>
      </x:c>
      <x:c r="Z88" s="37" t="n">
        <x:f>IF(OR(U88="",U88=0),"",R88^2/U88^2*100)</x:f>
        <x:v>1.8896509515842608</x:v>
      </x:c>
      <x:c r="AA88" s="37" t="n">
        <x:f>IF(OR(U88="",U88=0),"",S88^2/U88^2*100)</x:f>
        <x:v>63.229409886959374</x:v>
      </x:c>
      <x:c r="AB88" s="37" t="n">
        <x:f>IF(OR(U88="",U88=0),"",T88^2/U88^2*100)</x:f>
        <x:v>34.86910369556382</x:v>
      </x:c>
      <x:c r="AC88" s="26" t="str">
        <x:f>IF(U88="","",IF(R88=MAX(R88:T88),"X",IF(S88=MAX(R88:T88),"Y","Z")))</x:f>
        <x:v>Y</x:v>
      </x:c>
      <x:c r="AD88" s="36" t="n">
        <x:f>IF(OR(R88="",R88=0,S88=""),"",S88/R88)</x:f>
        <x:v>5.784539207293089</x:v>
      </x:c>
      <x:c r="AE88" s="36" t="n">
        <x:f>IF(OR(R88="",R88=0,T88=""),"",T88/R88)</x:f>
        <x:v>4.295657002707142</x:v>
      </x:c>
      <x:c r="AF88" s="36" t="n">
        <x:f>IF(OR(R88="",F88=0),"",R88/F88)</x:f>
        <x:v>0.018790869565217392</x:v>
      </x:c>
      <x:c r="AG88" s="36" t="n">
        <x:f>IF(OR(S88="",F88=0),"",S88/F88)</x:f>
        <x:v>0.10869652173913044</x:v>
      </x:c>
      <x:c r="AH88" s="36" t="n">
        <x:f>IF(OR(T88="",F88=0),"",T88/F88)</x:f>
        <x:v>0.08071913043478261</x:v>
      </x:c>
      <x:c r="AI88" s="36" t="n">
        <x:f>IF(OR(U88="",F88=0),"",U88/F88)</x:f>
        <x:v>0.13669608695652175</x:v>
      </x:c>
      <x:c r="AJ88" s="26" t="str">
        <x:f>IF(G88=0,"NO VALID SUMMARY",IF(J88&lt;=Settings_Glossary!$B$4,"Excellent",IF(J88&lt;=Settings_Glossary!$B$5,"Acceptable","Review")))</x:f>
        <x:v>Excellent</x:v>
      </x:c>
      <x:c r="AK88" s="26" t="str">
        <x:f>IF(G88=0,"No valid repeats",IF(G88&lt;2,"Single repeat / repeat needed",IF(Y88&lt;=Settings_Glossary!$B$6,"Good","Review")))</x:f>
        <x:v>Single repeat / repeat needed</x:v>
      </x:c>
      <x:c r="AL88" s="26" t="str">
        <x:v>Replicate likely back-of-hand installation orientation while gripping tool</x:v>
      </x:c>
      <x:c r="AM88" s="26" t="str">
        <x:v>1 repeat per DAC, 268 Hz, DAC 10–30</x:v>
      </x:c>
    </x:row>
    <x:row r="89">
      <x:c r="A89" s="26" t="str">
        <x:v>INC-01</x:v>
      </x:c>
      <x:c r="B89" s="26" t="str">
        <x:v>Inclined / wearable-like</x:v>
      </x:c>
      <x:c r="C89" s="26" t="str">
        <x:v>As tested</x:v>
      </x:c>
      <x:c r="D89" s="26" t="str">
        <x:v>Pasted text(20260812-103956).txt</x:v>
      </x:c>
      <x:c r="E89" s="36" t="n">
        <x:v>268</x:v>
      </x:c>
      <x:c r="F89" s="37" t="n">
        <x:v>24</x:v>
      </x:c>
      <x:c r="G89" s="38" t="n">
        <x:v>1</x:v>
      </x:c>
      <x:c r="H89" s="36" t="n">
        <x:v>268.01709</x:v>
      </x:c>
      <x:c r="I89" s="36" t="n">
        <x:f>IF(H89="","",H89-E89)</x:f>
        <x:v>0.017089999999996053</x:v>
      </x:c>
      <x:c r="J89" s="36" t="n">
        <x:f>IF(I89="","",ABS(I89))</x:f>
        <x:v>0.017089999999996053</x:v>
      </x:c>
      <x:c r="K89" s="39" t="n">
        <x:f>IF(I89="","",ABS(I89/E89)*100)</x:f>
        <x:v>0.006376865671640319</x:v>
      </x:c>
      <x:c r="L89" s="36" t="n">
        <x:v>267.96415</x:v>
      </x:c>
      <x:c r="M89" s="36" t="n">
        <x:f>IF(L89="","",L89-E89)</x:f>
        <x:v>-0.035849999999982174</x:v>
      </x:c>
      <x:c r="N89" s="36" t="n">
        <x:v>268.01623</x:v>
      </x:c>
      <x:c r="O89" s="36" t="n">
        <x:f>IF(N89="","",N89-E89)</x:f>
        <x:v>0.016230000000007294</x:v>
      </x:c>
      <x:c r="P89" s="36" t="n">
        <x:v>268.02062</x:v>
      </x:c>
      <x:c r="Q89" s="36" t="n">
        <x:f>IF(P89="","",P89-E89)</x:f>
        <x:v>0.020620000000008076</x:v>
      </x:c>
      <x:c r="R89" s="36" t="n">
        <x:v>0.28043</x:v>
      </x:c>
      <x:c r="S89" s="36" t="n">
        <x:v>2.89749</x:v>
      </x:c>
      <x:c r="T89" s="36" t="n">
        <x:v>2.27404</x:v>
      </x:c>
      <x:c r="U89" s="36" t="n">
        <x:v>3.69426</x:v>
      </x:c>
      <x:c r="V89" s="37" t="n">
        <x:v>0</x:v>
      </x:c>
      <x:c r="W89" s="37" t="n">
        <x:v>0</x:v>
      </x:c>
      <x:c r="X89" s="37" t="n">
        <x:v>0</x:v>
      </x:c>
      <x:c r="Y89" s="37" t="n">
        <x:v>0</x:v>
      </x:c>
      <x:c r="Z89" s="37" t="n">
        <x:f>IF(OR(U89="",U89=0),"",R89^2/U89^2*100)</x:f>
        <x:v>0.5762275636727017</x:v>
      </x:c>
      <x:c r="AA89" s="37" t="n">
        <x:f>IF(OR(U89="",U89=0),"",S89^2/U89^2*100)</x:f>
        <x:v>61.51612579697927</x:v>
      </x:c>
      <x:c r="AB89" s="37" t="n">
        <x:f>IF(OR(U89="",U89=0),"",T89^2/U89^2*100)</x:f>
        <x:v>37.89145516267214</x:v>
      </x:c>
      <x:c r="AC89" s="26" t="str">
        <x:f>IF(U89="","",IF(R89=MAX(R89:T89),"X",IF(S89=MAX(R89:T89),"Y","Z")))</x:f>
        <x:v>Y</x:v>
      </x:c>
      <x:c r="AD89" s="36" t="n">
        <x:f>IF(OR(R89="",R89=0,S89=""),"",S89/R89)</x:f>
        <x:v>10.332311093677566</x:v>
      </x:c>
      <x:c r="AE89" s="36" t="n">
        <x:f>IF(OR(R89="",R89=0,T89=""),"",T89/R89)</x:f>
        <x:v>8.109118139999286</x:v>
      </x:c>
      <x:c r="AF89" s="36" t="n">
        <x:f>IF(OR(R89="",F89=0),"",R89/F89)</x:f>
        <x:v>0.011684583333333333</x:v>
      </x:c>
      <x:c r="AG89" s="36" t="n">
        <x:f>IF(OR(S89="",F89=0),"",S89/F89)</x:f>
        <x:v>0.12072875</x:v>
      </x:c>
      <x:c r="AH89" s="36" t="n">
        <x:f>IF(OR(T89="",F89=0),"",T89/F89)</x:f>
        <x:v>0.09475166666666666</x:v>
      </x:c>
      <x:c r="AI89" s="36" t="n">
        <x:f>IF(OR(U89="",F89=0),"",U89/F89)</x:f>
        <x:v>0.1539275</x:v>
      </x:c>
      <x:c r="AJ89" s="26" t="str">
        <x:f>IF(G89=0,"NO VALID SUMMARY",IF(J89&lt;=Settings_Glossary!$B$4,"Excellent",IF(J89&lt;=Settings_Glossary!$B$5,"Acceptable","Review")))</x:f>
        <x:v>Excellent</x:v>
      </x:c>
      <x:c r="AK89" s="26" t="str">
        <x:f>IF(G89=0,"No valid repeats",IF(G89&lt;2,"Single repeat / repeat needed",IF(Y89&lt;=Settings_Glossary!$B$6,"Good","Review")))</x:f>
        <x:v>Single repeat / repeat needed</x:v>
      </x:c>
      <x:c r="AL89" s="26" t="str">
        <x:v>Replicate likely back-of-hand installation orientation while gripping tool</x:v>
      </x:c>
      <x:c r="AM89" s="26" t="str">
        <x:v>1 repeat per DAC, 268 Hz, DAC 10–30</x:v>
      </x:c>
    </x:row>
    <x:row r="90">
      <x:c r="A90" s="26" t="str">
        <x:v>INC-01</x:v>
      </x:c>
      <x:c r="B90" s="26" t="str">
        <x:v>Inclined / wearable-like</x:v>
      </x:c>
      <x:c r="C90" s="26" t="str">
        <x:v>As tested</x:v>
      </x:c>
      <x:c r="D90" s="26" t="str">
        <x:v>Pasted text(20260812-103956).txt</x:v>
      </x:c>
      <x:c r="E90" s="36" t="n">
        <x:v>268</x:v>
      </x:c>
      <x:c r="F90" s="37" t="n">
        <x:v>25</x:v>
      </x:c>
      <x:c r="G90" s="38" t="n">
        <x:v>1</x:v>
      </x:c>
      <x:c r="H90" s="36" t="n">
        <x:v>268.02157</x:v>
      </x:c>
      <x:c r="I90" s="36" t="n">
        <x:f>IF(H90="","",H90-E90)</x:f>
        <x:v>0.02156999999999698</x:v>
      </x:c>
      <x:c r="J90" s="36" t="n">
        <x:f>IF(I90="","",ABS(I90))</x:f>
        <x:v>0.02156999999999698</x:v>
      </x:c>
      <x:c r="K90" s="39" t="n">
        <x:f>IF(I90="","",ABS(I90/E90)*100)</x:f>
        <x:v>0.00804850746268544</x:v>
      </x:c>
      <x:c r="L90" s="36" t="n">
        <x:v>268.03425</x:v>
      </x:c>
      <x:c r="M90" s="36" t="n">
        <x:f>IF(L90="","",L90-E90)</x:f>
        <x:v>0.0342499999999859</x:v>
      </x:c>
      <x:c r="N90" s="36" t="n">
        <x:v>268.02176</x:v>
      </x:c>
      <x:c r="O90" s="36" t="n">
        <x:f>IF(N90="","",N90-E90)</x:f>
        <x:v>0.021759999999972024</x:v>
      </x:c>
      <x:c r="P90" s="36" t="n">
        <x:v>268.02096</x:v>
      </x:c>
      <x:c r="Q90" s="36" t="n">
        <x:f>IF(P90="","",P90-E90)</x:f>
        <x:v>0.02096000000000231</x:v>
      </x:c>
      <x:c r="R90" s="36" t="n">
        <x:v>0.34265</x:v>
      </x:c>
      <x:c r="S90" s="36" t="n">
        <x:v>3.09608</x:v>
      </x:c>
      <x:c r="T90" s="36" t="n">
        <x:v>2.37994</x:v>
      </x:c>
      <x:c r="U90" s="36" t="n">
        <x:v>3.92025</x:v>
      </x:c>
      <x:c r="V90" s="37" t="n">
        <x:v>0</x:v>
      </x:c>
      <x:c r="W90" s="37" t="n">
        <x:v>0</x:v>
      </x:c>
      <x:c r="X90" s="37" t="n">
        <x:v>0</x:v>
      </x:c>
      <x:c r="Y90" s="37" t="n">
        <x:v>0</x:v>
      </x:c>
      <x:c r="Z90" s="37" t="n">
        <x:f>IF(OR(U90="",U90=0),"",R90^2/U90^2*100)</x:f>
        <x:v>0.7639658494629313</x:v>
      </x:c>
      <x:c r="AA90" s="37" t="n">
        <x:f>IF(OR(U90="",U90=0),"",S90^2/U90^2*100)</x:f>
        <x:v>62.37302696850452</x:v>
      </x:c>
      <x:c r="AB90" s="37" t="n">
        <x:f>IF(OR(U90="",U90=0),"",T90^2/U90^2*100)</x:f>
        <x:v>36.85568519064621</x:v>
      </x:c>
      <x:c r="AC90" s="26" t="str">
        <x:f>IF(U90="","",IF(R90=MAX(R90:T90),"X",IF(S90=MAX(R90:T90),"Y","Z")))</x:f>
        <x:v>Y</x:v>
      </x:c>
      <x:c r="AD90" s="36" t="n">
        <x:f>IF(OR(R90="",R90=0,S90=""),"",S90/R90)</x:f>
        <x:v>9.03569239749015</x:v>
      </x:c>
      <x:c r="AE90" s="36" t="n">
        <x:f>IF(OR(R90="",R90=0,T90=""),"",T90/R90)</x:f>
        <x:v>6.945688019845323</x:v>
      </x:c>
      <x:c r="AF90" s="36" t="n">
        <x:f>IF(OR(R90="",F90=0),"",R90/F90)</x:f>
        <x:v>0.013706000000000001</x:v>
      </x:c>
      <x:c r="AG90" s="36" t="n">
        <x:f>IF(OR(S90="",F90=0),"",S90/F90)</x:f>
        <x:v>0.1238432</x:v>
      </x:c>
      <x:c r="AH90" s="36" t="n">
        <x:f>IF(OR(T90="",F90=0),"",T90/F90)</x:f>
        <x:v>0.0951976</x:v>
      </x:c>
      <x:c r="AI90" s="36" t="n">
        <x:f>IF(OR(U90="",F90=0),"",U90/F90)</x:f>
        <x:v>0.15681</x:v>
      </x:c>
      <x:c r="AJ90" s="26" t="str">
        <x:f>IF(G90=0,"NO VALID SUMMARY",IF(J90&lt;=Settings_Glossary!$B$4,"Excellent",IF(J90&lt;=Settings_Glossary!$B$5,"Acceptable","Review")))</x:f>
        <x:v>Excellent</x:v>
      </x:c>
      <x:c r="AK90" s="26" t="str">
        <x:f>IF(G90=0,"No valid repeats",IF(G90&lt;2,"Single repeat / repeat needed",IF(Y90&lt;=Settings_Glossary!$B$6,"Good","Review")))</x:f>
        <x:v>Single repeat / repeat needed</x:v>
      </x:c>
      <x:c r="AL90" s="26" t="str">
        <x:v>Replicate likely back-of-hand installation orientation while gripping tool</x:v>
      </x:c>
      <x:c r="AM90" s="26" t="str">
        <x:v>1 repeat per DAC, 268 Hz, DAC 10–30</x:v>
      </x:c>
    </x:row>
    <x:row r="91">
      <x:c r="A91" s="26" t="str">
        <x:v>INC-01</x:v>
      </x:c>
      <x:c r="B91" s="26" t="str">
        <x:v>Inclined / wearable-like</x:v>
      </x:c>
      <x:c r="C91" s="26" t="str">
        <x:v>As tested</x:v>
      </x:c>
      <x:c r="D91" s="26" t="str">
        <x:v>Pasted text(20260812-103956).txt</x:v>
      </x:c>
      <x:c r="E91" s="36" t="n">
        <x:v>268</x:v>
      </x:c>
      <x:c r="F91" s="37" t="n">
        <x:v>26</x:v>
      </x:c>
      <x:c r="G91" s="38" t="n">
        <x:v>1</x:v>
      </x:c>
      <x:c r="H91" s="36" t="n">
        <x:v>268.0202</x:v>
      </x:c>
      <x:c r="I91" s="36" t="n">
        <x:f>IF(H91="","",H91-E91)</x:f>
        <x:v>0.02019999999998845</x:v>
      </x:c>
      <x:c r="J91" s="36" t="n">
        <x:f>IF(I91="","",ABS(I91))</x:f>
        <x:v>0.02019999999998845</x:v>
      </x:c>
      <x:c r="K91" s="39" t="n">
        <x:f>IF(I91="","",ABS(I91/E91)*100)</x:f>
        <x:v>0.007537313432831511</x:v>
      </x:c>
      <x:c r="L91" s="36" t="n">
        <x:v>268.11077</x:v>
      </x:c>
      <x:c r="M91" s="36" t="n">
        <x:f>IF(L91="","",L91-E91)</x:f>
        <x:v>0.11077000000000226</x:v>
      </x:c>
      <x:c r="N91" s="36" t="n">
        <x:v>268.01476</x:v>
      </x:c>
      <x:c r="O91" s="36" t="n">
        <x:f>IF(N91="","",N91-E91)</x:f>
        <x:v>0.014760000000023865</x:v>
      </x:c>
      <x:c r="P91" s="36" t="n">
        <x:v>268.02731</x:v>
      </x:c>
      <x:c r="Q91" s="36" t="n">
        <x:f>IF(P91="","",P91-E91)</x:f>
        <x:v>0.027309999999999945</x:v>
      </x:c>
      <x:c r="R91" s="36" t="n">
        <x:v>0.36894</x:v>
      </x:c>
      <x:c r="S91" s="36" t="n">
        <x:v>3.23671</x:v>
      </x:c>
      <x:c r="T91" s="36" t="n">
        <x:v>2.50888</x:v>
      </x:c>
      <x:c r="U91" s="36" t="n">
        <x:v>4.1119</x:v>
      </x:c>
      <x:c r="V91" s="37" t="n">
        <x:v>0</x:v>
      </x:c>
      <x:c r="W91" s="37" t="n">
        <x:v>0</x:v>
      </x:c>
      <x:c r="X91" s="37" t="n">
        <x:v>0</x:v>
      </x:c>
      <x:c r="Y91" s="37" t="n">
        <x:v>0</x:v>
      </x:c>
      <x:c r="Z91" s="37" t="n">
        <x:f>IF(OR(U91="",U91=0),"",R91^2/U91^2*100)</x:f>
        <x:v>0.8050565696533252</x:v>
      </x:c>
      <x:c r="AA91" s="37" t="n">
        <x:f>IF(OR(U91="",U91=0),"",S91^2/U91^2*100)</x:f>
        <x:v>61.96158102049563</x:v>
      </x:c>
      <x:c r="AB91" s="37" t="n">
        <x:f>IF(OR(U91="",U91=0),"",T91^2/U91^2*100)</x:f>
        <x:v>37.22842733983245</x:v>
      </x:c>
      <x:c r="AC91" s="26" t="str">
        <x:f>IF(U91="","",IF(R91=MAX(R91:T91),"X",IF(S91=MAX(R91:T91),"Y","Z")))</x:f>
        <x:v>Y</x:v>
      </x:c>
      <x:c r="AD91" s="36" t="n">
        <x:f>IF(OR(R91="",R91=0,S91=""),"",S91/R91)</x:f>
        <x:v>8.772998319509947</x:v>
      </x:c>
      <x:c r="AE91" s="36" t="n">
        <x:f>IF(OR(R91="",R91=0,T91=""),"",T91/R91)</x:f>
        <x:v>6.800238521168754</x:v>
      </x:c>
      <x:c r="AF91" s="36" t="n">
        <x:f>IF(OR(R91="",F91=0),"",R91/F91)</x:f>
        <x:v>0.01419</x:v>
      </x:c>
      <x:c r="AG91" s="36" t="n">
        <x:f>IF(OR(S91="",F91=0),"",S91/F91)</x:f>
        <x:v>0.12448884615384616</x:v>
      </x:c>
      <x:c r="AH91" s="36" t="n">
        <x:f>IF(OR(T91="",F91=0),"",T91/F91)</x:f>
        <x:v>0.09649538461538462</x:v>
      </x:c>
      <x:c r="AI91" s="36" t="n">
        <x:f>IF(OR(U91="",F91=0),"",U91/F91)</x:f>
        <x:v>0.15815</x:v>
      </x:c>
      <x:c r="AJ91" s="26" t="str">
        <x:f>IF(G91=0,"NO VALID SUMMARY",IF(J91&lt;=Settings_Glossary!$B$4,"Excellent",IF(J91&lt;=Settings_Glossary!$B$5,"Acceptable","Review")))</x:f>
        <x:v>Excellent</x:v>
      </x:c>
      <x:c r="AK91" s="26" t="str">
        <x:f>IF(G91=0,"No valid repeats",IF(G91&lt;2,"Single repeat / repeat needed",IF(Y91&lt;=Settings_Glossary!$B$6,"Good","Review")))</x:f>
        <x:v>Single repeat / repeat needed</x:v>
      </x:c>
      <x:c r="AL91" s="26" t="str">
        <x:v>Replicate likely back-of-hand installation orientation while gripping tool</x:v>
      </x:c>
      <x:c r="AM91" s="26" t="str">
        <x:v>1 repeat per DAC, 268 Hz, DAC 10–30</x:v>
      </x:c>
    </x:row>
    <x:row r="92">
      <x:c r="A92" s="26" t="str">
        <x:v>INC-01</x:v>
      </x:c>
      <x:c r="B92" s="26" t="str">
        <x:v>Inclined / wearable-like</x:v>
      </x:c>
      <x:c r="C92" s="26" t="str">
        <x:v>As tested</x:v>
      </x:c>
      <x:c r="D92" s="26" t="str">
        <x:v>Pasted text(20260812-103956).txt</x:v>
      </x:c>
      <x:c r="E92" s="36" t="n">
        <x:v>268</x:v>
      </x:c>
      <x:c r="F92" s="37" t="n">
        <x:v>27</x:v>
      </x:c>
      <x:c r="G92" s="38" t="n">
        <x:v>1</x:v>
      </x:c>
      <x:c r="H92" s="36" t="n">
        <x:v>268.01363</x:v>
      </x:c>
      <x:c r="I92" s="36" t="n">
        <x:f>IF(H92="","",H92-E92)</x:f>
        <x:v>0.013629999999977827</x:v>
      </x:c>
      <x:c r="J92" s="36" t="n">
        <x:f>IF(I92="","",ABS(I92))</x:f>
        <x:v>0.013629999999977827</x:v>
      </x:c>
      <x:c r="K92" s="39" t="n">
        <x:f>IF(I92="","",ABS(I92/E92)*100)</x:f>
        <x:v>0.005085820895514115</x:v>
      </x:c>
      <x:c r="L92" s="36" t="n">
        <x:v>267.99956</x:v>
      </x:c>
      <x:c r="M92" s="36" t="n">
        <x:f>IF(L92="","",L92-E92)</x:f>
        <x:v>-0.00044000000002597517</x:v>
      </x:c>
      <x:c r="N92" s="36" t="n">
        <x:v>268.01187</x:v>
      </x:c>
      <x:c r="O92" s="36" t="n">
        <x:f>IF(N92="","",N92-E92)</x:f>
        <x:v>0.011869999999987613</x:v>
      </x:c>
      <x:c r="P92" s="36" t="n">
        <x:v>268.01684</x:v>
      </x:c>
      <x:c r="Q92" s="36" t="n">
        <x:f>IF(P92="","",P92-E92)</x:f>
        <x:v>0.016840000000001965</x:v>
      </x:c>
      <x:c r="R92" s="36" t="n">
        <x:v>0.35432</x:v>
      </x:c>
      <x:c r="S92" s="36" t="n">
        <x:v>3.40487</x:v>
      </x:c>
      <x:c r="T92" s="36" t="n">
        <x:v>2.64324</x:v>
      </x:c>
      <x:c r="U92" s="36" t="n">
        <x:v>4.32513</x:v>
      </x:c>
      <x:c r="V92" s="37" t="n">
        <x:v>0</x:v>
      </x:c>
      <x:c r="W92" s="37" t="n">
        <x:v>0</x:v>
      </x:c>
      <x:c r="X92" s="37" t="n">
        <x:v>0</x:v>
      </x:c>
      <x:c r="Y92" s="37" t="n">
        <x:v>0</x:v>
      </x:c>
      <x:c r="Z92" s="37" t="n">
        <x:f>IF(OR(U92="",U92=0),"",R92^2/U92^2*100)</x:f>
        <x:v>0.6711089079724012</x:v>
      </x:c>
      <x:c r="AA92" s="37" t="n">
        <x:f>IF(OR(U92="",U92=0),"",S92^2/U92^2*100)</x:f>
        <x:v>61.973031212218665</x:v>
      </x:c>
      <x:c r="AB92" s="37" t="n">
        <x:f>IF(OR(U92="",U92=0),"",T92^2/U92^2*100)</x:f>
        <x:v>37.3486462267968</x:v>
      </x:c>
      <x:c r="AC92" s="26" t="str">
        <x:f>IF(U92="","",IF(R92=MAX(R92:T92),"X",IF(S92=MAX(R92:T92),"Y","Z")))</x:f>
        <x:v>Y</x:v>
      </x:c>
      <x:c r="AD92" s="36" t="n">
        <x:f>IF(OR(R92="",R92=0,S92=""),"",S92/R92)</x:f>
        <x:v>9.609590200948293</x:v>
      </x:c>
      <x:c r="AE92" s="36" t="n">
        <x:f>IF(OR(R92="",R92=0,T92=""),"",T92/R92)</x:f>
        <x:v>7.460036125536238</x:v>
      </x:c>
      <x:c r="AF92" s="36" t="n">
        <x:f>IF(OR(R92="",F92=0),"",R92/F92)</x:f>
        <x:v>0.013122962962962963</x:v>
      </x:c>
      <x:c r="AG92" s="36" t="n">
        <x:f>IF(OR(S92="",F92=0),"",S92/F92)</x:f>
        <x:v>0.1261062962962963</x:v>
      </x:c>
      <x:c r="AH92" s="36" t="n">
        <x:f>IF(OR(T92="",F92=0),"",T92/F92)</x:f>
        <x:v>0.09789777777777778</x:v>
      </x:c>
      <x:c r="AI92" s="36" t="n">
        <x:f>IF(OR(U92="",F92=0),"",U92/F92)</x:f>
        <x:v>0.16019</x:v>
      </x:c>
      <x:c r="AJ92" s="26" t="str">
        <x:f>IF(G92=0,"NO VALID SUMMARY",IF(J92&lt;=Settings_Glossary!$B$4,"Excellent",IF(J92&lt;=Settings_Glossary!$B$5,"Acceptable","Review")))</x:f>
        <x:v>Excellent</x:v>
      </x:c>
      <x:c r="AK92" s="26" t="str">
        <x:f>IF(G92=0,"No valid repeats",IF(G92&lt;2,"Single repeat / repeat needed",IF(Y92&lt;=Settings_Glossary!$B$6,"Good","Review")))</x:f>
        <x:v>Single repeat / repeat needed</x:v>
      </x:c>
      <x:c r="AL92" s="26" t="str">
        <x:v>Replicate likely back-of-hand installation orientation while gripping tool</x:v>
      </x:c>
      <x:c r="AM92" s="26" t="str">
        <x:v>1 repeat per DAC, 268 Hz, DAC 10–30</x:v>
      </x:c>
    </x:row>
    <x:row r="93">
      <x:c r="A93" s="26" t="str">
        <x:v>INC-01</x:v>
      </x:c>
      <x:c r="B93" s="26" t="str">
        <x:v>Inclined / wearable-like</x:v>
      </x:c>
      <x:c r="C93" s="26" t="str">
        <x:v>As tested</x:v>
      </x:c>
      <x:c r="D93" s="26" t="str">
        <x:v>Pasted text(20260812-103956).txt</x:v>
      </x:c>
      <x:c r="E93" s="36" t="n">
        <x:v>268</x:v>
      </x:c>
      <x:c r="F93" s="37" t="n">
        <x:v>28</x:v>
      </x:c>
      <x:c r="G93" s="38" t="n">
        <x:v>1</x:v>
      </x:c>
      <x:c r="H93" s="36" t="n">
        <x:v>268.02746</x:v>
      </x:c>
      <x:c r="I93" s="36" t="n">
        <x:f>IF(H93="","",H93-E93)</x:f>
        <x:v>0.027460000000019136</x:v>
      </x:c>
      <x:c r="J93" s="36" t="n">
        <x:f>IF(I93="","",ABS(I93))</x:f>
        <x:v>0.027460000000019136</x:v>
      </x:c>
      <x:c r="K93" s="39" t="n">
        <x:f>IF(I93="","",ABS(I93/E93)*100)</x:f>
        <x:v>0.010246268656723559</x:v>
      </x:c>
      <x:c r="L93" s="36" t="n">
        <x:v>268.08162</x:v>
      </x:c>
      <x:c r="M93" s="36" t="n">
        <x:f>IF(L93="","",L93-E93)</x:f>
        <x:v>0.0816199999999867</x:v>
      </x:c>
      <x:c r="N93" s="36" t="n">
        <x:v>268.02234</x:v>
      </x:c>
      <x:c r="O93" s="36" t="n">
        <x:f>IF(N93="","",N93-E93)</x:f>
        <x:v>0.022339999999985594</x:v>
      </x:c>
      <x:c r="P93" s="36" t="n">
        <x:v>268.03495</x:v>
      </x:c>
      <x:c r="Q93" s="36" t="n">
        <x:f>IF(P93="","",P93-E93)</x:f>
        <x:v>0.03494999999998072</x:v>
      </x:c>
      <x:c r="R93" s="36" t="n">
        <x:v>0.37529</x:v>
      </x:c>
      <x:c r="S93" s="36" t="n">
        <x:v>3.4761</x:v>
      </x:c>
      <x:c r="T93" s="36" t="n">
        <x:v>2.6857</x:v>
      </x:c>
      <x:c r="U93" s="36" t="n">
        <x:v>4.40888</x:v>
      </x:c>
      <x:c r="V93" s="37" t="n">
        <x:v>0</x:v>
      </x:c>
      <x:c r="W93" s="37" t="n">
        <x:v>0</x:v>
      </x:c>
      <x:c r="X93" s="37" t="n">
        <x:v>0</x:v>
      </x:c>
      <x:c r="Y93" s="37" t="n">
        <x:v>0</x:v>
      </x:c>
      <x:c r="Z93" s="37" t="n">
        <x:f>IF(OR(U93="",U93=0),"",R93^2/U93^2*100)</x:f>
        <x:v>0.7245651269407025</x:v>
      </x:c>
      <x:c r="AA93" s="37" t="n">
        <x:f>IF(OR(U93="",U93=0),"",S93^2/U93^2*100)</x:f>
        <x:v>62.162427607238044</x:v>
      </x:c>
      <x:c r="AB93" s="37" t="n">
        <x:f>IF(OR(U93="",U93=0),"",T93^2/U93^2*100)</x:f>
        <x:v>37.10722191029559</x:v>
      </x:c>
      <x:c r="AC93" s="26" t="str">
        <x:f>IF(U93="","",IF(R93=MAX(R93:T93),"X",IF(S93=MAX(R93:T93),"Y","Z")))</x:f>
        <x:v>Y</x:v>
      </x:c>
      <x:c r="AD93" s="36" t="n">
        <x:f>IF(OR(R93="",R93=0,S93=""),"",S93/R93)</x:f>
        <x:v>9.262437048682353</x:v>
      </x:c>
      <x:c r="AE93" s="36" t="n">
        <x:f>IF(OR(R93="",R93=0,T93=""),"",T93/R93)</x:f>
        <x:v>7.156332436249301</x:v>
      </x:c>
      <x:c r="AF93" s="36" t="n">
        <x:f>IF(OR(R93="",F93=0),"",R93/F93)</x:f>
        <x:v>0.013403214285714286</x:v>
      </x:c>
      <x:c r="AG93" s="36" t="n">
        <x:f>IF(OR(S93="",F93=0),"",S93/F93)</x:f>
        <x:v>0.12414642857142857</x:v>
      </x:c>
      <x:c r="AH93" s="36" t="n">
        <x:f>IF(OR(T93="",F93=0),"",T93/F93)</x:f>
        <x:v>0.09591785714285715</x:v>
      </x:c>
      <x:c r="AI93" s="36" t="n">
        <x:f>IF(OR(U93="",F93=0),"",U93/F93)</x:f>
        <x:v>0.15746</x:v>
      </x:c>
      <x:c r="AJ93" s="26" t="str">
        <x:f>IF(G93=0,"NO VALID SUMMARY",IF(J93&lt;=Settings_Glossary!$B$4,"Excellent",IF(J93&lt;=Settings_Glossary!$B$5,"Acceptable","Review")))</x:f>
        <x:v>Excellent</x:v>
      </x:c>
      <x:c r="AK93" s="26" t="str">
        <x:f>IF(G93=0,"No valid repeats",IF(G93&lt;2,"Single repeat / repeat needed",IF(Y93&lt;=Settings_Glossary!$B$6,"Good","Review")))</x:f>
        <x:v>Single repeat / repeat needed</x:v>
      </x:c>
      <x:c r="AL93" s="26" t="str">
        <x:v>Replicate likely back-of-hand installation orientation while gripping tool</x:v>
      </x:c>
      <x:c r="AM93" s="26" t="str">
        <x:v>1 repeat per DAC, 268 Hz, DAC 10–30</x:v>
      </x:c>
    </x:row>
    <x:row r="94">
      <x:c r="A94" s="26" t="str">
        <x:v>INC-01</x:v>
      </x:c>
      <x:c r="B94" s="26" t="str">
        <x:v>Inclined / wearable-like</x:v>
      </x:c>
      <x:c r="C94" s="26" t="str">
        <x:v>As tested</x:v>
      </x:c>
      <x:c r="D94" s="26" t="str">
        <x:v>Pasted text(20260812-103956).txt</x:v>
      </x:c>
      <x:c r="E94" s="36" t="n">
        <x:v>268</x:v>
      </x:c>
      <x:c r="F94" s="37" t="n">
        <x:v>29</x:v>
      </x:c>
      <x:c r="G94" s="38" t="n">
        <x:v>1</x:v>
      </x:c>
      <x:c r="H94" s="36" t="n">
        <x:v>268.03418</x:v>
      </x:c>
      <x:c r="I94" s="36" t="n">
        <x:f>IF(H94="","",H94-E94)</x:f>
        <x:v>0.034179999999992106</x:v>
      </x:c>
      <x:c r="J94" s="36" t="n">
        <x:f>IF(I94="","",ABS(I94))</x:f>
        <x:v>0.034179999999992106</x:v>
      </x:c>
      <x:c r="K94" s="39" t="n">
        <x:f>IF(I94="","",ABS(I94/E94)*100)</x:f>
        <x:v>0.012753731343280637</x:v>
      </x:c>
      <x:c r="L94" s="36" t="n">
        <x:v>268.08126</x:v>
      </x:c>
      <x:c r="M94" s="36" t="n">
        <x:f>IF(L94="","",L94-E94)</x:f>
        <x:v>0.08125999999998612</x:v>
      </x:c>
      <x:c r="N94" s="36" t="n">
        <x:v>268.02802</x:v>
      </x:c>
      <x:c r="O94" s="36" t="n">
        <x:f>IF(N94="","",N94-E94)</x:f>
        <x:v>0.028020000000026357</x:v>
      </x:c>
      <x:c r="P94" s="36" t="n">
        <x:v>268.04315</x:v>
      </x:c>
      <x:c r="Q94" s="36" t="n">
        <x:f>IF(P94="","",P94-E94)</x:f>
        <x:v>0.04315000000002556</x:v>
      </x:c>
      <x:c r="R94" s="36" t="n">
        <x:v>0.37346</x:v>
      </x:c>
      <x:c r="S94" s="36" t="n">
        <x:v>3.55046</x:v>
      </x:c>
      <x:c r="T94" s="36" t="n">
        <x:v>2.80045</x:v>
      </x:c>
      <x:c r="U94" s="36" t="n">
        <x:v>4.53746</x:v>
      </x:c>
      <x:c r="V94" s="37" t="n">
        <x:v>0</x:v>
      </x:c>
      <x:c r="W94" s="37" t="n">
        <x:v>0</x:v>
      </x:c>
      <x:c r="X94" s="37" t="n">
        <x:v>0</x:v>
      </x:c>
      <x:c r="Y94" s="37" t="n">
        <x:v>0</x:v>
      </x:c>
      <x:c r="Z94" s="37" t="n">
        <x:f>IF(OR(U94="",U94=0),"",R94^2/U94^2*100)</x:f>
        <x:v>0.6774271005752734</x:v>
      </x:c>
      <x:c r="AA94" s="37" t="n">
        <x:f>IF(OR(U94="",U94=0),"",S94^2/U94^2*100)</x:f>
        <x:v>61.22709148263983</x:v>
      </x:c>
      <x:c r="AB94" s="37" t="n">
        <x:f>IF(OR(U94="",U94=0),"",T94^2/U94^2*100)</x:f>
        <x:v>38.09167121083485</x:v>
      </x:c>
      <x:c r="AC94" s="26" t="str">
        <x:f>IF(U94="","",IF(R94=MAX(R94:T94),"X",IF(S94=MAX(R94:T94),"Y","Z")))</x:f>
        <x:v>Y</x:v>
      </x:c>
      <x:c r="AD94" s="36" t="n">
        <x:f>IF(OR(R94="",R94=0,S94=""),"",S94/R94)</x:f>
        <x:v>9.506935147003695</x:v>
      </x:c>
      <x:c r="AE94" s="36" t="n">
        <x:f>IF(OR(R94="",R94=0,T94=""),"",T94/R94)</x:f>
        <x:v>7.498661168532105</x:v>
      </x:c>
      <x:c r="AF94" s="36" t="n">
        <x:f>IF(OR(R94="",F94=0),"",R94/F94)</x:f>
        <x:v>0.012877931034482759</x:v>
      </x:c>
      <x:c r="AG94" s="36" t="n">
        <x:f>IF(OR(S94="",F94=0),"",S94/F94)</x:f>
        <x:v>0.1224296551724138</x:v>
      </x:c>
      <x:c r="AH94" s="36" t="n">
        <x:f>IF(OR(T94="",F94=0),"",T94/F94)</x:f>
        <x:v>0.09656724137931035</x:v>
      </x:c>
      <x:c r="AI94" s="36" t="n">
        <x:f>IF(OR(U94="",F94=0),"",U94/F94)</x:f>
        <x:v>0.1564641379310345</x:v>
      </x:c>
      <x:c r="AJ94" s="26" t="str">
        <x:f>IF(G94=0,"NO VALID SUMMARY",IF(J94&lt;=Settings_Glossary!$B$4,"Excellent",IF(J94&lt;=Settings_Glossary!$B$5,"Acceptable","Review")))</x:f>
        <x:v>Excellent</x:v>
      </x:c>
      <x:c r="AK94" s="26" t="str">
        <x:f>IF(G94=0,"No valid repeats",IF(G94&lt;2,"Single repeat / repeat needed",IF(Y94&lt;=Settings_Glossary!$B$6,"Good","Review")))</x:f>
        <x:v>Single repeat / repeat needed</x:v>
      </x:c>
      <x:c r="AL94" s="26" t="str">
        <x:v>Replicate likely back-of-hand installation orientation while gripping tool</x:v>
      </x:c>
      <x:c r="AM94" s="26" t="str">
        <x:v>1 repeat per DAC, 268 Hz, DAC 10–30</x:v>
      </x:c>
    </x:row>
    <x:row r="95">
      <x:c r="A95" s="26" t="str">
        <x:v>INC-01</x:v>
      </x:c>
      <x:c r="B95" s="26" t="str">
        <x:v>Inclined / wearable-like</x:v>
      </x:c>
      <x:c r="C95" s="26" t="str">
        <x:v>As tested</x:v>
      </x:c>
      <x:c r="D95" s="26" t="str">
        <x:v>Pasted text(20260812-103956).txt</x:v>
      </x:c>
      <x:c r="E95" s="36" t="n">
        <x:v>268</x:v>
      </x:c>
      <x:c r="F95" s="37" t="n">
        <x:v>30</x:v>
      </x:c>
      <x:c r="G95" s="38" t="n">
        <x:v>1</x:v>
      </x:c>
      <x:c r="H95" s="36" t="n">
        <x:v>268.02217</x:v>
      </x:c>
      <x:c r="I95" s="36" t="n">
        <x:f>IF(H95="","",H95-E95)</x:f>
        <x:v>0.0221700000000169</x:v>
      </x:c>
      <x:c r="J95" s="36" t="n">
        <x:f>IF(I95="","",ABS(I95))</x:f>
        <x:v>0.0221700000000169</x:v>
      </x:c>
      <x:c r="K95" s="39" t="n">
        <x:f>IF(I95="","",ABS(I95/E95)*100)</x:f>
        <x:v>0.008272388059707798</x:v>
      </x:c>
      <x:c r="L95" s="36" t="n">
        <x:v>268.00568</x:v>
      </x:c>
      <x:c r="M95" s="36" t="n">
        <x:f>IF(L95="","",L95-E95)</x:f>
        <x:v>0.00567999999998392</x:v>
      </x:c>
      <x:c r="N95" s="36" t="n">
        <x:v>268.02404</x:v>
      </x:c>
      <x:c r="O95" s="36" t="n">
        <x:f>IF(N95="","",N95-E95)</x:f>
        <x:v>0.024040000000013606</x:v>
      </x:c>
      <x:c r="P95" s="36" t="n">
        <x:v>268.01941</x:v>
      </x:c>
      <x:c r="Q95" s="36" t="n">
        <x:f>IF(P95="","",P95-E95)</x:f>
        <x:v>0.019409999999993488</x:v>
      </x:c>
      <x:c r="R95" s="36" t="n">
        <x:v>0.38186</x:v>
      </x:c>
      <x:c r="S95" s="36" t="n">
        <x:v>3.65183</x:v>
      </x:c>
      <x:c r="T95" s="36" t="n">
        <x:v>2.9028</x:v>
      </x:c>
      <x:c r="U95" s="36" t="n">
        <x:v>4.6811</x:v>
      </x:c>
      <x:c r="V95" s="37" t="n">
        <x:v>0</x:v>
      </x:c>
      <x:c r="W95" s="37" t="n">
        <x:v>0</x:v>
      </x:c>
      <x:c r="X95" s="37" t="n">
        <x:v>0</x:v>
      </x:c>
      <x:c r="Y95" s="37" t="n">
        <x:v>0</x:v>
      </x:c>
      <x:c r="Z95" s="37" t="n">
        <x:f>IF(OR(U95="",U95=0),"",R95^2/U95^2*100)</x:f>
        <x:v>0.6654455095261183</x:v>
      </x:c>
      <x:c r="AA95" s="37" t="n">
        <x:f>IF(OR(U95="",U95=0),"",S95^2/U95^2*100)</x:f>
        <x:v>60.859063679363466</x:v>
      </x:c>
      <x:c r="AB95" s="37" t="n">
        <x:f>IF(OR(U95="",U95=0),"",T95^2/U95^2*100)</x:f>
        <x:v>38.453722785685315</x:v>
      </x:c>
      <x:c r="AC95" s="26" t="str">
        <x:f>IF(U95="","",IF(R95=MAX(R95:T95),"X",IF(S95=MAX(R95:T95),"Y","Z")))</x:f>
        <x:v>Y</x:v>
      </x:c>
      <x:c r="AD95" s="36" t="n">
        <x:f>IF(OR(R95="",R95=0,S95=""),"",S95/R95)</x:f>
        <x:v>9.563269260985702</x:v>
      </x:c>
      <x:c r="AE95" s="36" t="n">
        <x:f>IF(OR(R95="",R95=0,T95=""),"",T95/R95)</x:f>
        <x:v>7.601738857172786</x:v>
      </x:c>
      <x:c r="AF95" s="36" t="n">
        <x:f>IF(OR(R95="",F95=0),"",R95/F95)</x:f>
        <x:v>0.012728666666666666</x:v>
      </x:c>
      <x:c r="AG95" s="36" t="n">
        <x:f>IF(OR(S95="",F95=0),"",S95/F95)</x:f>
        <x:v>0.12172766666666666</x:v>
      </x:c>
      <x:c r="AH95" s="36" t="n">
        <x:f>IF(OR(T95="",F95=0),"",T95/F95)</x:f>
        <x:v>0.09676</x:v>
      </x:c>
      <x:c r="AI95" s="36" t="n">
        <x:f>IF(OR(U95="",F95=0),"",U95/F95)</x:f>
        <x:v>0.15603666666666666</x:v>
      </x:c>
      <x:c r="AJ95" s="26" t="str">
        <x:f>IF(G95=0,"NO VALID SUMMARY",IF(J95&lt;=Settings_Glossary!$B$4,"Excellent",IF(J95&lt;=Settings_Glossary!$B$5,"Acceptable","Review")))</x:f>
        <x:v>Excellent</x:v>
      </x:c>
      <x:c r="AK95" s="26" t="str">
        <x:f>IF(G95=0,"No valid repeats",IF(G95&lt;2,"Single repeat / repeat needed",IF(Y95&lt;=Settings_Glossary!$B$6,"Good","Review")))</x:f>
        <x:v>Single repeat / repeat needed</x:v>
      </x:c>
      <x:c r="AL95" s="26" t="str">
        <x:v>Replicate likely back-of-hand installation orientation while gripping tool</x:v>
      </x:c>
      <x:c r="AM95" s="26" t="str">
        <x:v>1 repeat per DAC, 268 Hz, DAC 10–30</x:v>
      </x:c>
    </x:row>
    <x:row r="96">
      <x:c r="A96" s="26"/>
      <x:c r="B96" s="26"/>
      <x:c r="C96" s="26"/>
      <x:c r="D96" s="26"/>
      <x:c r="E96" s="36"/>
      <x:c r="F96" s="37"/>
      <x:c r="G96" s="38"/>
      <x:c r="H96" s="36"/>
      <x:c r="I96" s="36"/>
      <x:c r="J96" s="36"/>
      <x:c r="K96" s="39"/>
      <x:c r="L96" s="36"/>
      <x:c r="M96" s="36"/>
      <x:c r="N96" s="36"/>
      <x:c r="O96" s="36"/>
      <x:c r="P96" s="36"/>
      <x:c r="Q96" s="36"/>
      <x:c r="R96" s="36"/>
      <x:c r="S96" s="36"/>
      <x:c r="T96" s="36"/>
      <x:c r="U96" s="36"/>
      <x:c r="V96" s="37"/>
      <x:c r="W96" s="37"/>
      <x:c r="X96" s="37"/>
      <x:c r="Y96" s="37"/>
      <x:c r="Z96" s="37"/>
      <x:c r="AA96" s="37"/>
      <x:c r="AB96" s="37"/>
      <x:c r="AC96" s="26"/>
      <x:c r="AD96" s="36"/>
      <x:c r="AE96" s="36"/>
      <x:c r="AF96" s="36"/>
      <x:c r="AG96" s="36"/>
      <x:c r="AH96" s="36"/>
      <x:c r="AI96" s="36"/>
      <x:c r="AJ96" s="26"/>
      <x:c r="AK96" s="26"/>
      <x:c r="AL96" s="26"/>
      <x:c r="AM96" s="26"/>
    </x:row>
    <x:row r="97">
      <x:c r="A97" s="26"/>
      <x:c r="B97" s="26"/>
      <x:c r="C97" s="26"/>
      <x:c r="D97" s="26"/>
      <x:c r="E97" s="36"/>
      <x:c r="F97" s="37"/>
      <x:c r="G97" s="38"/>
      <x:c r="H97" s="36"/>
      <x:c r="I97" s="36"/>
      <x:c r="J97" s="36"/>
      <x:c r="K97" s="39"/>
      <x:c r="L97" s="36"/>
      <x:c r="M97" s="36"/>
      <x:c r="N97" s="36"/>
      <x:c r="O97" s="36"/>
      <x:c r="P97" s="36"/>
      <x:c r="Q97" s="36"/>
      <x:c r="R97" s="36"/>
      <x:c r="S97" s="36"/>
      <x:c r="T97" s="36"/>
      <x:c r="U97" s="36"/>
      <x:c r="V97" s="37"/>
      <x:c r="W97" s="37"/>
      <x:c r="X97" s="37"/>
      <x:c r="Y97" s="37"/>
      <x:c r="Z97" s="37"/>
      <x:c r="AA97" s="37"/>
      <x:c r="AB97" s="37"/>
      <x:c r="AC97" s="26"/>
      <x:c r="AD97" s="36"/>
      <x:c r="AE97" s="36"/>
      <x:c r="AF97" s="36"/>
      <x:c r="AG97" s="36"/>
      <x:c r="AH97" s="36"/>
      <x:c r="AI97" s="36"/>
      <x:c r="AJ97" s="26"/>
      <x:c r="AK97" s="26"/>
      <x:c r="AL97" s="26"/>
      <x:c r="AM97" s="26"/>
    </x:row>
    <x:row r="98">
      <x:c r="A98" s="26"/>
      <x:c r="B98" s="26"/>
      <x:c r="C98" s="26"/>
      <x:c r="D98" s="26"/>
      <x:c r="E98" s="36"/>
      <x:c r="F98" s="37"/>
      <x:c r="G98" s="38"/>
      <x:c r="H98" s="36"/>
      <x:c r="I98" s="36"/>
      <x:c r="J98" s="36"/>
      <x:c r="K98" s="39"/>
      <x:c r="L98" s="36"/>
      <x:c r="M98" s="36"/>
      <x:c r="N98" s="36"/>
      <x:c r="O98" s="36"/>
      <x:c r="P98" s="36"/>
      <x:c r="Q98" s="36"/>
      <x:c r="R98" s="36"/>
      <x:c r="S98" s="36"/>
      <x:c r="T98" s="36"/>
      <x:c r="U98" s="36"/>
      <x:c r="V98" s="37"/>
      <x:c r="W98" s="37"/>
      <x:c r="X98" s="37"/>
      <x:c r="Y98" s="37"/>
      <x:c r="Z98" s="37"/>
      <x:c r="AA98" s="37"/>
      <x:c r="AB98" s="37"/>
      <x:c r="AC98" s="26"/>
      <x:c r="AD98" s="36"/>
      <x:c r="AE98" s="36"/>
      <x:c r="AF98" s="36"/>
      <x:c r="AG98" s="36"/>
      <x:c r="AH98" s="36"/>
      <x:c r="AI98" s="36"/>
      <x:c r="AJ98" s="26"/>
      <x:c r="AK98" s="26"/>
      <x:c r="AL98" s="26"/>
      <x:c r="AM98" s="26"/>
    </x:row>
    <x:row r="99">
      <x:c r="A99" s="26"/>
      <x:c r="B99" s="26"/>
      <x:c r="C99" s="26"/>
      <x:c r="D99" s="26"/>
      <x:c r="E99" s="36"/>
      <x:c r="F99" s="37"/>
      <x:c r="G99" s="38"/>
      <x:c r="H99" s="36"/>
      <x:c r="I99" s="36"/>
      <x:c r="J99" s="36"/>
      <x:c r="K99" s="39"/>
      <x:c r="L99" s="36"/>
      <x:c r="M99" s="36"/>
      <x:c r="N99" s="36"/>
      <x:c r="O99" s="36"/>
      <x:c r="P99" s="36"/>
      <x:c r="Q99" s="36"/>
      <x:c r="R99" s="36"/>
      <x:c r="S99" s="36"/>
      <x:c r="T99" s="36"/>
      <x:c r="U99" s="36"/>
      <x:c r="V99" s="37"/>
      <x:c r="W99" s="37"/>
      <x:c r="X99" s="37"/>
      <x:c r="Y99" s="37"/>
      <x:c r="Z99" s="37"/>
      <x:c r="AA99" s="37"/>
      <x:c r="AB99" s="37"/>
      <x:c r="AC99" s="26"/>
      <x:c r="AD99" s="36"/>
      <x:c r="AE99" s="36"/>
      <x:c r="AF99" s="36"/>
      <x:c r="AG99" s="36"/>
      <x:c r="AH99" s="36"/>
      <x:c r="AI99" s="36"/>
      <x:c r="AJ99" s="26"/>
      <x:c r="AK99" s="26"/>
      <x:c r="AL99" s="26"/>
      <x:c r="AM99" s="26"/>
    </x:row>
    <x:row r="100">
      <x:c r="A100" s="26"/>
      <x:c r="B100" s="26"/>
      <x:c r="C100" s="26"/>
      <x:c r="D100" s="26"/>
      <x:c r="E100" s="36"/>
      <x:c r="F100" s="37"/>
      <x:c r="G100" s="38"/>
      <x:c r="H100" s="36"/>
      <x:c r="I100" s="36"/>
      <x:c r="J100" s="36"/>
      <x:c r="K100" s="39"/>
      <x:c r="L100" s="36"/>
      <x:c r="M100" s="36"/>
      <x:c r="N100" s="36"/>
      <x:c r="O100" s="36"/>
      <x:c r="P100" s="36"/>
      <x:c r="Q100" s="36"/>
      <x:c r="R100" s="36"/>
      <x:c r="S100" s="36"/>
      <x:c r="T100" s="36"/>
      <x:c r="U100" s="36"/>
      <x:c r="V100" s="37"/>
      <x:c r="W100" s="37"/>
      <x:c r="X100" s="37"/>
      <x:c r="Y100" s="37"/>
      <x:c r="Z100" s="37"/>
      <x:c r="AA100" s="37"/>
      <x:c r="AB100" s="37"/>
      <x:c r="AC100" s="26"/>
      <x:c r="AD100" s="36"/>
      <x:c r="AE100" s="36"/>
      <x:c r="AF100" s="36"/>
      <x:c r="AG100" s="36"/>
      <x:c r="AH100" s="36"/>
      <x:c r="AI100" s="36"/>
      <x:c r="AJ100" s="26"/>
      <x:c r="AK100" s="26"/>
      <x:c r="AL100" s="26"/>
      <x:c r="AM100" s="26"/>
    </x:row>
    <x:row r="101">
      <x:c r="A101" s="26"/>
      <x:c r="B101" s="26"/>
      <x:c r="C101" s="26"/>
      <x:c r="D101" s="26"/>
      <x:c r="E101" s="36"/>
      <x:c r="F101" s="37"/>
      <x:c r="G101" s="38"/>
      <x:c r="H101" s="36"/>
      <x:c r="I101" s="36"/>
      <x:c r="J101" s="36"/>
      <x:c r="K101" s="39"/>
      <x:c r="L101" s="36"/>
      <x:c r="M101" s="36"/>
      <x:c r="N101" s="36"/>
      <x:c r="O101" s="36"/>
      <x:c r="P101" s="36"/>
      <x:c r="Q101" s="36"/>
      <x:c r="R101" s="36"/>
      <x:c r="S101" s="36"/>
      <x:c r="T101" s="36"/>
      <x:c r="U101" s="36"/>
      <x:c r="V101" s="37"/>
      <x:c r="W101" s="37"/>
      <x:c r="X101" s="37"/>
      <x:c r="Y101" s="37"/>
      <x:c r="Z101" s="37"/>
      <x:c r="AA101" s="37"/>
      <x:c r="AB101" s="37"/>
      <x:c r="AC101" s="26"/>
      <x:c r="AD101" s="36"/>
      <x:c r="AE101" s="36"/>
      <x:c r="AF101" s="36"/>
      <x:c r="AG101" s="36"/>
      <x:c r="AH101" s="36"/>
      <x:c r="AI101" s="36"/>
      <x:c r="AJ101" s="26"/>
      <x:c r="AK101" s="26"/>
      <x:c r="AL101" s="26"/>
      <x:c r="AM101" s="26"/>
    </x:row>
    <x:row r="102">
      <x:c r="A102" s="26"/>
      <x:c r="B102" s="26"/>
      <x:c r="C102" s="26"/>
      <x:c r="D102" s="26"/>
      <x:c r="E102" s="36"/>
      <x:c r="F102" s="37"/>
      <x:c r="G102" s="38"/>
      <x:c r="H102" s="36"/>
      <x:c r="I102" s="36"/>
      <x:c r="J102" s="36"/>
      <x:c r="K102" s="39"/>
      <x:c r="L102" s="36"/>
      <x:c r="M102" s="36"/>
      <x:c r="N102" s="36"/>
      <x:c r="O102" s="36"/>
      <x:c r="P102" s="36"/>
      <x:c r="Q102" s="36"/>
      <x:c r="R102" s="36"/>
      <x:c r="S102" s="36"/>
      <x:c r="T102" s="36"/>
      <x:c r="U102" s="36"/>
      <x:c r="V102" s="37"/>
      <x:c r="W102" s="37"/>
      <x:c r="X102" s="37"/>
      <x:c r="Y102" s="37"/>
      <x:c r="Z102" s="37"/>
      <x:c r="AA102" s="37"/>
      <x:c r="AB102" s="37"/>
      <x:c r="AC102" s="26"/>
      <x:c r="AD102" s="36"/>
      <x:c r="AE102" s="36"/>
      <x:c r="AF102" s="36"/>
      <x:c r="AG102" s="36"/>
      <x:c r="AH102" s="36"/>
      <x:c r="AI102" s="36"/>
      <x:c r="AJ102" s="26"/>
      <x:c r="AK102" s="26"/>
      <x:c r="AL102" s="26"/>
      <x:c r="AM102" s="26"/>
    </x:row>
    <x:row r="103">
      <x:c r="A103" s="26"/>
      <x:c r="B103" s="26"/>
      <x:c r="C103" s="26"/>
      <x:c r="D103" s="26"/>
      <x:c r="E103" s="36"/>
      <x:c r="F103" s="37"/>
      <x:c r="G103" s="38"/>
      <x:c r="H103" s="36"/>
      <x:c r="I103" s="36"/>
      <x:c r="J103" s="36"/>
      <x:c r="K103" s="39"/>
      <x:c r="L103" s="36"/>
      <x:c r="M103" s="36"/>
      <x:c r="N103" s="36"/>
      <x:c r="O103" s="36"/>
      <x:c r="P103" s="36"/>
      <x:c r="Q103" s="36"/>
      <x:c r="R103" s="36"/>
      <x:c r="S103" s="36"/>
      <x:c r="T103" s="36"/>
      <x:c r="U103" s="36"/>
      <x:c r="V103" s="37"/>
      <x:c r="W103" s="37"/>
      <x:c r="X103" s="37"/>
      <x:c r="Y103" s="37"/>
      <x:c r="Z103" s="37"/>
      <x:c r="AA103" s="37"/>
      <x:c r="AB103" s="37"/>
      <x:c r="AC103" s="26"/>
      <x:c r="AD103" s="36"/>
      <x:c r="AE103" s="36"/>
      <x:c r="AF103" s="36"/>
      <x:c r="AG103" s="36"/>
      <x:c r="AH103" s="36"/>
      <x:c r="AI103" s="36"/>
      <x:c r="AJ103" s="26"/>
      <x:c r="AK103" s="26"/>
      <x:c r="AL103" s="26"/>
      <x:c r="AM103" s="26"/>
    </x:row>
    <x:row r="104">
      <x:c r="A104" s="26"/>
      <x:c r="B104" s="26"/>
      <x:c r="C104" s="26"/>
      <x:c r="D104" s="26"/>
      <x:c r="E104" s="36"/>
      <x:c r="F104" s="37"/>
      <x:c r="G104" s="38"/>
      <x:c r="H104" s="36"/>
      <x:c r="I104" s="36"/>
      <x:c r="J104" s="36"/>
      <x:c r="K104" s="39"/>
      <x:c r="L104" s="36"/>
      <x:c r="M104" s="36"/>
      <x:c r="N104" s="36"/>
      <x:c r="O104" s="36"/>
      <x:c r="P104" s="36"/>
      <x:c r="Q104" s="36"/>
      <x:c r="R104" s="36"/>
      <x:c r="S104" s="36"/>
      <x:c r="T104" s="36"/>
      <x:c r="U104" s="36"/>
      <x:c r="V104" s="37"/>
      <x:c r="W104" s="37"/>
      <x:c r="X104" s="37"/>
      <x:c r="Y104" s="37"/>
      <x:c r="Z104" s="37"/>
      <x:c r="AA104" s="37"/>
      <x:c r="AB104" s="37"/>
      <x:c r="AC104" s="26"/>
      <x:c r="AD104" s="36"/>
      <x:c r="AE104" s="36"/>
      <x:c r="AF104" s="36"/>
      <x:c r="AG104" s="36"/>
      <x:c r="AH104" s="36"/>
      <x:c r="AI104" s="36"/>
      <x:c r="AJ104" s="26"/>
      <x:c r="AK104" s="26"/>
      <x:c r="AL104" s="26"/>
      <x:c r="AM104" s="26"/>
    </x:row>
    <x:row r="105">
      <x:c r="A105" s="26"/>
      <x:c r="B105" s="26"/>
      <x:c r="C105" s="26"/>
      <x:c r="D105" s="26"/>
      <x:c r="E105" s="36"/>
      <x:c r="F105" s="37"/>
      <x:c r="G105" s="38"/>
      <x:c r="H105" s="36"/>
      <x:c r="I105" s="36"/>
      <x:c r="J105" s="36"/>
      <x:c r="K105" s="39"/>
      <x:c r="L105" s="36"/>
      <x:c r="M105" s="36"/>
      <x:c r="N105" s="36"/>
      <x:c r="O105" s="36"/>
      <x:c r="P105" s="36"/>
      <x:c r="Q105" s="36"/>
      <x:c r="R105" s="36"/>
      <x:c r="S105" s="36"/>
      <x:c r="T105" s="36"/>
      <x:c r="U105" s="36"/>
      <x:c r="V105" s="37"/>
      <x:c r="W105" s="37"/>
      <x:c r="X105" s="37"/>
      <x:c r="Y105" s="37"/>
      <x:c r="Z105" s="37"/>
      <x:c r="AA105" s="37"/>
      <x:c r="AB105" s="37"/>
      <x:c r="AC105" s="26"/>
      <x:c r="AD105" s="36"/>
      <x:c r="AE105" s="36"/>
      <x:c r="AF105" s="36"/>
      <x:c r="AG105" s="36"/>
      <x:c r="AH105" s="36"/>
      <x:c r="AI105" s="36"/>
      <x:c r="AJ105" s="26"/>
      <x:c r="AK105" s="26"/>
      <x:c r="AL105" s="26"/>
      <x:c r="AM105" s="26"/>
    </x:row>
    <x:row r="106">
      <x:c r="A106" s="26"/>
      <x:c r="B106" s="26"/>
      <x:c r="C106" s="26"/>
      <x:c r="D106" s="26"/>
      <x:c r="E106" s="36"/>
      <x:c r="F106" s="37"/>
      <x:c r="G106" s="38"/>
      <x:c r="H106" s="36"/>
      <x:c r="I106" s="36"/>
      <x:c r="J106" s="36"/>
      <x:c r="K106" s="39"/>
      <x:c r="L106" s="36"/>
      <x:c r="M106" s="36"/>
      <x:c r="N106" s="36"/>
      <x:c r="O106" s="36"/>
      <x:c r="P106" s="36"/>
      <x:c r="Q106" s="36"/>
      <x:c r="R106" s="36"/>
      <x:c r="S106" s="36"/>
      <x:c r="T106" s="36"/>
      <x:c r="U106" s="36"/>
      <x:c r="V106" s="37"/>
      <x:c r="W106" s="37"/>
      <x:c r="X106" s="37"/>
      <x:c r="Y106" s="37"/>
      <x:c r="Z106" s="37"/>
      <x:c r="AA106" s="37"/>
      <x:c r="AB106" s="37"/>
      <x:c r="AC106" s="26"/>
      <x:c r="AD106" s="36"/>
      <x:c r="AE106" s="36"/>
      <x:c r="AF106" s="36"/>
      <x:c r="AG106" s="36"/>
      <x:c r="AH106" s="36"/>
      <x:c r="AI106" s="36"/>
      <x:c r="AJ106" s="26"/>
      <x:c r="AK106" s="26"/>
      <x:c r="AL106" s="26"/>
      <x:c r="AM106" s="26"/>
    </x:row>
    <x:row r="107">
      <x:c r="A107" s="26"/>
      <x:c r="B107" s="26"/>
      <x:c r="C107" s="26"/>
      <x:c r="D107" s="26"/>
      <x:c r="E107" s="36"/>
      <x:c r="F107" s="37"/>
      <x:c r="G107" s="38"/>
      <x:c r="H107" s="36"/>
      <x:c r="I107" s="36"/>
      <x:c r="J107" s="36"/>
      <x:c r="K107" s="39"/>
      <x:c r="L107" s="36"/>
      <x:c r="M107" s="36"/>
      <x:c r="N107" s="36"/>
      <x:c r="O107" s="36"/>
      <x:c r="P107" s="36"/>
      <x:c r="Q107" s="36"/>
      <x:c r="R107" s="36"/>
      <x:c r="S107" s="36"/>
      <x:c r="T107" s="36"/>
      <x:c r="U107" s="36"/>
      <x:c r="V107" s="37"/>
      <x:c r="W107" s="37"/>
      <x:c r="X107" s="37"/>
      <x:c r="Y107" s="37"/>
      <x:c r="Z107" s="37"/>
      <x:c r="AA107" s="37"/>
      <x:c r="AB107" s="37"/>
      <x:c r="AC107" s="26"/>
      <x:c r="AD107" s="36"/>
      <x:c r="AE107" s="36"/>
      <x:c r="AF107" s="36"/>
      <x:c r="AG107" s="36"/>
      <x:c r="AH107" s="36"/>
      <x:c r="AI107" s="36"/>
      <x:c r="AJ107" s="26"/>
      <x:c r="AK107" s="26"/>
      <x:c r="AL107" s="26"/>
      <x:c r="AM107" s="26"/>
    </x:row>
    <x:row r="108">
      <x:c r="A108" s="26"/>
      <x:c r="B108" s="26"/>
      <x:c r="C108" s="26"/>
      <x:c r="D108" s="26"/>
      <x:c r="E108" s="36"/>
      <x:c r="F108" s="37"/>
      <x:c r="G108" s="38"/>
      <x:c r="H108" s="36"/>
      <x:c r="I108" s="36"/>
      <x:c r="J108" s="36"/>
      <x:c r="K108" s="39"/>
      <x:c r="L108" s="36"/>
      <x:c r="M108" s="36"/>
      <x:c r="N108" s="36"/>
      <x:c r="O108" s="36"/>
      <x:c r="P108" s="36"/>
      <x:c r="Q108" s="36"/>
      <x:c r="R108" s="36"/>
      <x:c r="S108" s="36"/>
      <x:c r="T108" s="36"/>
      <x:c r="U108" s="36"/>
      <x:c r="V108" s="37"/>
      <x:c r="W108" s="37"/>
      <x:c r="X108" s="37"/>
      <x:c r="Y108" s="37"/>
      <x:c r="Z108" s="37"/>
      <x:c r="AA108" s="37"/>
      <x:c r="AB108" s="37"/>
      <x:c r="AC108" s="26"/>
      <x:c r="AD108" s="36"/>
      <x:c r="AE108" s="36"/>
      <x:c r="AF108" s="36"/>
      <x:c r="AG108" s="36"/>
      <x:c r="AH108" s="36"/>
      <x:c r="AI108" s="36"/>
      <x:c r="AJ108" s="26"/>
      <x:c r="AK108" s="26"/>
      <x:c r="AL108" s="26"/>
      <x:c r="AM108" s="26"/>
    </x:row>
    <x:row r="109">
      <x:c r="A109" s="26"/>
      <x:c r="B109" s="26"/>
      <x:c r="C109" s="26"/>
      <x:c r="D109" s="26"/>
      <x:c r="E109" s="36"/>
      <x:c r="F109" s="37"/>
      <x:c r="G109" s="38"/>
      <x:c r="H109" s="36"/>
      <x:c r="I109" s="36"/>
      <x:c r="J109" s="36"/>
      <x:c r="K109" s="39"/>
      <x:c r="L109" s="36"/>
      <x:c r="M109" s="36"/>
      <x:c r="N109" s="36"/>
      <x:c r="O109" s="36"/>
      <x:c r="P109" s="36"/>
      <x:c r="Q109" s="36"/>
      <x:c r="R109" s="36"/>
      <x:c r="S109" s="36"/>
      <x:c r="T109" s="36"/>
      <x:c r="U109" s="36"/>
      <x:c r="V109" s="37"/>
      <x:c r="W109" s="37"/>
      <x:c r="X109" s="37"/>
      <x:c r="Y109" s="37"/>
      <x:c r="Z109" s="37"/>
      <x:c r="AA109" s="37"/>
      <x:c r="AB109" s="37"/>
      <x:c r="AC109" s="26"/>
      <x:c r="AD109" s="36"/>
      <x:c r="AE109" s="36"/>
      <x:c r="AF109" s="36"/>
      <x:c r="AG109" s="36"/>
      <x:c r="AH109" s="36"/>
      <x:c r="AI109" s="36"/>
      <x:c r="AJ109" s="26"/>
      <x:c r="AK109" s="26"/>
      <x:c r="AL109" s="26"/>
      <x:c r="AM109" s="26"/>
    </x:row>
    <x:row r="110">
      <x:c r="A110" s="26"/>
      <x:c r="B110" s="26"/>
      <x:c r="C110" s="26"/>
      <x:c r="D110" s="26"/>
      <x:c r="E110" s="36"/>
      <x:c r="F110" s="37"/>
      <x:c r="G110" s="38"/>
      <x:c r="H110" s="36"/>
      <x:c r="I110" s="36"/>
      <x:c r="J110" s="36"/>
      <x:c r="K110" s="39"/>
      <x:c r="L110" s="36"/>
      <x:c r="M110" s="36"/>
      <x:c r="N110" s="36"/>
      <x:c r="O110" s="36"/>
      <x:c r="P110" s="36"/>
      <x:c r="Q110" s="36"/>
      <x:c r="R110" s="36"/>
      <x:c r="S110" s="36"/>
      <x:c r="T110" s="36"/>
      <x:c r="U110" s="36"/>
      <x:c r="V110" s="37"/>
      <x:c r="W110" s="37"/>
      <x:c r="X110" s="37"/>
      <x:c r="Y110" s="37"/>
      <x:c r="Z110" s="37"/>
      <x:c r="AA110" s="37"/>
      <x:c r="AB110" s="37"/>
      <x:c r="AC110" s="26"/>
      <x:c r="AD110" s="36"/>
      <x:c r="AE110" s="36"/>
      <x:c r="AF110" s="36"/>
      <x:c r="AG110" s="36"/>
      <x:c r="AH110" s="36"/>
      <x:c r="AI110" s="36"/>
      <x:c r="AJ110" s="26"/>
      <x:c r="AK110" s="26"/>
      <x:c r="AL110" s="26"/>
      <x:c r="AM110" s="26"/>
    </x:row>
    <x:row r="111">
      <x:c r="A111" s="26"/>
      <x:c r="B111" s="26"/>
      <x:c r="C111" s="26"/>
      <x:c r="D111" s="26"/>
      <x:c r="E111" s="36"/>
      <x:c r="F111" s="37"/>
      <x:c r="G111" s="38"/>
      <x:c r="H111" s="36"/>
      <x:c r="I111" s="36"/>
      <x:c r="J111" s="36"/>
      <x:c r="K111" s="39"/>
      <x:c r="L111" s="36"/>
      <x:c r="M111" s="36"/>
      <x:c r="N111" s="36"/>
      <x:c r="O111" s="36"/>
      <x:c r="P111" s="36"/>
      <x:c r="Q111" s="36"/>
      <x:c r="R111" s="36"/>
      <x:c r="S111" s="36"/>
      <x:c r="T111" s="36"/>
      <x:c r="U111" s="36"/>
      <x:c r="V111" s="37"/>
      <x:c r="W111" s="37"/>
      <x:c r="X111" s="37"/>
      <x:c r="Y111" s="37"/>
      <x:c r="Z111" s="37"/>
      <x:c r="AA111" s="37"/>
      <x:c r="AB111" s="37"/>
      <x:c r="AC111" s="26"/>
      <x:c r="AD111" s="36"/>
      <x:c r="AE111" s="36"/>
      <x:c r="AF111" s="36"/>
      <x:c r="AG111" s="36"/>
      <x:c r="AH111" s="36"/>
      <x:c r="AI111" s="36"/>
      <x:c r="AJ111" s="26"/>
      <x:c r="AK111" s="26"/>
      <x:c r="AL111" s="26"/>
      <x:c r="AM111" s="26"/>
    </x:row>
    <x:row r="112">
      <x:c r="A112" s="26"/>
      <x:c r="B112" s="26"/>
      <x:c r="C112" s="26"/>
      <x:c r="D112" s="26"/>
      <x:c r="E112" s="36"/>
      <x:c r="F112" s="37"/>
      <x:c r="G112" s="38"/>
      <x:c r="H112" s="36"/>
      <x:c r="I112" s="36"/>
      <x:c r="J112" s="36"/>
      <x:c r="K112" s="39"/>
      <x:c r="L112" s="36"/>
      <x:c r="M112" s="36"/>
      <x:c r="N112" s="36"/>
      <x:c r="O112" s="36"/>
      <x:c r="P112" s="36"/>
      <x:c r="Q112" s="36"/>
      <x:c r="R112" s="36"/>
      <x:c r="S112" s="36"/>
      <x:c r="T112" s="36"/>
      <x:c r="U112" s="36"/>
      <x:c r="V112" s="37"/>
      <x:c r="W112" s="37"/>
      <x:c r="X112" s="37"/>
      <x:c r="Y112" s="37"/>
      <x:c r="Z112" s="37"/>
      <x:c r="AA112" s="37"/>
      <x:c r="AB112" s="37"/>
      <x:c r="AC112" s="26"/>
      <x:c r="AD112" s="36"/>
      <x:c r="AE112" s="36"/>
      <x:c r="AF112" s="36"/>
      <x:c r="AG112" s="36"/>
      <x:c r="AH112" s="36"/>
      <x:c r="AI112" s="36"/>
      <x:c r="AJ112" s="26"/>
      <x:c r="AK112" s="26"/>
      <x:c r="AL112" s="26"/>
      <x:c r="AM112" s="26"/>
    </x:row>
    <x:row r="113">
      <x:c r="A113" s="26"/>
      <x:c r="B113" s="26"/>
      <x:c r="C113" s="26"/>
      <x:c r="D113" s="26"/>
      <x:c r="E113" s="36"/>
      <x:c r="F113" s="37"/>
      <x:c r="G113" s="38"/>
      <x:c r="H113" s="36"/>
      <x:c r="I113" s="36"/>
      <x:c r="J113" s="36"/>
      <x:c r="K113" s="39"/>
      <x:c r="L113" s="36"/>
      <x:c r="M113" s="36"/>
      <x:c r="N113" s="36"/>
      <x:c r="O113" s="36"/>
      <x:c r="P113" s="36"/>
      <x:c r="Q113" s="36"/>
      <x:c r="R113" s="36"/>
      <x:c r="S113" s="36"/>
      <x:c r="T113" s="36"/>
      <x:c r="U113" s="36"/>
      <x:c r="V113" s="37"/>
      <x:c r="W113" s="37"/>
      <x:c r="X113" s="37"/>
      <x:c r="Y113" s="37"/>
      <x:c r="Z113" s="37"/>
      <x:c r="AA113" s="37"/>
      <x:c r="AB113" s="37"/>
      <x:c r="AC113" s="26"/>
      <x:c r="AD113" s="36"/>
      <x:c r="AE113" s="36"/>
      <x:c r="AF113" s="36"/>
      <x:c r="AG113" s="36"/>
      <x:c r="AH113" s="36"/>
      <x:c r="AI113" s="36"/>
      <x:c r="AJ113" s="26"/>
      <x:c r="AK113" s="26"/>
      <x:c r="AL113" s="26"/>
      <x:c r="AM113" s="26"/>
    </x:row>
    <x:row r="114">
      <x:c r="A114" s="26"/>
      <x:c r="B114" s="26"/>
      <x:c r="C114" s="26"/>
      <x:c r="D114" s="26"/>
      <x:c r="E114" s="36"/>
      <x:c r="F114" s="37"/>
      <x:c r="G114" s="38"/>
      <x:c r="H114" s="36"/>
      <x:c r="I114" s="36"/>
      <x:c r="J114" s="36"/>
      <x:c r="K114" s="39"/>
      <x:c r="L114" s="36"/>
      <x:c r="M114" s="36"/>
      <x:c r="N114" s="36"/>
      <x:c r="O114" s="36"/>
      <x:c r="P114" s="36"/>
      <x:c r="Q114" s="36"/>
      <x:c r="R114" s="36"/>
      <x:c r="S114" s="36"/>
      <x:c r="T114" s="36"/>
      <x:c r="U114" s="36"/>
      <x:c r="V114" s="37"/>
      <x:c r="W114" s="37"/>
      <x:c r="X114" s="37"/>
      <x:c r="Y114" s="37"/>
      <x:c r="Z114" s="37"/>
      <x:c r="AA114" s="37"/>
      <x:c r="AB114" s="37"/>
      <x:c r="AC114" s="26"/>
      <x:c r="AD114" s="36"/>
      <x:c r="AE114" s="36"/>
      <x:c r="AF114" s="36"/>
      <x:c r="AG114" s="36"/>
      <x:c r="AH114" s="36"/>
      <x:c r="AI114" s="36"/>
      <x:c r="AJ114" s="26"/>
      <x:c r="AK114" s="26"/>
      <x:c r="AL114" s="26"/>
      <x:c r="AM114" s="26"/>
    </x:row>
    <x:row r="115">
      <x:c r="A115" s="26"/>
      <x:c r="B115" s="26"/>
      <x:c r="C115" s="26"/>
      <x:c r="D115" s="26"/>
      <x:c r="E115" s="36"/>
      <x:c r="F115" s="37"/>
      <x:c r="G115" s="38"/>
      <x:c r="H115" s="36"/>
      <x:c r="I115" s="36"/>
      <x:c r="J115" s="36"/>
      <x:c r="K115" s="39"/>
      <x:c r="L115" s="36"/>
      <x:c r="M115" s="36"/>
      <x:c r="N115" s="36"/>
      <x:c r="O115" s="36"/>
      <x:c r="P115" s="36"/>
      <x:c r="Q115" s="36"/>
      <x:c r="R115" s="36"/>
      <x:c r="S115" s="36"/>
      <x:c r="T115" s="36"/>
      <x:c r="U115" s="36"/>
      <x:c r="V115" s="37"/>
      <x:c r="W115" s="37"/>
      <x:c r="X115" s="37"/>
      <x:c r="Y115" s="37"/>
      <x:c r="Z115" s="37"/>
      <x:c r="AA115" s="37"/>
      <x:c r="AB115" s="37"/>
      <x:c r="AC115" s="26"/>
      <x:c r="AD115" s="36"/>
      <x:c r="AE115" s="36"/>
      <x:c r="AF115" s="36"/>
      <x:c r="AG115" s="36"/>
      <x:c r="AH115" s="36"/>
      <x:c r="AI115" s="36"/>
      <x:c r="AJ115" s="26"/>
      <x:c r="AK115" s="26"/>
      <x:c r="AL115" s="26"/>
      <x:c r="AM115" s="26"/>
    </x:row>
    <x:row r="116">
      <x:c r="A116" s="26"/>
      <x:c r="B116" s="26"/>
      <x:c r="C116" s="26"/>
      <x:c r="D116" s="26"/>
      <x:c r="E116" s="36"/>
      <x:c r="F116" s="37"/>
      <x:c r="G116" s="38"/>
      <x:c r="H116" s="36"/>
      <x:c r="I116" s="36"/>
      <x:c r="J116" s="36"/>
      <x:c r="K116" s="39"/>
      <x:c r="L116" s="36"/>
      <x:c r="M116" s="36"/>
      <x:c r="N116" s="36"/>
      <x:c r="O116" s="36"/>
      <x:c r="P116" s="36"/>
      <x:c r="Q116" s="36"/>
      <x:c r="R116" s="36"/>
      <x:c r="S116" s="36"/>
      <x:c r="T116" s="36"/>
      <x:c r="U116" s="36"/>
      <x:c r="V116" s="37"/>
      <x:c r="W116" s="37"/>
      <x:c r="X116" s="37"/>
      <x:c r="Y116" s="37"/>
      <x:c r="Z116" s="37"/>
      <x:c r="AA116" s="37"/>
      <x:c r="AB116" s="37"/>
      <x:c r="AC116" s="26"/>
      <x:c r="AD116" s="36"/>
      <x:c r="AE116" s="36"/>
      <x:c r="AF116" s="36"/>
      <x:c r="AG116" s="36"/>
      <x:c r="AH116" s="36"/>
      <x:c r="AI116" s="36"/>
      <x:c r="AJ116" s="26"/>
      <x:c r="AK116" s="26"/>
      <x:c r="AL116" s="26"/>
      <x:c r="AM116" s="26"/>
    </x:row>
    <x:row r="117">
      <x:c r="A117" s="26"/>
      <x:c r="B117" s="26"/>
      <x:c r="C117" s="26"/>
      <x:c r="D117" s="26"/>
      <x:c r="E117" s="36"/>
      <x:c r="F117" s="37"/>
      <x:c r="G117" s="38"/>
      <x:c r="H117" s="36"/>
      <x:c r="I117" s="36"/>
      <x:c r="J117" s="36"/>
      <x:c r="K117" s="39"/>
      <x:c r="L117" s="36"/>
      <x:c r="M117" s="36"/>
      <x:c r="N117" s="36"/>
      <x:c r="O117" s="36"/>
      <x:c r="P117" s="36"/>
      <x:c r="Q117" s="36"/>
      <x:c r="R117" s="36"/>
      <x:c r="S117" s="36"/>
      <x:c r="T117" s="36"/>
      <x:c r="U117" s="36"/>
      <x:c r="V117" s="37"/>
      <x:c r="W117" s="37"/>
      <x:c r="X117" s="37"/>
      <x:c r="Y117" s="37"/>
      <x:c r="Z117" s="37"/>
      <x:c r="AA117" s="37"/>
      <x:c r="AB117" s="37"/>
      <x:c r="AC117" s="26"/>
      <x:c r="AD117" s="36"/>
      <x:c r="AE117" s="36"/>
      <x:c r="AF117" s="36"/>
      <x:c r="AG117" s="36"/>
      <x:c r="AH117" s="36"/>
      <x:c r="AI117" s="36"/>
      <x:c r="AJ117" s="26"/>
      <x:c r="AK117" s="26"/>
      <x:c r="AL117" s="26"/>
      <x:c r="AM117" s="26"/>
    </x:row>
    <x:row r="118">
      <x:c r="A118" s="26"/>
      <x:c r="B118" s="26"/>
      <x:c r="C118" s="26"/>
      <x:c r="D118" s="26"/>
      <x:c r="E118" s="36"/>
      <x:c r="F118" s="37"/>
      <x:c r="G118" s="38"/>
      <x:c r="H118" s="36"/>
      <x:c r="I118" s="36"/>
      <x:c r="J118" s="36"/>
      <x:c r="K118" s="39"/>
      <x:c r="L118" s="36"/>
      <x:c r="M118" s="36"/>
      <x:c r="N118" s="36"/>
      <x:c r="O118" s="36"/>
      <x:c r="P118" s="36"/>
      <x:c r="Q118" s="36"/>
      <x:c r="R118" s="36"/>
      <x:c r="S118" s="36"/>
      <x:c r="T118" s="36"/>
      <x:c r="U118" s="36"/>
      <x:c r="V118" s="37"/>
      <x:c r="W118" s="37"/>
      <x:c r="X118" s="37"/>
      <x:c r="Y118" s="37"/>
      <x:c r="Z118" s="37"/>
      <x:c r="AA118" s="37"/>
      <x:c r="AB118" s="37"/>
      <x:c r="AC118" s="26"/>
      <x:c r="AD118" s="36"/>
      <x:c r="AE118" s="36"/>
      <x:c r="AF118" s="36"/>
      <x:c r="AG118" s="36"/>
      <x:c r="AH118" s="36"/>
      <x:c r="AI118" s="36"/>
      <x:c r="AJ118" s="26"/>
      <x:c r="AK118" s="26"/>
      <x:c r="AL118" s="26"/>
      <x:c r="AM118" s="26"/>
    </x:row>
    <x:row r="119">
      <x:c r="A119" s="26"/>
      <x:c r="B119" s="26"/>
      <x:c r="C119" s="26"/>
      <x:c r="D119" s="26"/>
      <x:c r="E119" s="36"/>
      <x:c r="F119" s="37"/>
      <x:c r="G119" s="38"/>
      <x:c r="H119" s="36"/>
      <x:c r="I119" s="36"/>
      <x:c r="J119" s="36"/>
      <x:c r="K119" s="39"/>
      <x:c r="L119" s="36"/>
      <x:c r="M119" s="36"/>
      <x:c r="N119" s="36"/>
      <x:c r="O119" s="36"/>
      <x:c r="P119" s="36"/>
      <x:c r="Q119" s="36"/>
      <x:c r="R119" s="36"/>
      <x:c r="S119" s="36"/>
      <x:c r="T119" s="36"/>
      <x:c r="U119" s="36"/>
      <x:c r="V119" s="37"/>
      <x:c r="W119" s="37"/>
      <x:c r="X119" s="37"/>
      <x:c r="Y119" s="37"/>
      <x:c r="Z119" s="37"/>
      <x:c r="AA119" s="37"/>
      <x:c r="AB119" s="37"/>
      <x:c r="AC119" s="26"/>
      <x:c r="AD119" s="36"/>
      <x:c r="AE119" s="36"/>
      <x:c r="AF119" s="36"/>
      <x:c r="AG119" s="36"/>
      <x:c r="AH119" s="36"/>
      <x:c r="AI119" s="36"/>
      <x:c r="AJ119" s="26"/>
      <x:c r="AK119" s="26"/>
      <x:c r="AL119" s="26"/>
      <x:c r="AM119" s="26"/>
    </x:row>
    <x:row r="120">
      <x:c r="A120" s="26"/>
      <x:c r="B120" s="26"/>
      <x:c r="C120" s="26"/>
      <x:c r="D120" s="26"/>
      <x:c r="E120" s="36"/>
      <x:c r="F120" s="37"/>
      <x:c r="G120" s="38"/>
      <x:c r="H120" s="36"/>
      <x:c r="I120" s="36"/>
      <x:c r="J120" s="36"/>
      <x:c r="K120" s="39"/>
      <x:c r="L120" s="36"/>
      <x:c r="M120" s="36"/>
      <x:c r="N120" s="36"/>
      <x:c r="O120" s="36"/>
      <x:c r="P120" s="36"/>
      <x:c r="Q120" s="36"/>
      <x:c r="R120" s="36"/>
      <x:c r="S120" s="36"/>
      <x:c r="T120" s="36"/>
      <x:c r="U120" s="36"/>
      <x:c r="V120" s="37"/>
      <x:c r="W120" s="37"/>
      <x:c r="X120" s="37"/>
      <x:c r="Y120" s="37"/>
      <x:c r="Z120" s="37"/>
      <x:c r="AA120" s="37"/>
      <x:c r="AB120" s="37"/>
      <x:c r="AC120" s="26"/>
      <x:c r="AD120" s="36"/>
      <x:c r="AE120" s="36"/>
      <x:c r="AF120" s="36"/>
      <x:c r="AG120" s="36"/>
      <x:c r="AH120" s="36"/>
      <x:c r="AI120" s="36"/>
      <x:c r="AJ120" s="26"/>
      <x:c r="AK120" s="26"/>
      <x:c r="AL120" s="26"/>
      <x:c r="AM120" s="26"/>
    </x:row>
    <x:row r="121">
      <x:c r="A121" s="26"/>
      <x:c r="B121" s="26"/>
      <x:c r="C121" s="26"/>
      <x:c r="D121" s="26"/>
      <x:c r="E121" s="36"/>
      <x:c r="F121" s="37"/>
      <x:c r="G121" s="38"/>
      <x:c r="H121" s="36"/>
      <x:c r="I121" s="36"/>
      <x:c r="J121" s="36"/>
      <x:c r="K121" s="39"/>
      <x:c r="L121" s="36"/>
      <x:c r="M121" s="36"/>
      <x:c r="N121" s="36"/>
      <x:c r="O121" s="36"/>
      <x:c r="P121" s="36"/>
      <x:c r="Q121" s="36"/>
      <x:c r="R121" s="36"/>
      <x:c r="S121" s="36"/>
      <x:c r="T121" s="36"/>
      <x:c r="U121" s="36"/>
      <x:c r="V121" s="37"/>
      <x:c r="W121" s="37"/>
      <x:c r="X121" s="37"/>
      <x:c r="Y121" s="37"/>
      <x:c r="Z121" s="37"/>
      <x:c r="AA121" s="37"/>
      <x:c r="AB121" s="37"/>
      <x:c r="AC121" s="26"/>
      <x:c r="AD121" s="36"/>
      <x:c r="AE121" s="36"/>
      <x:c r="AF121" s="36"/>
      <x:c r="AG121" s="36"/>
      <x:c r="AH121" s="36"/>
      <x:c r="AI121" s="36"/>
      <x:c r="AJ121" s="26"/>
      <x:c r="AK121" s="26"/>
      <x:c r="AL121" s="26"/>
      <x:c r="AM121" s="26"/>
    </x:row>
    <x:row r="122">
      <x:c r="A122" s="26"/>
      <x:c r="B122" s="26"/>
      <x:c r="C122" s="26"/>
      <x:c r="D122" s="26"/>
      <x:c r="E122" s="36"/>
      <x:c r="F122" s="37"/>
      <x:c r="G122" s="38"/>
      <x:c r="H122" s="36"/>
      <x:c r="I122" s="36"/>
      <x:c r="J122" s="36"/>
      <x:c r="K122" s="39"/>
      <x:c r="L122" s="36"/>
      <x:c r="M122" s="36"/>
      <x:c r="N122" s="36"/>
      <x:c r="O122" s="36"/>
      <x:c r="P122" s="36"/>
      <x:c r="Q122" s="36"/>
      <x:c r="R122" s="36"/>
      <x:c r="S122" s="36"/>
      <x:c r="T122" s="36"/>
      <x:c r="U122" s="36"/>
      <x:c r="V122" s="37"/>
      <x:c r="W122" s="37"/>
      <x:c r="X122" s="37"/>
      <x:c r="Y122" s="37"/>
      <x:c r="Z122" s="37"/>
      <x:c r="AA122" s="37"/>
      <x:c r="AB122" s="37"/>
      <x:c r="AC122" s="26"/>
      <x:c r="AD122" s="36"/>
      <x:c r="AE122" s="36"/>
      <x:c r="AF122" s="36"/>
      <x:c r="AG122" s="36"/>
      <x:c r="AH122" s="36"/>
      <x:c r="AI122" s="36"/>
      <x:c r="AJ122" s="26"/>
      <x:c r="AK122" s="26"/>
      <x:c r="AL122" s="26"/>
      <x:c r="AM122" s="26"/>
    </x:row>
    <x:row r="123">
      <x:c r="A123" s="26"/>
      <x:c r="B123" s="26"/>
      <x:c r="C123" s="26"/>
      <x:c r="D123" s="26"/>
      <x:c r="E123" s="36"/>
      <x:c r="F123" s="37"/>
      <x:c r="G123" s="38"/>
      <x:c r="H123" s="36"/>
      <x:c r="I123" s="36"/>
      <x:c r="J123" s="36"/>
      <x:c r="K123" s="39"/>
      <x:c r="L123" s="36"/>
      <x:c r="M123" s="36"/>
      <x:c r="N123" s="36"/>
      <x:c r="O123" s="36"/>
      <x:c r="P123" s="36"/>
      <x:c r="Q123" s="36"/>
      <x:c r="R123" s="36"/>
      <x:c r="S123" s="36"/>
      <x:c r="T123" s="36"/>
      <x:c r="U123" s="36"/>
      <x:c r="V123" s="37"/>
      <x:c r="W123" s="37"/>
      <x:c r="X123" s="37"/>
      <x:c r="Y123" s="37"/>
      <x:c r="Z123" s="37"/>
      <x:c r="AA123" s="37"/>
      <x:c r="AB123" s="37"/>
      <x:c r="AC123" s="26"/>
      <x:c r="AD123" s="36"/>
      <x:c r="AE123" s="36"/>
      <x:c r="AF123" s="36"/>
      <x:c r="AG123" s="36"/>
      <x:c r="AH123" s="36"/>
      <x:c r="AI123" s="36"/>
      <x:c r="AJ123" s="26"/>
      <x:c r="AK123" s="26"/>
      <x:c r="AL123" s="26"/>
      <x:c r="AM123" s="26"/>
    </x:row>
    <x:row r="124">
      <x:c r="A124" s="26"/>
      <x:c r="B124" s="26"/>
      <x:c r="C124" s="26"/>
      <x:c r="D124" s="26"/>
      <x:c r="E124" s="36"/>
      <x:c r="F124" s="37"/>
      <x:c r="G124" s="38"/>
      <x:c r="H124" s="36"/>
      <x:c r="I124" s="36"/>
      <x:c r="J124" s="36"/>
      <x:c r="K124" s="39"/>
      <x:c r="L124" s="36"/>
      <x:c r="M124" s="36"/>
      <x:c r="N124" s="36"/>
      <x:c r="O124" s="36"/>
      <x:c r="P124" s="36"/>
      <x:c r="Q124" s="36"/>
      <x:c r="R124" s="36"/>
      <x:c r="S124" s="36"/>
      <x:c r="T124" s="36"/>
      <x:c r="U124" s="36"/>
      <x:c r="V124" s="37"/>
      <x:c r="W124" s="37"/>
      <x:c r="X124" s="37"/>
      <x:c r="Y124" s="37"/>
      <x:c r="Z124" s="37"/>
      <x:c r="AA124" s="37"/>
      <x:c r="AB124" s="37"/>
      <x:c r="AC124" s="26"/>
      <x:c r="AD124" s="36"/>
      <x:c r="AE124" s="36"/>
      <x:c r="AF124" s="36"/>
      <x:c r="AG124" s="36"/>
      <x:c r="AH124" s="36"/>
      <x:c r="AI124" s="36"/>
      <x:c r="AJ124" s="26"/>
      <x:c r="AK124" s="26"/>
      <x:c r="AL124" s="26"/>
      <x:c r="AM124" s="26"/>
    </x:row>
    <x:row r="125">
      <x:c r="A125" s="26"/>
      <x:c r="B125" s="26"/>
      <x:c r="C125" s="26"/>
      <x:c r="D125" s="26"/>
      <x:c r="E125" s="36"/>
      <x:c r="F125" s="37"/>
      <x:c r="G125" s="38"/>
      <x:c r="H125" s="36"/>
      <x:c r="I125" s="36"/>
      <x:c r="J125" s="36"/>
      <x:c r="K125" s="39"/>
      <x:c r="L125" s="36"/>
      <x:c r="M125" s="36"/>
      <x:c r="N125" s="36"/>
      <x:c r="O125" s="36"/>
      <x:c r="P125" s="36"/>
      <x:c r="Q125" s="36"/>
      <x:c r="R125" s="36"/>
      <x:c r="S125" s="36"/>
      <x:c r="T125" s="36"/>
      <x:c r="U125" s="36"/>
      <x:c r="V125" s="37"/>
      <x:c r="W125" s="37"/>
      <x:c r="X125" s="37"/>
      <x:c r="Y125" s="37"/>
      <x:c r="Z125" s="37"/>
      <x:c r="AA125" s="37"/>
      <x:c r="AB125" s="37"/>
      <x:c r="AC125" s="26"/>
      <x:c r="AD125" s="36"/>
      <x:c r="AE125" s="36"/>
      <x:c r="AF125" s="36"/>
      <x:c r="AG125" s="36"/>
      <x:c r="AH125" s="36"/>
      <x:c r="AI125" s="36"/>
      <x:c r="AJ125" s="26"/>
      <x:c r="AK125" s="26"/>
      <x:c r="AL125" s="26"/>
      <x:c r="AM125" s="26"/>
    </x:row>
    <x:row r="126">
      <x:c r="A126" s="26"/>
      <x:c r="B126" s="26"/>
      <x:c r="C126" s="26"/>
      <x:c r="D126" s="26"/>
      <x:c r="E126" s="36"/>
      <x:c r="F126" s="37"/>
      <x:c r="G126" s="38"/>
      <x:c r="H126" s="36"/>
      <x:c r="I126" s="36"/>
      <x:c r="J126" s="36"/>
      <x:c r="K126" s="39"/>
      <x:c r="L126" s="36"/>
      <x:c r="M126" s="36"/>
      <x:c r="N126" s="36"/>
      <x:c r="O126" s="36"/>
      <x:c r="P126" s="36"/>
      <x:c r="Q126" s="36"/>
      <x:c r="R126" s="36"/>
      <x:c r="S126" s="36"/>
      <x:c r="T126" s="36"/>
      <x:c r="U126" s="36"/>
      <x:c r="V126" s="37"/>
      <x:c r="W126" s="37"/>
      <x:c r="X126" s="37"/>
      <x:c r="Y126" s="37"/>
      <x:c r="Z126" s="37"/>
      <x:c r="AA126" s="37"/>
      <x:c r="AB126" s="37"/>
      <x:c r="AC126" s="26"/>
      <x:c r="AD126" s="36"/>
      <x:c r="AE126" s="36"/>
      <x:c r="AF126" s="36"/>
      <x:c r="AG126" s="36"/>
      <x:c r="AH126" s="36"/>
      <x:c r="AI126" s="36"/>
      <x:c r="AJ126" s="26"/>
      <x:c r="AK126" s="26"/>
      <x:c r="AL126" s="26"/>
      <x:c r="AM126" s="26"/>
    </x:row>
    <x:row r="127">
      <x:c r="A127" s="26"/>
      <x:c r="B127" s="26"/>
      <x:c r="C127" s="26"/>
      <x:c r="D127" s="26"/>
      <x:c r="E127" s="36"/>
      <x:c r="F127" s="37"/>
      <x:c r="G127" s="38"/>
      <x:c r="H127" s="36"/>
      <x:c r="I127" s="36"/>
      <x:c r="J127" s="36"/>
      <x:c r="K127" s="39"/>
      <x:c r="L127" s="36"/>
      <x:c r="M127" s="36"/>
      <x:c r="N127" s="36"/>
      <x:c r="O127" s="36"/>
      <x:c r="P127" s="36"/>
      <x:c r="Q127" s="36"/>
      <x:c r="R127" s="36"/>
      <x:c r="S127" s="36"/>
      <x:c r="T127" s="36"/>
      <x:c r="U127" s="36"/>
      <x:c r="V127" s="37"/>
      <x:c r="W127" s="37"/>
      <x:c r="X127" s="37"/>
      <x:c r="Y127" s="37"/>
      <x:c r="Z127" s="37"/>
      <x:c r="AA127" s="37"/>
      <x:c r="AB127" s="37"/>
      <x:c r="AC127" s="26"/>
      <x:c r="AD127" s="36"/>
      <x:c r="AE127" s="36"/>
      <x:c r="AF127" s="36"/>
      <x:c r="AG127" s="36"/>
      <x:c r="AH127" s="36"/>
      <x:c r="AI127" s="36"/>
      <x:c r="AJ127" s="26"/>
      <x:c r="AK127" s="26"/>
      <x:c r="AL127" s="26"/>
      <x:c r="AM127" s="26"/>
    </x:row>
    <x:row r="128">
      <x:c r="A128" s="26"/>
      <x:c r="B128" s="26"/>
      <x:c r="C128" s="26"/>
      <x:c r="D128" s="26"/>
      <x:c r="E128" s="36"/>
      <x:c r="F128" s="37"/>
      <x:c r="G128" s="38"/>
      <x:c r="H128" s="36"/>
      <x:c r="I128" s="36"/>
      <x:c r="J128" s="36"/>
      <x:c r="K128" s="39"/>
      <x:c r="L128" s="36"/>
      <x:c r="M128" s="36"/>
      <x:c r="N128" s="36"/>
      <x:c r="O128" s="36"/>
      <x:c r="P128" s="36"/>
      <x:c r="Q128" s="36"/>
      <x:c r="R128" s="36"/>
      <x:c r="S128" s="36"/>
      <x:c r="T128" s="36"/>
      <x:c r="U128" s="36"/>
      <x:c r="V128" s="37"/>
      <x:c r="W128" s="37"/>
      <x:c r="X128" s="37"/>
      <x:c r="Y128" s="37"/>
      <x:c r="Z128" s="37"/>
      <x:c r="AA128" s="37"/>
      <x:c r="AB128" s="37"/>
      <x:c r="AC128" s="26"/>
      <x:c r="AD128" s="36"/>
      <x:c r="AE128" s="36"/>
      <x:c r="AF128" s="36"/>
      <x:c r="AG128" s="36"/>
      <x:c r="AH128" s="36"/>
      <x:c r="AI128" s="36"/>
      <x:c r="AJ128" s="26"/>
      <x:c r="AK128" s="26"/>
      <x:c r="AL128" s="26"/>
      <x:c r="AM128" s="26"/>
    </x:row>
    <x:row r="129">
      <x:c r="A129" s="26"/>
      <x:c r="B129" s="26"/>
      <x:c r="C129" s="26"/>
      <x:c r="D129" s="26"/>
      <x:c r="E129" s="36"/>
      <x:c r="F129" s="37"/>
      <x:c r="G129" s="38"/>
      <x:c r="H129" s="36"/>
      <x:c r="I129" s="36"/>
      <x:c r="J129" s="36"/>
      <x:c r="K129" s="39"/>
      <x:c r="L129" s="36"/>
      <x:c r="M129" s="36"/>
      <x:c r="N129" s="36"/>
      <x:c r="O129" s="36"/>
      <x:c r="P129" s="36"/>
      <x:c r="Q129" s="36"/>
      <x:c r="R129" s="36"/>
      <x:c r="S129" s="36"/>
      <x:c r="T129" s="36"/>
      <x:c r="U129" s="36"/>
      <x:c r="V129" s="37"/>
      <x:c r="W129" s="37"/>
      <x:c r="X129" s="37"/>
      <x:c r="Y129" s="37"/>
      <x:c r="Z129" s="37"/>
      <x:c r="AA129" s="37"/>
      <x:c r="AB129" s="37"/>
      <x:c r="AC129" s="26"/>
      <x:c r="AD129" s="36"/>
      <x:c r="AE129" s="36"/>
      <x:c r="AF129" s="36"/>
      <x:c r="AG129" s="36"/>
      <x:c r="AH129" s="36"/>
      <x:c r="AI129" s="36"/>
      <x:c r="AJ129" s="26"/>
      <x:c r="AK129" s="26"/>
      <x:c r="AL129" s="26"/>
      <x:c r="AM129" s="26"/>
    </x:row>
    <x:row r="130">
      <x:c r="A130" s="26"/>
      <x:c r="B130" s="26"/>
      <x:c r="C130" s="26"/>
      <x:c r="D130" s="26"/>
      <x:c r="E130" s="36"/>
      <x:c r="F130" s="37"/>
      <x:c r="G130" s="38"/>
      <x:c r="H130" s="36"/>
      <x:c r="I130" s="36"/>
      <x:c r="J130" s="36"/>
      <x:c r="K130" s="39"/>
      <x:c r="L130" s="36"/>
      <x:c r="M130" s="36"/>
      <x:c r="N130" s="36"/>
      <x:c r="O130" s="36"/>
      <x:c r="P130" s="36"/>
      <x:c r="Q130" s="36"/>
      <x:c r="R130" s="36"/>
      <x:c r="S130" s="36"/>
      <x:c r="T130" s="36"/>
      <x:c r="U130" s="36"/>
      <x:c r="V130" s="37"/>
      <x:c r="W130" s="37"/>
      <x:c r="X130" s="37"/>
      <x:c r="Y130" s="37"/>
      <x:c r="Z130" s="37"/>
      <x:c r="AA130" s="37"/>
      <x:c r="AB130" s="37"/>
      <x:c r="AC130" s="26"/>
      <x:c r="AD130" s="36"/>
      <x:c r="AE130" s="36"/>
      <x:c r="AF130" s="36"/>
      <x:c r="AG130" s="36"/>
      <x:c r="AH130" s="36"/>
      <x:c r="AI130" s="36"/>
      <x:c r="AJ130" s="26"/>
      <x:c r="AK130" s="26"/>
      <x:c r="AL130" s="26"/>
      <x:c r="AM130" s="26"/>
    </x:row>
    <x:row r="131">
      <x:c r="A131" s="26"/>
      <x:c r="B131" s="26"/>
      <x:c r="C131" s="26"/>
      <x:c r="D131" s="26"/>
      <x:c r="E131" s="36"/>
      <x:c r="F131" s="37"/>
      <x:c r="G131" s="38"/>
      <x:c r="H131" s="36"/>
      <x:c r="I131" s="36"/>
      <x:c r="J131" s="36"/>
      <x:c r="K131" s="39"/>
      <x:c r="L131" s="36"/>
      <x:c r="M131" s="36"/>
      <x:c r="N131" s="36"/>
      <x:c r="O131" s="36"/>
      <x:c r="P131" s="36"/>
      <x:c r="Q131" s="36"/>
      <x:c r="R131" s="36"/>
      <x:c r="S131" s="36"/>
      <x:c r="T131" s="36"/>
      <x:c r="U131" s="36"/>
      <x:c r="V131" s="37"/>
      <x:c r="W131" s="37"/>
      <x:c r="X131" s="37"/>
      <x:c r="Y131" s="37"/>
      <x:c r="Z131" s="37"/>
      <x:c r="AA131" s="37"/>
      <x:c r="AB131" s="37"/>
      <x:c r="AC131" s="26"/>
      <x:c r="AD131" s="36"/>
      <x:c r="AE131" s="36"/>
      <x:c r="AF131" s="36"/>
      <x:c r="AG131" s="36"/>
      <x:c r="AH131" s="36"/>
      <x:c r="AI131" s="36"/>
      <x:c r="AJ131" s="26"/>
      <x:c r="AK131" s="26"/>
      <x:c r="AL131" s="26"/>
      <x:c r="AM131" s="26"/>
    </x:row>
    <x:row r="132">
      <x:c r="A132" s="26"/>
      <x:c r="B132" s="26"/>
      <x:c r="C132" s="26"/>
      <x:c r="D132" s="26"/>
      <x:c r="E132" s="36"/>
      <x:c r="F132" s="37"/>
      <x:c r="G132" s="38"/>
      <x:c r="H132" s="36"/>
      <x:c r="I132" s="36"/>
      <x:c r="J132" s="36"/>
      <x:c r="K132" s="39"/>
      <x:c r="L132" s="36"/>
      <x:c r="M132" s="36"/>
      <x:c r="N132" s="36"/>
      <x:c r="O132" s="36"/>
      <x:c r="P132" s="36"/>
      <x:c r="Q132" s="36"/>
      <x:c r="R132" s="36"/>
      <x:c r="S132" s="36"/>
      <x:c r="T132" s="36"/>
      <x:c r="U132" s="36"/>
      <x:c r="V132" s="37"/>
      <x:c r="W132" s="37"/>
      <x:c r="X132" s="37"/>
      <x:c r="Y132" s="37"/>
      <x:c r="Z132" s="37"/>
      <x:c r="AA132" s="37"/>
      <x:c r="AB132" s="37"/>
      <x:c r="AC132" s="26"/>
      <x:c r="AD132" s="36"/>
      <x:c r="AE132" s="36"/>
      <x:c r="AF132" s="36"/>
      <x:c r="AG132" s="36"/>
      <x:c r="AH132" s="36"/>
      <x:c r="AI132" s="36"/>
      <x:c r="AJ132" s="26"/>
      <x:c r="AK132" s="26"/>
      <x:c r="AL132" s="26"/>
      <x:c r="AM132" s="26"/>
    </x:row>
    <x:row r="133">
      <x:c r="A133" s="26"/>
      <x:c r="B133" s="26"/>
      <x:c r="C133" s="26"/>
      <x:c r="D133" s="26"/>
      <x:c r="E133" s="36"/>
      <x:c r="F133" s="37"/>
      <x:c r="G133" s="38"/>
      <x:c r="H133" s="36"/>
      <x:c r="I133" s="36"/>
      <x:c r="J133" s="36"/>
      <x:c r="K133" s="39"/>
      <x:c r="L133" s="36"/>
      <x:c r="M133" s="36"/>
      <x:c r="N133" s="36"/>
      <x:c r="O133" s="36"/>
      <x:c r="P133" s="36"/>
      <x:c r="Q133" s="36"/>
      <x:c r="R133" s="36"/>
      <x:c r="S133" s="36"/>
      <x:c r="T133" s="36"/>
      <x:c r="U133" s="36"/>
      <x:c r="V133" s="37"/>
      <x:c r="W133" s="37"/>
      <x:c r="X133" s="37"/>
      <x:c r="Y133" s="37"/>
      <x:c r="Z133" s="37"/>
      <x:c r="AA133" s="37"/>
      <x:c r="AB133" s="37"/>
      <x:c r="AC133" s="26"/>
      <x:c r="AD133" s="36"/>
      <x:c r="AE133" s="36"/>
      <x:c r="AF133" s="36"/>
      <x:c r="AG133" s="36"/>
      <x:c r="AH133" s="36"/>
      <x:c r="AI133" s="36"/>
      <x:c r="AJ133" s="26"/>
      <x:c r="AK133" s="26"/>
      <x:c r="AL133" s="26"/>
      <x:c r="AM133" s="26"/>
    </x:row>
    <x:row r="134">
      <x:c r="A134" s="26"/>
      <x:c r="B134" s="26"/>
      <x:c r="C134" s="26"/>
      <x:c r="D134" s="26"/>
      <x:c r="E134" s="36"/>
      <x:c r="F134" s="37"/>
      <x:c r="G134" s="38"/>
      <x:c r="H134" s="36"/>
      <x:c r="I134" s="36"/>
      <x:c r="J134" s="36"/>
      <x:c r="K134" s="39"/>
      <x:c r="L134" s="36"/>
      <x:c r="M134" s="36"/>
      <x:c r="N134" s="36"/>
      <x:c r="O134" s="36"/>
      <x:c r="P134" s="36"/>
      <x:c r="Q134" s="36"/>
      <x:c r="R134" s="36"/>
      <x:c r="S134" s="36"/>
      <x:c r="T134" s="36"/>
      <x:c r="U134" s="36"/>
      <x:c r="V134" s="37"/>
      <x:c r="W134" s="37"/>
      <x:c r="X134" s="37"/>
      <x:c r="Y134" s="37"/>
      <x:c r="Z134" s="37"/>
      <x:c r="AA134" s="37"/>
      <x:c r="AB134" s="37"/>
      <x:c r="AC134" s="26"/>
      <x:c r="AD134" s="36"/>
      <x:c r="AE134" s="36"/>
      <x:c r="AF134" s="36"/>
      <x:c r="AG134" s="36"/>
      <x:c r="AH134" s="36"/>
      <x:c r="AI134" s="36"/>
      <x:c r="AJ134" s="26"/>
      <x:c r="AK134" s="26"/>
      <x:c r="AL134" s="26"/>
      <x:c r="AM134" s="26"/>
    </x:row>
    <x:row r="135">
      <x:c r="A135" s="26"/>
      <x:c r="B135" s="26"/>
      <x:c r="C135" s="26"/>
      <x:c r="D135" s="26"/>
      <x:c r="E135" s="36"/>
      <x:c r="F135" s="37"/>
      <x:c r="G135" s="38"/>
      <x:c r="H135" s="36"/>
      <x:c r="I135" s="36"/>
      <x:c r="J135" s="36"/>
      <x:c r="K135" s="39"/>
      <x:c r="L135" s="36"/>
      <x:c r="M135" s="36"/>
      <x:c r="N135" s="36"/>
      <x:c r="O135" s="36"/>
      <x:c r="P135" s="36"/>
      <x:c r="Q135" s="36"/>
      <x:c r="R135" s="36"/>
      <x:c r="S135" s="36"/>
      <x:c r="T135" s="36"/>
      <x:c r="U135" s="36"/>
      <x:c r="V135" s="37"/>
      <x:c r="W135" s="37"/>
      <x:c r="X135" s="37"/>
      <x:c r="Y135" s="37"/>
      <x:c r="Z135" s="37"/>
      <x:c r="AA135" s="37"/>
      <x:c r="AB135" s="37"/>
      <x:c r="AC135" s="26"/>
      <x:c r="AD135" s="36"/>
      <x:c r="AE135" s="36"/>
      <x:c r="AF135" s="36"/>
      <x:c r="AG135" s="36"/>
      <x:c r="AH135" s="36"/>
      <x:c r="AI135" s="36"/>
      <x:c r="AJ135" s="26"/>
      <x:c r="AK135" s="26"/>
      <x:c r="AL135" s="26"/>
      <x:c r="AM135" s="26"/>
    </x:row>
    <x:row r="136">
      <x:c r="A136" s="26"/>
      <x:c r="B136" s="26"/>
      <x:c r="C136" s="26"/>
      <x:c r="D136" s="26"/>
      <x:c r="E136" s="36"/>
      <x:c r="F136" s="37"/>
      <x:c r="G136" s="38"/>
      <x:c r="H136" s="36"/>
      <x:c r="I136" s="36"/>
      <x:c r="J136" s="36"/>
      <x:c r="K136" s="39"/>
      <x:c r="L136" s="36"/>
      <x:c r="M136" s="36"/>
      <x:c r="N136" s="36"/>
      <x:c r="O136" s="36"/>
      <x:c r="P136" s="36"/>
      <x:c r="Q136" s="36"/>
      <x:c r="R136" s="36"/>
      <x:c r="S136" s="36"/>
      <x:c r="T136" s="36"/>
      <x:c r="U136" s="36"/>
      <x:c r="V136" s="37"/>
      <x:c r="W136" s="37"/>
      <x:c r="X136" s="37"/>
      <x:c r="Y136" s="37"/>
      <x:c r="Z136" s="37"/>
      <x:c r="AA136" s="37"/>
      <x:c r="AB136" s="37"/>
      <x:c r="AC136" s="26"/>
      <x:c r="AD136" s="36"/>
      <x:c r="AE136" s="36"/>
      <x:c r="AF136" s="36"/>
      <x:c r="AG136" s="36"/>
      <x:c r="AH136" s="36"/>
      <x:c r="AI136" s="36"/>
      <x:c r="AJ136" s="26"/>
      <x:c r="AK136" s="26"/>
      <x:c r="AL136" s="26"/>
      <x:c r="AM136" s="26"/>
    </x:row>
    <x:row r="137">
      <x:c r="A137" s="26"/>
      <x:c r="B137" s="26"/>
      <x:c r="C137" s="26"/>
      <x:c r="D137" s="26"/>
      <x:c r="E137" s="36"/>
      <x:c r="F137" s="37"/>
      <x:c r="G137" s="38"/>
      <x:c r="H137" s="36"/>
      <x:c r="I137" s="36"/>
      <x:c r="J137" s="36"/>
      <x:c r="K137" s="39"/>
      <x:c r="L137" s="36"/>
      <x:c r="M137" s="36"/>
      <x:c r="N137" s="36"/>
      <x:c r="O137" s="36"/>
      <x:c r="P137" s="36"/>
      <x:c r="Q137" s="36"/>
      <x:c r="R137" s="36"/>
      <x:c r="S137" s="36"/>
      <x:c r="T137" s="36"/>
      <x:c r="U137" s="36"/>
      <x:c r="V137" s="37"/>
      <x:c r="W137" s="37"/>
      <x:c r="X137" s="37"/>
      <x:c r="Y137" s="37"/>
      <x:c r="Z137" s="37"/>
      <x:c r="AA137" s="37"/>
      <x:c r="AB137" s="37"/>
      <x:c r="AC137" s="26"/>
      <x:c r="AD137" s="36"/>
      <x:c r="AE137" s="36"/>
      <x:c r="AF137" s="36"/>
      <x:c r="AG137" s="36"/>
      <x:c r="AH137" s="36"/>
      <x:c r="AI137" s="36"/>
      <x:c r="AJ137" s="26"/>
      <x:c r="AK137" s="26"/>
      <x:c r="AL137" s="26"/>
      <x:c r="AM137" s="26"/>
    </x:row>
    <x:row r="138">
      <x:c r="A138" s="26"/>
      <x:c r="B138" s="26"/>
      <x:c r="C138" s="26"/>
      <x:c r="D138" s="26"/>
      <x:c r="E138" s="36"/>
      <x:c r="F138" s="37"/>
      <x:c r="G138" s="38"/>
      <x:c r="H138" s="36"/>
      <x:c r="I138" s="36"/>
      <x:c r="J138" s="36"/>
      <x:c r="K138" s="39"/>
      <x:c r="L138" s="36"/>
      <x:c r="M138" s="36"/>
      <x:c r="N138" s="36"/>
      <x:c r="O138" s="36"/>
      <x:c r="P138" s="36"/>
      <x:c r="Q138" s="36"/>
      <x:c r="R138" s="36"/>
      <x:c r="S138" s="36"/>
      <x:c r="T138" s="36"/>
      <x:c r="U138" s="36"/>
      <x:c r="V138" s="37"/>
      <x:c r="W138" s="37"/>
      <x:c r="X138" s="37"/>
      <x:c r="Y138" s="37"/>
      <x:c r="Z138" s="37"/>
      <x:c r="AA138" s="37"/>
      <x:c r="AB138" s="37"/>
      <x:c r="AC138" s="26"/>
      <x:c r="AD138" s="36"/>
      <x:c r="AE138" s="36"/>
      <x:c r="AF138" s="36"/>
      <x:c r="AG138" s="36"/>
      <x:c r="AH138" s="36"/>
      <x:c r="AI138" s="36"/>
      <x:c r="AJ138" s="26"/>
      <x:c r="AK138" s="26"/>
      <x:c r="AL138" s="26"/>
      <x:c r="AM138" s="26"/>
    </x:row>
    <x:row r="139">
      <x:c r="A139" s="26"/>
      <x:c r="B139" s="26"/>
      <x:c r="C139" s="26"/>
      <x:c r="D139" s="26"/>
      <x:c r="E139" s="36"/>
      <x:c r="F139" s="37"/>
      <x:c r="G139" s="38"/>
      <x:c r="H139" s="36"/>
      <x:c r="I139" s="36"/>
      <x:c r="J139" s="36"/>
      <x:c r="K139" s="39"/>
      <x:c r="L139" s="36"/>
      <x:c r="M139" s="36"/>
      <x:c r="N139" s="36"/>
      <x:c r="O139" s="36"/>
      <x:c r="P139" s="36"/>
      <x:c r="Q139" s="36"/>
      <x:c r="R139" s="36"/>
      <x:c r="S139" s="36"/>
      <x:c r="T139" s="36"/>
      <x:c r="U139" s="36"/>
      <x:c r="V139" s="37"/>
      <x:c r="W139" s="37"/>
      <x:c r="X139" s="37"/>
      <x:c r="Y139" s="37"/>
      <x:c r="Z139" s="37"/>
      <x:c r="AA139" s="37"/>
      <x:c r="AB139" s="37"/>
      <x:c r="AC139" s="26"/>
      <x:c r="AD139" s="36"/>
      <x:c r="AE139" s="36"/>
      <x:c r="AF139" s="36"/>
      <x:c r="AG139" s="36"/>
      <x:c r="AH139" s="36"/>
      <x:c r="AI139" s="36"/>
      <x:c r="AJ139" s="26"/>
      <x:c r="AK139" s="26"/>
      <x:c r="AL139" s="26"/>
      <x:c r="AM139" s="26"/>
    </x:row>
    <x:row r="140">
      <x:c r="A140" s="26"/>
      <x:c r="B140" s="26"/>
      <x:c r="C140" s="26"/>
      <x:c r="D140" s="26"/>
      <x:c r="E140" s="36"/>
      <x:c r="F140" s="37"/>
      <x:c r="G140" s="38"/>
      <x:c r="H140" s="36"/>
      <x:c r="I140" s="36"/>
      <x:c r="J140" s="36"/>
      <x:c r="K140" s="39"/>
      <x:c r="L140" s="36"/>
      <x:c r="M140" s="36"/>
      <x:c r="N140" s="36"/>
      <x:c r="O140" s="36"/>
      <x:c r="P140" s="36"/>
      <x:c r="Q140" s="36"/>
      <x:c r="R140" s="36"/>
      <x:c r="S140" s="36"/>
      <x:c r="T140" s="36"/>
      <x:c r="U140" s="36"/>
      <x:c r="V140" s="37"/>
      <x:c r="W140" s="37"/>
      <x:c r="X140" s="37"/>
      <x:c r="Y140" s="37"/>
      <x:c r="Z140" s="37"/>
      <x:c r="AA140" s="37"/>
      <x:c r="AB140" s="37"/>
      <x:c r="AC140" s="26"/>
      <x:c r="AD140" s="36"/>
      <x:c r="AE140" s="36"/>
      <x:c r="AF140" s="36"/>
      <x:c r="AG140" s="36"/>
      <x:c r="AH140" s="36"/>
      <x:c r="AI140" s="36"/>
      <x:c r="AJ140" s="26"/>
      <x:c r="AK140" s="26"/>
      <x:c r="AL140" s="26"/>
      <x:c r="AM140" s="26"/>
    </x:row>
    <x:row r="141">
      <x:c r="A141" s="26"/>
      <x:c r="B141" s="26"/>
      <x:c r="C141" s="26"/>
      <x:c r="D141" s="26"/>
      <x:c r="E141" s="36"/>
      <x:c r="F141" s="37"/>
      <x:c r="G141" s="38"/>
      <x:c r="H141" s="36"/>
      <x:c r="I141" s="36"/>
      <x:c r="J141" s="36"/>
      <x:c r="K141" s="39"/>
      <x:c r="L141" s="36"/>
      <x:c r="M141" s="36"/>
      <x:c r="N141" s="36"/>
      <x:c r="O141" s="36"/>
      <x:c r="P141" s="36"/>
      <x:c r="Q141" s="36"/>
      <x:c r="R141" s="36"/>
      <x:c r="S141" s="36"/>
      <x:c r="T141" s="36"/>
      <x:c r="U141" s="36"/>
      <x:c r="V141" s="37"/>
      <x:c r="W141" s="37"/>
      <x:c r="X141" s="37"/>
      <x:c r="Y141" s="37"/>
      <x:c r="Z141" s="37"/>
      <x:c r="AA141" s="37"/>
      <x:c r="AB141" s="37"/>
      <x:c r="AC141" s="26"/>
      <x:c r="AD141" s="36"/>
      <x:c r="AE141" s="36"/>
      <x:c r="AF141" s="36"/>
      <x:c r="AG141" s="36"/>
      <x:c r="AH141" s="36"/>
      <x:c r="AI141" s="36"/>
      <x:c r="AJ141" s="26"/>
      <x:c r="AK141" s="26"/>
      <x:c r="AL141" s="26"/>
      <x:c r="AM141" s="26"/>
    </x:row>
    <x:row r="142">
      <x:c r="A142" s="26"/>
      <x:c r="B142" s="26"/>
      <x:c r="C142" s="26"/>
      <x:c r="D142" s="26"/>
      <x:c r="E142" s="36"/>
      <x:c r="F142" s="37"/>
      <x:c r="G142" s="38"/>
      <x:c r="H142" s="36"/>
      <x:c r="I142" s="36"/>
      <x:c r="J142" s="36"/>
      <x:c r="K142" s="39"/>
      <x:c r="L142" s="36"/>
      <x:c r="M142" s="36"/>
      <x:c r="N142" s="36"/>
      <x:c r="O142" s="36"/>
      <x:c r="P142" s="36"/>
      <x:c r="Q142" s="36"/>
      <x:c r="R142" s="36"/>
      <x:c r="S142" s="36"/>
      <x:c r="T142" s="36"/>
      <x:c r="U142" s="36"/>
      <x:c r="V142" s="37"/>
      <x:c r="W142" s="37"/>
      <x:c r="X142" s="37"/>
      <x:c r="Y142" s="37"/>
      <x:c r="Z142" s="37"/>
      <x:c r="AA142" s="37"/>
      <x:c r="AB142" s="37"/>
      <x:c r="AC142" s="26"/>
      <x:c r="AD142" s="36"/>
      <x:c r="AE142" s="36"/>
      <x:c r="AF142" s="36"/>
      <x:c r="AG142" s="36"/>
      <x:c r="AH142" s="36"/>
      <x:c r="AI142" s="36"/>
      <x:c r="AJ142" s="26"/>
      <x:c r="AK142" s="26"/>
      <x:c r="AL142" s="26"/>
      <x:c r="AM142" s="26"/>
    </x:row>
    <x:row r="143">
      <x:c r="A143" s="26"/>
      <x:c r="B143" s="26"/>
      <x:c r="C143" s="26"/>
      <x:c r="D143" s="26"/>
      <x:c r="E143" s="36"/>
      <x:c r="F143" s="37"/>
      <x:c r="G143" s="38"/>
      <x:c r="H143" s="36"/>
      <x:c r="I143" s="36"/>
      <x:c r="J143" s="36"/>
      <x:c r="K143" s="39"/>
      <x:c r="L143" s="36"/>
      <x:c r="M143" s="36"/>
      <x:c r="N143" s="36"/>
      <x:c r="O143" s="36"/>
      <x:c r="P143" s="36"/>
      <x:c r="Q143" s="36"/>
      <x:c r="R143" s="36"/>
      <x:c r="S143" s="36"/>
      <x:c r="T143" s="36"/>
      <x:c r="U143" s="36"/>
      <x:c r="V143" s="37"/>
      <x:c r="W143" s="37"/>
      <x:c r="X143" s="37"/>
      <x:c r="Y143" s="37"/>
      <x:c r="Z143" s="37"/>
      <x:c r="AA143" s="37"/>
      <x:c r="AB143" s="37"/>
      <x:c r="AC143" s="26"/>
      <x:c r="AD143" s="36"/>
      <x:c r="AE143" s="36"/>
      <x:c r="AF143" s="36"/>
      <x:c r="AG143" s="36"/>
      <x:c r="AH143" s="36"/>
      <x:c r="AI143" s="36"/>
      <x:c r="AJ143" s="26"/>
      <x:c r="AK143" s="26"/>
      <x:c r="AL143" s="26"/>
      <x:c r="AM143" s="26"/>
    </x:row>
    <x:row r="144">
      <x:c r="A144" s="26"/>
      <x:c r="B144" s="26"/>
      <x:c r="C144" s="26"/>
      <x:c r="D144" s="26"/>
      <x:c r="E144" s="36"/>
      <x:c r="F144" s="37"/>
      <x:c r="G144" s="38"/>
      <x:c r="H144" s="36"/>
      <x:c r="I144" s="36"/>
      <x:c r="J144" s="36"/>
      <x:c r="K144" s="39"/>
      <x:c r="L144" s="36"/>
      <x:c r="M144" s="36"/>
      <x:c r="N144" s="36"/>
      <x:c r="O144" s="36"/>
      <x:c r="P144" s="36"/>
      <x:c r="Q144" s="36"/>
      <x:c r="R144" s="36"/>
      <x:c r="S144" s="36"/>
      <x:c r="T144" s="36"/>
      <x:c r="U144" s="36"/>
      <x:c r="V144" s="37"/>
      <x:c r="W144" s="37"/>
      <x:c r="X144" s="37"/>
      <x:c r="Y144" s="37"/>
      <x:c r="Z144" s="37"/>
      <x:c r="AA144" s="37"/>
      <x:c r="AB144" s="37"/>
      <x:c r="AC144" s="26"/>
      <x:c r="AD144" s="36"/>
      <x:c r="AE144" s="36"/>
      <x:c r="AF144" s="36"/>
      <x:c r="AG144" s="36"/>
      <x:c r="AH144" s="36"/>
      <x:c r="AI144" s="36"/>
      <x:c r="AJ144" s="26"/>
      <x:c r="AK144" s="26"/>
      <x:c r="AL144" s="26"/>
      <x:c r="AM144" s="26"/>
    </x:row>
    <x:row r="145">
      <x:c r="A145" s="26"/>
      <x:c r="B145" s="26"/>
      <x:c r="C145" s="26"/>
      <x:c r="D145" s="26"/>
      <x:c r="E145" s="36"/>
      <x:c r="F145" s="37"/>
      <x:c r="G145" s="38"/>
      <x:c r="H145" s="36"/>
      <x:c r="I145" s="36"/>
      <x:c r="J145" s="36"/>
      <x:c r="K145" s="39"/>
      <x:c r="L145" s="36"/>
      <x:c r="M145" s="36"/>
      <x:c r="N145" s="36"/>
      <x:c r="O145" s="36"/>
      <x:c r="P145" s="36"/>
      <x:c r="Q145" s="36"/>
      <x:c r="R145" s="36"/>
      <x:c r="S145" s="36"/>
      <x:c r="T145" s="36"/>
      <x:c r="U145" s="36"/>
      <x:c r="V145" s="37"/>
      <x:c r="W145" s="37"/>
      <x:c r="X145" s="37"/>
      <x:c r="Y145" s="37"/>
      <x:c r="Z145" s="37"/>
      <x:c r="AA145" s="37"/>
      <x:c r="AB145" s="37"/>
      <x:c r="AC145" s="26"/>
      <x:c r="AD145" s="36"/>
      <x:c r="AE145" s="36"/>
      <x:c r="AF145" s="36"/>
      <x:c r="AG145" s="36"/>
      <x:c r="AH145" s="36"/>
      <x:c r="AI145" s="36"/>
      <x:c r="AJ145" s="26"/>
      <x:c r="AK145" s="26"/>
      <x:c r="AL145" s="26"/>
      <x:c r="AM145" s="26"/>
    </x:row>
    <x:row r="146">
      <x:c r="A146" s="26"/>
      <x:c r="B146" s="26"/>
      <x:c r="C146" s="26"/>
      <x:c r="D146" s="26"/>
      <x:c r="E146" s="36"/>
      <x:c r="F146" s="37"/>
      <x:c r="G146" s="38"/>
      <x:c r="H146" s="36"/>
      <x:c r="I146" s="36"/>
      <x:c r="J146" s="36"/>
      <x:c r="K146" s="39"/>
      <x:c r="L146" s="36"/>
      <x:c r="M146" s="36"/>
      <x:c r="N146" s="36"/>
      <x:c r="O146" s="36"/>
      <x:c r="P146" s="36"/>
      <x:c r="Q146" s="36"/>
      <x:c r="R146" s="36"/>
      <x:c r="S146" s="36"/>
      <x:c r="T146" s="36"/>
      <x:c r="U146" s="36"/>
      <x:c r="V146" s="37"/>
      <x:c r="W146" s="37"/>
      <x:c r="X146" s="37"/>
      <x:c r="Y146" s="37"/>
      <x:c r="Z146" s="37"/>
      <x:c r="AA146" s="37"/>
      <x:c r="AB146" s="37"/>
      <x:c r="AC146" s="26"/>
      <x:c r="AD146" s="36"/>
      <x:c r="AE146" s="36"/>
      <x:c r="AF146" s="36"/>
      <x:c r="AG146" s="36"/>
      <x:c r="AH146" s="36"/>
      <x:c r="AI146" s="36"/>
      <x:c r="AJ146" s="26"/>
      <x:c r="AK146" s="26"/>
      <x:c r="AL146" s="26"/>
      <x:c r="AM146" s="26"/>
    </x:row>
    <x:row r="147">
      <x:c r="A147" s="26"/>
      <x:c r="B147" s="26"/>
      <x:c r="C147" s="26"/>
      <x:c r="D147" s="26"/>
      <x:c r="E147" s="36"/>
      <x:c r="F147" s="37"/>
      <x:c r="G147" s="38"/>
      <x:c r="H147" s="36"/>
      <x:c r="I147" s="36"/>
      <x:c r="J147" s="36"/>
      <x:c r="K147" s="39"/>
      <x:c r="L147" s="36"/>
      <x:c r="M147" s="36"/>
      <x:c r="N147" s="36"/>
      <x:c r="O147" s="36"/>
      <x:c r="P147" s="36"/>
      <x:c r="Q147" s="36"/>
      <x:c r="R147" s="36"/>
      <x:c r="S147" s="36"/>
      <x:c r="T147" s="36"/>
      <x:c r="U147" s="36"/>
      <x:c r="V147" s="37"/>
      <x:c r="W147" s="37"/>
      <x:c r="X147" s="37"/>
      <x:c r="Y147" s="37"/>
      <x:c r="Z147" s="37"/>
      <x:c r="AA147" s="37"/>
      <x:c r="AB147" s="37"/>
      <x:c r="AC147" s="26"/>
      <x:c r="AD147" s="36"/>
      <x:c r="AE147" s="36"/>
      <x:c r="AF147" s="36"/>
      <x:c r="AG147" s="36"/>
      <x:c r="AH147" s="36"/>
      <x:c r="AI147" s="36"/>
      <x:c r="AJ147" s="26"/>
      <x:c r="AK147" s="26"/>
      <x:c r="AL147" s="26"/>
      <x:c r="AM147" s="26"/>
    </x:row>
    <x:row r="148">
      <x:c r="A148" s="26"/>
      <x:c r="B148" s="26"/>
      <x:c r="C148" s="26"/>
      <x:c r="D148" s="26"/>
      <x:c r="E148" s="36"/>
      <x:c r="F148" s="37"/>
      <x:c r="G148" s="38"/>
      <x:c r="H148" s="36"/>
      <x:c r="I148" s="36"/>
      <x:c r="J148" s="36"/>
      <x:c r="K148" s="39"/>
      <x:c r="L148" s="36"/>
      <x:c r="M148" s="36"/>
      <x:c r="N148" s="36"/>
      <x:c r="O148" s="36"/>
      <x:c r="P148" s="36"/>
      <x:c r="Q148" s="36"/>
      <x:c r="R148" s="36"/>
      <x:c r="S148" s="36"/>
      <x:c r="T148" s="36"/>
      <x:c r="U148" s="36"/>
      <x:c r="V148" s="37"/>
      <x:c r="W148" s="37"/>
      <x:c r="X148" s="37"/>
      <x:c r="Y148" s="37"/>
      <x:c r="Z148" s="37"/>
      <x:c r="AA148" s="37"/>
      <x:c r="AB148" s="37"/>
      <x:c r="AC148" s="26"/>
      <x:c r="AD148" s="36"/>
      <x:c r="AE148" s="36"/>
      <x:c r="AF148" s="36"/>
      <x:c r="AG148" s="36"/>
      <x:c r="AH148" s="36"/>
      <x:c r="AI148" s="36"/>
      <x:c r="AJ148" s="26"/>
      <x:c r="AK148" s="26"/>
      <x:c r="AL148" s="26"/>
      <x:c r="AM148" s="26"/>
    </x:row>
    <x:row r="149">
      <x:c r="A149" s="26"/>
      <x:c r="B149" s="26"/>
      <x:c r="C149" s="26"/>
      <x:c r="D149" s="26"/>
      <x:c r="E149" s="36"/>
      <x:c r="F149" s="37"/>
      <x:c r="G149" s="38"/>
      <x:c r="H149" s="36"/>
      <x:c r="I149" s="36"/>
      <x:c r="J149" s="36"/>
      <x:c r="K149" s="39"/>
      <x:c r="L149" s="36"/>
      <x:c r="M149" s="36"/>
      <x:c r="N149" s="36"/>
      <x:c r="O149" s="36"/>
      <x:c r="P149" s="36"/>
      <x:c r="Q149" s="36"/>
      <x:c r="R149" s="36"/>
      <x:c r="S149" s="36"/>
      <x:c r="T149" s="36"/>
      <x:c r="U149" s="36"/>
      <x:c r="V149" s="37"/>
      <x:c r="W149" s="37"/>
      <x:c r="X149" s="37"/>
      <x:c r="Y149" s="37"/>
      <x:c r="Z149" s="37"/>
      <x:c r="AA149" s="37"/>
      <x:c r="AB149" s="37"/>
      <x:c r="AC149" s="26"/>
      <x:c r="AD149" s="36"/>
      <x:c r="AE149" s="36"/>
      <x:c r="AF149" s="36"/>
      <x:c r="AG149" s="36"/>
      <x:c r="AH149" s="36"/>
      <x:c r="AI149" s="36"/>
      <x:c r="AJ149" s="26"/>
      <x:c r="AK149" s="26"/>
      <x:c r="AL149" s="26"/>
      <x:c r="AM149" s="26"/>
    </x:row>
    <x:row r="150">
      <x:c r="A150" s="26"/>
      <x:c r="B150" s="26"/>
      <x:c r="C150" s="26"/>
      <x:c r="D150" s="26"/>
      <x:c r="E150" s="36"/>
      <x:c r="F150" s="37"/>
      <x:c r="G150" s="38"/>
      <x:c r="H150" s="36"/>
      <x:c r="I150" s="36"/>
      <x:c r="J150" s="36"/>
      <x:c r="K150" s="39"/>
      <x:c r="L150" s="36"/>
      <x:c r="M150" s="36"/>
      <x:c r="N150" s="36"/>
      <x:c r="O150" s="36"/>
      <x:c r="P150" s="36"/>
      <x:c r="Q150" s="36"/>
      <x:c r="R150" s="36"/>
      <x:c r="S150" s="36"/>
      <x:c r="T150" s="36"/>
      <x:c r="U150" s="36"/>
      <x:c r="V150" s="37"/>
      <x:c r="W150" s="37"/>
      <x:c r="X150" s="37"/>
      <x:c r="Y150" s="37"/>
      <x:c r="Z150" s="37"/>
      <x:c r="AA150" s="37"/>
      <x:c r="AB150" s="37"/>
      <x:c r="AC150" s="26"/>
      <x:c r="AD150" s="36"/>
      <x:c r="AE150" s="36"/>
      <x:c r="AF150" s="36"/>
      <x:c r="AG150" s="36"/>
      <x:c r="AH150" s="36"/>
      <x:c r="AI150" s="36"/>
      <x:c r="AJ150" s="26"/>
      <x:c r="AK150" s="26"/>
      <x:c r="AL150" s="26"/>
      <x:c r="AM150" s="26"/>
    </x:row>
    <x:row r="151">
      <x:c r="A151" s="26"/>
      <x:c r="B151" s="26"/>
      <x:c r="C151" s="26"/>
      <x:c r="D151" s="26"/>
      <x:c r="E151" s="36"/>
      <x:c r="F151" s="37"/>
      <x:c r="G151" s="38"/>
      <x:c r="H151" s="36"/>
      <x:c r="I151" s="36"/>
      <x:c r="J151" s="36"/>
      <x:c r="K151" s="39"/>
      <x:c r="L151" s="36"/>
      <x:c r="M151" s="36"/>
      <x:c r="N151" s="36"/>
      <x:c r="O151" s="36"/>
      <x:c r="P151" s="36"/>
      <x:c r="Q151" s="36"/>
      <x:c r="R151" s="36"/>
      <x:c r="S151" s="36"/>
      <x:c r="T151" s="36"/>
      <x:c r="U151" s="36"/>
      <x:c r="V151" s="37"/>
      <x:c r="W151" s="37"/>
      <x:c r="X151" s="37"/>
      <x:c r="Y151" s="37"/>
      <x:c r="Z151" s="37"/>
      <x:c r="AA151" s="37"/>
      <x:c r="AB151" s="37"/>
      <x:c r="AC151" s="26"/>
      <x:c r="AD151" s="36"/>
      <x:c r="AE151" s="36"/>
      <x:c r="AF151" s="36"/>
      <x:c r="AG151" s="36"/>
      <x:c r="AH151" s="36"/>
      <x:c r="AI151" s="36"/>
      <x:c r="AJ151" s="26"/>
      <x:c r="AK151" s="26"/>
      <x:c r="AL151" s="26"/>
      <x:c r="AM151" s="26"/>
    </x:row>
    <x:row r="152">
      <x:c r="A152" s="26"/>
      <x:c r="B152" s="26"/>
      <x:c r="C152" s="26"/>
      <x:c r="D152" s="26"/>
      <x:c r="E152" s="36"/>
      <x:c r="F152" s="37"/>
      <x:c r="G152" s="38"/>
      <x:c r="H152" s="36"/>
      <x:c r="I152" s="36"/>
      <x:c r="J152" s="36"/>
      <x:c r="K152" s="39"/>
      <x:c r="L152" s="36"/>
      <x:c r="M152" s="36"/>
      <x:c r="N152" s="36"/>
      <x:c r="O152" s="36"/>
      <x:c r="P152" s="36"/>
      <x:c r="Q152" s="36"/>
      <x:c r="R152" s="36"/>
      <x:c r="S152" s="36"/>
      <x:c r="T152" s="36"/>
      <x:c r="U152" s="36"/>
      <x:c r="V152" s="37"/>
      <x:c r="W152" s="37"/>
      <x:c r="X152" s="37"/>
      <x:c r="Y152" s="37"/>
      <x:c r="Z152" s="37"/>
      <x:c r="AA152" s="37"/>
      <x:c r="AB152" s="37"/>
      <x:c r="AC152" s="26"/>
      <x:c r="AD152" s="36"/>
      <x:c r="AE152" s="36"/>
      <x:c r="AF152" s="36"/>
      <x:c r="AG152" s="36"/>
      <x:c r="AH152" s="36"/>
      <x:c r="AI152" s="36"/>
      <x:c r="AJ152" s="26"/>
      <x:c r="AK152" s="26"/>
      <x:c r="AL152" s="26"/>
      <x:c r="AM152" s="26"/>
    </x:row>
    <x:row r="153">
      <x:c r="A153" s="26"/>
      <x:c r="B153" s="26"/>
      <x:c r="C153" s="26"/>
      <x:c r="D153" s="26"/>
      <x:c r="E153" s="36"/>
      <x:c r="F153" s="37"/>
      <x:c r="G153" s="38"/>
      <x:c r="H153" s="36"/>
      <x:c r="I153" s="36"/>
      <x:c r="J153" s="36"/>
      <x:c r="K153" s="39"/>
      <x:c r="L153" s="36"/>
      <x:c r="M153" s="36"/>
      <x:c r="N153" s="36"/>
      <x:c r="O153" s="36"/>
      <x:c r="P153" s="36"/>
      <x:c r="Q153" s="36"/>
      <x:c r="R153" s="36"/>
      <x:c r="S153" s="36"/>
      <x:c r="T153" s="36"/>
      <x:c r="U153" s="36"/>
      <x:c r="V153" s="37"/>
      <x:c r="W153" s="37"/>
      <x:c r="X153" s="37"/>
      <x:c r="Y153" s="37"/>
      <x:c r="Z153" s="37"/>
      <x:c r="AA153" s="37"/>
      <x:c r="AB153" s="37"/>
      <x:c r="AC153" s="26"/>
      <x:c r="AD153" s="36"/>
      <x:c r="AE153" s="36"/>
      <x:c r="AF153" s="36"/>
      <x:c r="AG153" s="36"/>
      <x:c r="AH153" s="36"/>
      <x:c r="AI153" s="36"/>
      <x:c r="AJ153" s="26"/>
      <x:c r="AK153" s="26"/>
      <x:c r="AL153" s="26"/>
      <x:c r="AM153" s="26"/>
    </x:row>
    <x:row r="154">
      <x:c r="A154" s="26"/>
      <x:c r="B154" s="26"/>
      <x:c r="C154" s="26"/>
      <x:c r="D154" s="26"/>
      <x:c r="E154" s="36"/>
      <x:c r="F154" s="37"/>
      <x:c r="G154" s="38"/>
      <x:c r="H154" s="36"/>
      <x:c r="I154" s="36"/>
      <x:c r="J154" s="36"/>
      <x:c r="K154" s="39"/>
      <x:c r="L154" s="36"/>
      <x:c r="M154" s="36"/>
      <x:c r="N154" s="36"/>
      <x:c r="O154" s="36"/>
      <x:c r="P154" s="36"/>
      <x:c r="Q154" s="36"/>
      <x:c r="R154" s="36"/>
      <x:c r="S154" s="36"/>
      <x:c r="T154" s="36"/>
      <x:c r="U154" s="36"/>
      <x:c r="V154" s="37"/>
      <x:c r="W154" s="37"/>
      <x:c r="X154" s="37"/>
      <x:c r="Y154" s="37"/>
      <x:c r="Z154" s="37"/>
      <x:c r="AA154" s="37"/>
      <x:c r="AB154" s="37"/>
      <x:c r="AC154" s="26"/>
      <x:c r="AD154" s="36"/>
      <x:c r="AE154" s="36"/>
      <x:c r="AF154" s="36"/>
      <x:c r="AG154" s="36"/>
      <x:c r="AH154" s="36"/>
      <x:c r="AI154" s="36"/>
      <x:c r="AJ154" s="26"/>
      <x:c r="AK154" s="26"/>
      <x:c r="AL154" s="26"/>
      <x:c r="AM154" s="26"/>
    </x:row>
    <x:row r="155">
      <x:c r="A155" s="26"/>
      <x:c r="B155" s="26"/>
      <x:c r="C155" s="26"/>
      <x:c r="D155" s="26"/>
      <x:c r="E155" s="36"/>
      <x:c r="F155" s="37"/>
      <x:c r="G155" s="38"/>
      <x:c r="H155" s="36"/>
      <x:c r="I155" s="36"/>
      <x:c r="J155" s="36"/>
      <x:c r="K155" s="39"/>
      <x:c r="L155" s="36"/>
      <x:c r="M155" s="36"/>
      <x:c r="N155" s="36"/>
      <x:c r="O155" s="36"/>
      <x:c r="P155" s="36"/>
      <x:c r="Q155" s="36"/>
      <x:c r="R155" s="36"/>
      <x:c r="S155" s="36"/>
      <x:c r="T155" s="36"/>
      <x:c r="U155" s="36"/>
      <x:c r="V155" s="37"/>
      <x:c r="W155" s="37"/>
      <x:c r="X155" s="37"/>
      <x:c r="Y155" s="37"/>
      <x:c r="Z155" s="37"/>
      <x:c r="AA155" s="37"/>
      <x:c r="AB155" s="37"/>
      <x:c r="AC155" s="26"/>
      <x:c r="AD155" s="36"/>
      <x:c r="AE155" s="36"/>
      <x:c r="AF155" s="36"/>
      <x:c r="AG155" s="36"/>
      <x:c r="AH155" s="36"/>
      <x:c r="AI155" s="36"/>
      <x:c r="AJ155" s="26"/>
      <x:c r="AK155" s="26"/>
      <x:c r="AL155" s="26"/>
      <x:c r="AM155" s="26"/>
    </x:row>
    <x:row r="156">
      <x:c r="A156" s="26"/>
      <x:c r="B156" s="26"/>
      <x:c r="C156" s="26"/>
      <x:c r="D156" s="26"/>
      <x:c r="E156" s="36"/>
      <x:c r="F156" s="37"/>
      <x:c r="G156" s="38"/>
      <x:c r="H156" s="36"/>
      <x:c r="I156" s="36"/>
      <x:c r="J156" s="36"/>
      <x:c r="K156" s="39"/>
      <x:c r="L156" s="36"/>
      <x:c r="M156" s="36"/>
      <x:c r="N156" s="36"/>
      <x:c r="O156" s="36"/>
      <x:c r="P156" s="36"/>
      <x:c r="Q156" s="36"/>
      <x:c r="R156" s="36"/>
      <x:c r="S156" s="36"/>
      <x:c r="T156" s="36"/>
      <x:c r="U156" s="36"/>
      <x:c r="V156" s="37"/>
      <x:c r="W156" s="37"/>
      <x:c r="X156" s="37"/>
      <x:c r="Y156" s="37"/>
      <x:c r="Z156" s="37"/>
      <x:c r="AA156" s="37"/>
      <x:c r="AB156" s="37"/>
      <x:c r="AC156" s="26"/>
      <x:c r="AD156" s="36"/>
      <x:c r="AE156" s="36"/>
      <x:c r="AF156" s="36"/>
      <x:c r="AG156" s="36"/>
      <x:c r="AH156" s="36"/>
      <x:c r="AI156" s="36"/>
      <x:c r="AJ156" s="26"/>
      <x:c r="AK156" s="26"/>
      <x:c r="AL156" s="26"/>
      <x:c r="AM156" s="26"/>
    </x:row>
    <x:row r="157">
      <x:c r="A157" s="26"/>
      <x:c r="B157" s="26"/>
      <x:c r="C157" s="26"/>
      <x:c r="D157" s="26"/>
      <x:c r="E157" s="36"/>
      <x:c r="F157" s="37"/>
      <x:c r="G157" s="38"/>
      <x:c r="H157" s="36"/>
      <x:c r="I157" s="36"/>
      <x:c r="J157" s="36"/>
      <x:c r="K157" s="39"/>
      <x:c r="L157" s="36"/>
      <x:c r="M157" s="36"/>
      <x:c r="N157" s="36"/>
      <x:c r="O157" s="36"/>
      <x:c r="P157" s="36"/>
      <x:c r="Q157" s="36"/>
      <x:c r="R157" s="36"/>
      <x:c r="S157" s="36"/>
      <x:c r="T157" s="36"/>
      <x:c r="U157" s="36"/>
      <x:c r="V157" s="37"/>
      <x:c r="W157" s="37"/>
      <x:c r="X157" s="37"/>
      <x:c r="Y157" s="37"/>
      <x:c r="Z157" s="37"/>
      <x:c r="AA157" s="37"/>
      <x:c r="AB157" s="37"/>
      <x:c r="AC157" s="26"/>
      <x:c r="AD157" s="36"/>
      <x:c r="AE157" s="36"/>
      <x:c r="AF157" s="36"/>
      <x:c r="AG157" s="36"/>
      <x:c r="AH157" s="36"/>
      <x:c r="AI157" s="36"/>
      <x:c r="AJ157" s="26"/>
      <x:c r="AK157" s="26"/>
      <x:c r="AL157" s="26"/>
      <x:c r="AM157" s="26"/>
    </x:row>
    <x:row r="158">
      <x:c r="A158" s="26"/>
      <x:c r="B158" s="26"/>
      <x:c r="C158" s="26"/>
      <x:c r="D158" s="26"/>
      <x:c r="E158" s="36"/>
      <x:c r="F158" s="37"/>
      <x:c r="G158" s="38"/>
      <x:c r="H158" s="36"/>
      <x:c r="I158" s="36"/>
      <x:c r="J158" s="36"/>
      <x:c r="K158" s="39"/>
      <x:c r="L158" s="36"/>
      <x:c r="M158" s="36"/>
      <x:c r="N158" s="36"/>
      <x:c r="O158" s="36"/>
      <x:c r="P158" s="36"/>
      <x:c r="Q158" s="36"/>
      <x:c r="R158" s="36"/>
      <x:c r="S158" s="36"/>
      <x:c r="T158" s="36"/>
      <x:c r="U158" s="36"/>
      <x:c r="V158" s="37"/>
      <x:c r="W158" s="37"/>
      <x:c r="X158" s="37"/>
      <x:c r="Y158" s="37"/>
      <x:c r="Z158" s="37"/>
      <x:c r="AA158" s="37"/>
      <x:c r="AB158" s="37"/>
      <x:c r="AC158" s="26"/>
      <x:c r="AD158" s="36"/>
      <x:c r="AE158" s="36"/>
      <x:c r="AF158" s="36"/>
      <x:c r="AG158" s="36"/>
      <x:c r="AH158" s="36"/>
      <x:c r="AI158" s="36"/>
      <x:c r="AJ158" s="26"/>
      <x:c r="AK158" s="26"/>
      <x:c r="AL158" s="26"/>
      <x:c r="AM158" s="26"/>
    </x:row>
    <x:row r="159">
      <x:c r="A159" s="26"/>
      <x:c r="B159" s="26"/>
      <x:c r="C159" s="26"/>
      <x:c r="D159" s="26"/>
      <x:c r="E159" s="36"/>
      <x:c r="F159" s="37"/>
      <x:c r="G159" s="38"/>
      <x:c r="H159" s="36"/>
      <x:c r="I159" s="36"/>
      <x:c r="J159" s="36"/>
      <x:c r="K159" s="39"/>
      <x:c r="L159" s="36"/>
      <x:c r="M159" s="36"/>
      <x:c r="N159" s="36"/>
      <x:c r="O159" s="36"/>
      <x:c r="P159" s="36"/>
      <x:c r="Q159" s="36"/>
      <x:c r="R159" s="36"/>
      <x:c r="S159" s="36"/>
      <x:c r="T159" s="36"/>
      <x:c r="U159" s="36"/>
      <x:c r="V159" s="37"/>
      <x:c r="W159" s="37"/>
      <x:c r="X159" s="37"/>
      <x:c r="Y159" s="37"/>
      <x:c r="Z159" s="37"/>
      <x:c r="AA159" s="37"/>
      <x:c r="AB159" s="37"/>
      <x:c r="AC159" s="26"/>
      <x:c r="AD159" s="36"/>
      <x:c r="AE159" s="36"/>
      <x:c r="AF159" s="36"/>
      <x:c r="AG159" s="36"/>
      <x:c r="AH159" s="36"/>
      <x:c r="AI159" s="36"/>
      <x:c r="AJ159" s="26"/>
      <x:c r="AK159" s="26"/>
      <x:c r="AL159" s="26"/>
      <x:c r="AM159" s="26"/>
    </x:row>
    <x:row r="160">
      <x:c r="A160" s="26"/>
      <x:c r="B160" s="26"/>
      <x:c r="C160" s="26"/>
      <x:c r="D160" s="26"/>
      <x:c r="E160" s="36"/>
      <x:c r="F160" s="37"/>
      <x:c r="G160" s="38"/>
      <x:c r="H160" s="36"/>
      <x:c r="I160" s="36"/>
      <x:c r="J160" s="36"/>
      <x:c r="K160" s="39"/>
      <x:c r="L160" s="36"/>
      <x:c r="M160" s="36"/>
      <x:c r="N160" s="36"/>
      <x:c r="O160" s="36"/>
      <x:c r="P160" s="36"/>
      <x:c r="Q160" s="36"/>
      <x:c r="R160" s="36"/>
      <x:c r="S160" s="36"/>
      <x:c r="T160" s="36"/>
      <x:c r="U160" s="36"/>
      <x:c r="V160" s="37"/>
      <x:c r="W160" s="37"/>
      <x:c r="X160" s="37"/>
      <x:c r="Y160" s="37"/>
      <x:c r="Z160" s="37"/>
      <x:c r="AA160" s="37"/>
      <x:c r="AB160" s="37"/>
      <x:c r="AC160" s="26"/>
      <x:c r="AD160" s="36"/>
      <x:c r="AE160" s="36"/>
      <x:c r="AF160" s="36"/>
      <x:c r="AG160" s="36"/>
      <x:c r="AH160" s="36"/>
      <x:c r="AI160" s="36"/>
      <x:c r="AJ160" s="26"/>
      <x:c r="AK160" s="26"/>
      <x:c r="AL160" s="26"/>
      <x:c r="AM160" s="26"/>
    </x:row>
    <x:row r="161">
      <x:c r="A161" s="26"/>
      <x:c r="B161" s="26"/>
      <x:c r="C161" s="26"/>
      <x:c r="D161" s="26"/>
      <x:c r="E161" s="36"/>
      <x:c r="F161" s="37"/>
      <x:c r="G161" s="38"/>
      <x:c r="H161" s="36"/>
      <x:c r="I161" s="36"/>
      <x:c r="J161" s="36"/>
      <x:c r="K161" s="39"/>
      <x:c r="L161" s="36"/>
      <x:c r="M161" s="36"/>
      <x:c r="N161" s="36"/>
      <x:c r="O161" s="36"/>
      <x:c r="P161" s="36"/>
      <x:c r="Q161" s="36"/>
      <x:c r="R161" s="36"/>
      <x:c r="S161" s="36"/>
      <x:c r="T161" s="36"/>
      <x:c r="U161" s="36"/>
      <x:c r="V161" s="37"/>
      <x:c r="W161" s="37"/>
      <x:c r="X161" s="37"/>
      <x:c r="Y161" s="37"/>
      <x:c r="Z161" s="37"/>
      <x:c r="AA161" s="37"/>
      <x:c r="AB161" s="37"/>
      <x:c r="AC161" s="26"/>
      <x:c r="AD161" s="36"/>
      <x:c r="AE161" s="36"/>
      <x:c r="AF161" s="36"/>
      <x:c r="AG161" s="36"/>
      <x:c r="AH161" s="36"/>
      <x:c r="AI161" s="36"/>
      <x:c r="AJ161" s="26"/>
      <x:c r="AK161" s="26"/>
      <x:c r="AL161" s="26"/>
      <x:c r="AM161" s="26"/>
    </x:row>
    <x:row r="162">
      <x:c r="A162" s="26"/>
      <x:c r="B162" s="26"/>
      <x:c r="C162" s="26"/>
      <x:c r="D162" s="26"/>
      <x:c r="E162" s="36"/>
      <x:c r="F162" s="37"/>
      <x:c r="G162" s="38"/>
      <x:c r="H162" s="36"/>
      <x:c r="I162" s="36"/>
      <x:c r="J162" s="36"/>
      <x:c r="K162" s="39"/>
      <x:c r="L162" s="36"/>
      <x:c r="M162" s="36"/>
      <x:c r="N162" s="36"/>
      <x:c r="O162" s="36"/>
      <x:c r="P162" s="36"/>
      <x:c r="Q162" s="36"/>
      <x:c r="R162" s="36"/>
      <x:c r="S162" s="36"/>
      <x:c r="T162" s="36"/>
      <x:c r="U162" s="36"/>
      <x:c r="V162" s="37"/>
      <x:c r="W162" s="37"/>
      <x:c r="X162" s="37"/>
      <x:c r="Y162" s="37"/>
      <x:c r="Z162" s="37"/>
      <x:c r="AA162" s="37"/>
      <x:c r="AB162" s="37"/>
      <x:c r="AC162" s="26"/>
      <x:c r="AD162" s="36"/>
      <x:c r="AE162" s="36"/>
      <x:c r="AF162" s="36"/>
      <x:c r="AG162" s="36"/>
      <x:c r="AH162" s="36"/>
      <x:c r="AI162" s="36"/>
      <x:c r="AJ162" s="26"/>
      <x:c r="AK162" s="26"/>
      <x:c r="AL162" s="26"/>
      <x:c r="AM162" s="26"/>
    </x:row>
    <x:row r="163">
      <x:c r="A163" s="26"/>
      <x:c r="B163" s="26"/>
      <x:c r="C163" s="26"/>
      <x:c r="D163" s="26"/>
      <x:c r="E163" s="36"/>
      <x:c r="F163" s="37"/>
      <x:c r="G163" s="38"/>
      <x:c r="H163" s="36"/>
      <x:c r="I163" s="36"/>
      <x:c r="J163" s="36"/>
      <x:c r="K163" s="39"/>
      <x:c r="L163" s="36"/>
      <x:c r="M163" s="36"/>
      <x:c r="N163" s="36"/>
      <x:c r="O163" s="36"/>
      <x:c r="P163" s="36"/>
      <x:c r="Q163" s="36"/>
      <x:c r="R163" s="36"/>
      <x:c r="S163" s="36"/>
      <x:c r="T163" s="36"/>
      <x:c r="U163" s="36"/>
      <x:c r="V163" s="37"/>
      <x:c r="W163" s="37"/>
      <x:c r="X163" s="37"/>
      <x:c r="Y163" s="37"/>
      <x:c r="Z163" s="37"/>
      <x:c r="AA163" s="37"/>
      <x:c r="AB163" s="37"/>
      <x:c r="AC163" s="26"/>
      <x:c r="AD163" s="36"/>
      <x:c r="AE163" s="36"/>
      <x:c r="AF163" s="36"/>
      <x:c r="AG163" s="36"/>
      <x:c r="AH163" s="36"/>
      <x:c r="AI163" s="36"/>
      <x:c r="AJ163" s="26"/>
      <x:c r="AK163" s="26"/>
      <x:c r="AL163" s="26"/>
      <x:c r="AM163" s="26"/>
    </x:row>
    <x:row r="164">
      <x:c r="A164" s="26"/>
      <x:c r="B164" s="26"/>
      <x:c r="C164" s="26"/>
      <x:c r="D164" s="26"/>
      <x:c r="E164" s="36"/>
      <x:c r="F164" s="37"/>
      <x:c r="G164" s="38"/>
      <x:c r="H164" s="36"/>
      <x:c r="I164" s="36"/>
      <x:c r="J164" s="36"/>
      <x:c r="K164" s="39"/>
      <x:c r="L164" s="36"/>
      <x:c r="M164" s="36"/>
      <x:c r="N164" s="36"/>
      <x:c r="O164" s="36"/>
      <x:c r="P164" s="36"/>
      <x:c r="Q164" s="36"/>
      <x:c r="R164" s="36"/>
      <x:c r="S164" s="36"/>
      <x:c r="T164" s="36"/>
      <x:c r="U164" s="36"/>
      <x:c r="V164" s="37"/>
      <x:c r="W164" s="37"/>
      <x:c r="X164" s="37"/>
      <x:c r="Y164" s="37"/>
      <x:c r="Z164" s="37"/>
      <x:c r="AA164" s="37"/>
      <x:c r="AB164" s="37"/>
      <x:c r="AC164" s="26"/>
      <x:c r="AD164" s="36"/>
      <x:c r="AE164" s="36"/>
      <x:c r="AF164" s="36"/>
      <x:c r="AG164" s="36"/>
      <x:c r="AH164" s="36"/>
      <x:c r="AI164" s="36"/>
      <x:c r="AJ164" s="26"/>
      <x:c r="AK164" s="26"/>
      <x:c r="AL164" s="26"/>
      <x:c r="AM164" s="26"/>
    </x:row>
    <x:row r="165">
      <x:c r="A165" s="26"/>
      <x:c r="B165" s="26"/>
      <x:c r="C165" s="26"/>
      <x:c r="D165" s="26"/>
      <x:c r="E165" s="36"/>
      <x:c r="F165" s="37"/>
      <x:c r="G165" s="38"/>
      <x:c r="H165" s="36"/>
      <x:c r="I165" s="36"/>
      <x:c r="J165" s="36"/>
      <x:c r="K165" s="39"/>
      <x:c r="L165" s="36"/>
      <x:c r="M165" s="36"/>
      <x:c r="N165" s="36"/>
      <x:c r="O165" s="36"/>
      <x:c r="P165" s="36"/>
      <x:c r="Q165" s="36"/>
      <x:c r="R165" s="36"/>
      <x:c r="S165" s="36"/>
      <x:c r="T165" s="36"/>
      <x:c r="U165" s="36"/>
      <x:c r="V165" s="37"/>
      <x:c r="W165" s="37"/>
      <x:c r="X165" s="37"/>
      <x:c r="Y165" s="37"/>
      <x:c r="Z165" s="37"/>
      <x:c r="AA165" s="37"/>
      <x:c r="AB165" s="37"/>
      <x:c r="AC165" s="26"/>
      <x:c r="AD165" s="36"/>
      <x:c r="AE165" s="36"/>
      <x:c r="AF165" s="36"/>
      <x:c r="AG165" s="36"/>
      <x:c r="AH165" s="36"/>
      <x:c r="AI165" s="36"/>
      <x:c r="AJ165" s="26"/>
      <x:c r="AK165" s="26"/>
      <x:c r="AL165" s="26"/>
      <x:c r="AM165" s="26"/>
    </x:row>
    <x:row r="166">
      <x:c r="A166" s="26"/>
      <x:c r="B166" s="26"/>
      <x:c r="C166" s="26"/>
      <x:c r="D166" s="26"/>
      <x:c r="E166" s="36"/>
      <x:c r="F166" s="37"/>
      <x:c r="G166" s="38"/>
      <x:c r="H166" s="36"/>
      <x:c r="I166" s="36"/>
      <x:c r="J166" s="36"/>
      <x:c r="K166" s="39"/>
      <x:c r="L166" s="36"/>
      <x:c r="M166" s="36"/>
      <x:c r="N166" s="36"/>
      <x:c r="O166" s="36"/>
      <x:c r="P166" s="36"/>
      <x:c r="Q166" s="36"/>
      <x:c r="R166" s="36"/>
      <x:c r="S166" s="36"/>
      <x:c r="T166" s="36"/>
      <x:c r="U166" s="36"/>
      <x:c r="V166" s="37"/>
      <x:c r="W166" s="37"/>
      <x:c r="X166" s="37"/>
      <x:c r="Y166" s="37"/>
      <x:c r="Z166" s="37"/>
      <x:c r="AA166" s="37"/>
      <x:c r="AB166" s="37"/>
      <x:c r="AC166" s="26"/>
      <x:c r="AD166" s="36"/>
      <x:c r="AE166" s="36"/>
      <x:c r="AF166" s="36"/>
      <x:c r="AG166" s="36"/>
      <x:c r="AH166" s="36"/>
      <x:c r="AI166" s="36"/>
      <x:c r="AJ166" s="26"/>
      <x:c r="AK166" s="26"/>
      <x:c r="AL166" s="26"/>
      <x:c r="AM166" s="26"/>
    </x:row>
    <x:row r="167">
      <x:c r="A167" s="26"/>
      <x:c r="B167" s="26"/>
      <x:c r="C167" s="26"/>
      <x:c r="D167" s="26"/>
      <x:c r="E167" s="36"/>
      <x:c r="F167" s="37"/>
      <x:c r="G167" s="38"/>
      <x:c r="H167" s="36"/>
      <x:c r="I167" s="36"/>
      <x:c r="J167" s="36"/>
      <x:c r="K167" s="39"/>
      <x:c r="L167" s="36"/>
      <x:c r="M167" s="36"/>
      <x:c r="N167" s="36"/>
      <x:c r="O167" s="36"/>
      <x:c r="P167" s="36"/>
      <x:c r="Q167" s="36"/>
      <x:c r="R167" s="36"/>
      <x:c r="S167" s="36"/>
      <x:c r="T167" s="36"/>
      <x:c r="U167" s="36"/>
      <x:c r="V167" s="37"/>
      <x:c r="W167" s="37"/>
      <x:c r="X167" s="37"/>
      <x:c r="Y167" s="37"/>
      <x:c r="Z167" s="37"/>
      <x:c r="AA167" s="37"/>
      <x:c r="AB167" s="37"/>
      <x:c r="AC167" s="26"/>
      <x:c r="AD167" s="36"/>
      <x:c r="AE167" s="36"/>
      <x:c r="AF167" s="36"/>
      <x:c r="AG167" s="36"/>
      <x:c r="AH167" s="36"/>
      <x:c r="AI167" s="36"/>
      <x:c r="AJ167" s="26"/>
      <x:c r="AK167" s="26"/>
      <x:c r="AL167" s="26"/>
      <x:c r="AM167" s="26"/>
    </x:row>
    <x:row r="168">
      <x:c r="A168" s="26"/>
      <x:c r="B168" s="26"/>
      <x:c r="C168" s="26"/>
      <x:c r="D168" s="26"/>
      <x:c r="E168" s="36"/>
      <x:c r="F168" s="37"/>
      <x:c r="G168" s="38"/>
      <x:c r="H168" s="36"/>
      <x:c r="I168" s="36"/>
      <x:c r="J168" s="36"/>
      <x:c r="K168" s="39"/>
      <x:c r="L168" s="36"/>
      <x:c r="M168" s="36"/>
      <x:c r="N168" s="36"/>
      <x:c r="O168" s="36"/>
      <x:c r="P168" s="36"/>
      <x:c r="Q168" s="36"/>
      <x:c r="R168" s="36"/>
      <x:c r="S168" s="36"/>
      <x:c r="T168" s="36"/>
      <x:c r="U168" s="36"/>
      <x:c r="V168" s="37"/>
      <x:c r="W168" s="37"/>
      <x:c r="X168" s="37"/>
      <x:c r="Y168" s="37"/>
      <x:c r="Z168" s="37"/>
      <x:c r="AA168" s="37"/>
      <x:c r="AB168" s="37"/>
      <x:c r="AC168" s="26"/>
      <x:c r="AD168" s="36"/>
      <x:c r="AE168" s="36"/>
      <x:c r="AF168" s="36"/>
      <x:c r="AG168" s="36"/>
      <x:c r="AH168" s="36"/>
      <x:c r="AI168" s="36"/>
      <x:c r="AJ168" s="26"/>
      <x:c r="AK168" s="26"/>
      <x:c r="AL168" s="26"/>
      <x:c r="AM168" s="26"/>
    </x:row>
    <x:row r="169">
      <x:c r="A169" s="26"/>
      <x:c r="B169" s="26"/>
      <x:c r="C169" s="26"/>
      <x:c r="D169" s="26"/>
      <x:c r="E169" s="36"/>
      <x:c r="F169" s="37"/>
      <x:c r="G169" s="38"/>
      <x:c r="H169" s="36"/>
      <x:c r="I169" s="36"/>
      <x:c r="J169" s="36"/>
      <x:c r="K169" s="39"/>
      <x:c r="L169" s="36"/>
      <x:c r="M169" s="36"/>
      <x:c r="N169" s="36"/>
      <x:c r="O169" s="36"/>
      <x:c r="P169" s="36"/>
      <x:c r="Q169" s="36"/>
      <x:c r="R169" s="36"/>
      <x:c r="S169" s="36"/>
      <x:c r="T169" s="36"/>
      <x:c r="U169" s="36"/>
      <x:c r="V169" s="37"/>
      <x:c r="W169" s="37"/>
      <x:c r="X169" s="37"/>
      <x:c r="Y169" s="37"/>
      <x:c r="Z169" s="37"/>
      <x:c r="AA169" s="37"/>
      <x:c r="AB169" s="37"/>
      <x:c r="AC169" s="26"/>
      <x:c r="AD169" s="36"/>
      <x:c r="AE169" s="36"/>
      <x:c r="AF169" s="36"/>
      <x:c r="AG169" s="36"/>
      <x:c r="AH169" s="36"/>
      <x:c r="AI169" s="36"/>
      <x:c r="AJ169" s="26"/>
      <x:c r="AK169" s="26"/>
      <x:c r="AL169" s="26"/>
      <x:c r="AM169" s="26"/>
    </x:row>
    <x:row r="170">
      <x:c r="A170" s="26"/>
      <x:c r="B170" s="26"/>
      <x:c r="C170" s="26"/>
      <x:c r="D170" s="26"/>
      <x:c r="E170" s="36"/>
      <x:c r="F170" s="37"/>
      <x:c r="G170" s="38"/>
      <x:c r="H170" s="36"/>
      <x:c r="I170" s="36"/>
      <x:c r="J170" s="36"/>
      <x:c r="K170" s="39"/>
      <x:c r="L170" s="36"/>
      <x:c r="M170" s="36"/>
      <x:c r="N170" s="36"/>
      <x:c r="O170" s="36"/>
      <x:c r="P170" s="36"/>
      <x:c r="Q170" s="36"/>
      <x:c r="R170" s="36"/>
      <x:c r="S170" s="36"/>
      <x:c r="T170" s="36"/>
      <x:c r="U170" s="36"/>
      <x:c r="V170" s="37"/>
      <x:c r="W170" s="37"/>
      <x:c r="X170" s="37"/>
      <x:c r="Y170" s="37"/>
      <x:c r="Z170" s="37"/>
      <x:c r="AA170" s="37"/>
      <x:c r="AB170" s="37"/>
      <x:c r="AC170" s="26"/>
      <x:c r="AD170" s="36"/>
      <x:c r="AE170" s="36"/>
      <x:c r="AF170" s="36"/>
      <x:c r="AG170" s="36"/>
      <x:c r="AH170" s="36"/>
      <x:c r="AI170" s="36"/>
      <x:c r="AJ170" s="26"/>
      <x:c r="AK170" s="26"/>
      <x:c r="AL170" s="26"/>
      <x:c r="AM170" s="26"/>
    </x:row>
    <x:row r="171">
      <x:c r="A171" s="26"/>
      <x:c r="B171" s="26"/>
      <x:c r="C171" s="26"/>
      <x:c r="D171" s="26"/>
      <x:c r="E171" s="36"/>
      <x:c r="F171" s="37"/>
      <x:c r="G171" s="38"/>
      <x:c r="H171" s="36"/>
      <x:c r="I171" s="36"/>
      <x:c r="J171" s="36"/>
      <x:c r="K171" s="39"/>
      <x:c r="L171" s="36"/>
      <x:c r="M171" s="36"/>
      <x:c r="N171" s="36"/>
      <x:c r="O171" s="36"/>
      <x:c r="P171" s="36"/>
      <x:c r="Q171" s="36"/>
      <x:c r="R171" s="36"/>
      <x:c r="S171" s="36"/>
      <x:c r="T171" s="36"/>
      <x:c r="U171" s="36"/>
      <x:c r="V171" s="37"/>
      <x:c r="W171" s="37"/>
      <x:c r="X171" s="37"/>
      <x:c r="Y171" s="37"/>
      <x:c r="Z171" s="37"/>
      <x:c r="AA171" s="37"/>
      <x:c r="AB171" s="37"/>
      <x:c r="AC171" s="26"/>
      <x:c r="AD171" s="36"/>
      <x:c r="AE171" s="36"/>
      <x:c r="AF171" s="36"/>
      <x:c r="AG171" s="36"/>
      <x:c r="AH171" s="36"/>
      <x:c r="AI171" s="36"/>
      <x:c r="AJ171" s="26"/>
      <x:c r="AK171" s="26"/>
      <x:c r="AL171" s="26"/>
      <x:c r="AM171" s="26"/>
    </x:row>
    <x:row r="172">
      <x:c r="A172" s="26"/>
      <x:c r="B172" s="26"/>
      <x:c r="C172" s="26"/>
      <x:c r="D172" s="26"/>
      <x:c r="E172" s="36"/>
      <x:c r="F172" s="37"/>
      <x:c r="G172" s="38"/>
      <x:c r="H172" s="36"/>
      <x:c r="I172" s="36"/>
      <x:c r="J172" s="36"/>
      <x:c r="K172" s="39"/>
      <x:c r="L172" s="36"/>
      <x:c r="M172" s="36"/>
      <x:c r="N172" s="36"/>
      <x:c r="O172" s="36"/>
      <x:c r="P172" s="36"/>
      <x:c r="Q172" s="36"/>
      <x:c r="R172" s="36"/>
      <x:c r="S172" s="36"/>
      <x:c r="T172" s="36"/>
      <x:c r="U172" s="36"/>
      <x:c r="V172" s="37"/>
      <x:c r="W172" s="37"/>
      <x:c r="X172" s="37"/>
      <x:c r="Y172" s="37"/>
      <x:c r="Z172" s="37"/>
      <x:c r="AA172" s="37"/>
      <x:c r="AB172" s="37"/>
      <x:c r="AC172" s="26"/>
      <x:c r="AD172" s="36"/>
      <x:c r="AE172" s="36"/>
      <x:c r="AF172" s="36"/>
      <x:c r="AG172" s="36"/>
      <x:c r="AH172" s="36"/>
      <x:c r="AI172" s="36"/>
      <x:c r="AJ172" s="26"/>
      <x:c r="AK172" s="26"/>
      <x:c r="AL172" s="26"/>
      <x:c r="AM172" s="26"/>
    </x:row>
    <x:row r="173">
      <x:c r="A173" s="26"/>
      <x:c r="B173" s="26"/>
      <x:c r="C173" s="26"/>
      <x:c r="D173" s="26"/>
      <x:c r="E173" s="36"/>
      <x:c r="F173" s="37"/>
      <x:c r="G173" s="38"/>
      <x:c r="H173" s="36"/>
      <x:c r="I173" s="36"/>
      <x:c r="J173" s="36"/>
      <x:c r="K173" s="39"/>
      <x:c r="L173" s="36"/>
      <x:c r="M173" s="36"/>
      <x:c r="N173" s="36"/>
      <x:c r="O173" s="36"/>
      <x:c r="P173" s="36"/>
      <x:c r="Q173" s="36"/>
      <x:c r="R173" s="36"/>
      <x:c r="S173" s="36"/>
      <x:c r="T173" s="36"/>
      <x:c r="U173" s="36"/>
      <x:c r="V173" s="37"/>
      <x:c r="W173" s="37"/>
      <x:c r="X173" s="37"/>
      <x:c r="Y173" s="37"/>
      <x:c r="Z173" s="37"/>
      <x:c r="AA173" s="37"/>
      <x:c r="AB173" s="37"/>
      <x:c r="AC173" s="26"/>
      <x:c r="AD173" s="36"/>
      <x:c r="AE173" s="36"/>
      <x:c r="AF173" s="36"/>
      <x:c r="AG173" s="36"/>
      <x:c r="AH173" s="36"/>
      <x:c r="AI173" s="36"/>
      <x:c r="AJ173" s="26"/>
      <x:c r="AK173" s="26"/>
      <x:c r="AL173" s="26"/>
      <x:c r="AM173" s="26"/>
    </x:row>
    <x:row r="174">
      <x:c r="A174" s="26"/>
      <x:c r="B174" s="26"/>
      <x:c r="C174" s="26"/>
      <x:c r="D174" s="26"/>
      <x:c r="E174" s="36"/>
      <x:c r="F174" s="37"/>
      <x:c r="G174" s="38"/>
      <x:c r="H174" s="36"/>
      <x:c r="I174" s="36"/>
      <x:c r="J174" s="36"/>
      <x:c r="K174" s="39"/>
      <x:c r="L174" s="36"/>
      <x:c r="M174" s="36"/>
      <x:c r="N174" s="36"/>
      <x:c r="O174" s="36"/>
      <x:c r="P174" s="36"/>
      <x:c r="Q174" s="36"/>
      <x:c r="R174" s="36"/>
      <x:c r="S174" s="36"/>
      <x:c r="T174" s="36"/>
      <x:c r="U174" s="36"/>
      <x:c r="V174" s="37"/>
      <x:c r="W174" s="37"/>
      <x:c r="X174" s="37"/>
      <x:c r="Y174" s="37"/>
      <x:c r="Z174" s="37"/>
      <x:c r="AA174" s="37"/>
      <x:c r="AB174" s="37"/>
      <x:c r="AC174" s="26"/>
      <x:c r="AD174" s="36"/>
      <x:c r="AE174" s="36"/>
      <x:c r="AF174" s="36"/>
      <x:c r="AG174" s="36"/>
      <x:c r="AH174" s="36"/>
      <x:c r="AI174" s="36"/>
      <x:c r="AJ174" s="26"/>
      <x:c r="AK174" s="26"/>
      <x:c r="AL174" s="26"/>
      <x:c r="AM174" s="26"/>
    </x:row>
    <x:row r="175">
      <x:c r="A175" s="26"/>
      <x:c r="B175" s="26"/>
      <x:c r="C175" s="26"/>
      <x:c r="D175" s="26"/>
      <x:c r="E175" s="36"/>
      <x:c r="F175" s="37"/>
      <x:c r="G175" s="38"/>
      <x:c r="H175" s="36"/>
      <x:c r="I175" s="36"/>
      <x:c r="J175" s="36"/>
      <x:c r="K175" s="39"/>
      <x:c r="L175" s="36"/>
      <x:c r="M175" s="36"/>
      <x:c r="N175" s="36"/>
      <x:c r="O175" s="36"/>
      <x:c r="P175" s="36"/>
      <x:c r="Q175" s="36"/>
      <x:c r="R175" s="36"/>
      <x:c r="S175" s="36"/>
      <x:c r="T175" s="36"/>
      <x:c r="U175" s="36"/>
      <x:c r="V175" s="37"/>
      <x:c r="W175" s="37"/>
      <x:c r="X175" s="37"/>
      <x:c r="Y175" s="37"/>
      <x:c r="Z175" s="37"/>
      <x:c r="AA175" s="37"/>
      <x:c r="AB175" s="37"/>
      <x:c r="AC175" s="26"/>
      <x:c r="AD175" s="36"/>
      <x:c r="AE175" s="36"/>
      <x:c r="AF175" s="36"/>
      <x:c r="AG175" s="36"/>
      <x:c r="AH175" s="36"/>
      <x:c r="AI175" s="36"/>
      <x:c r="AJ175" s="26"/>
      <x:c r="AK175" s="26"/>
      <x:c r="AL175" s="26"/>
      <x:c r="AM175" s="26"/>
    </x:row>
    <x:row r="176">
      <x:c r="A176" s="26"/>
      <x:c r="B176" s="26"/>
      <x:c r="C176" s="26"/>
      <x:c r="D176" s="26"/>
      <x:c r="E176" s="36"/>
      <x:c r="F176" s="37"/>
      <x:c r="G176" s="38"/>
      <x:c r="H176" s="36"/>
      <x:c r="I176" s="36"/>
      <x:c r="J176" s="36"/>
      <x:c r="K176" s="39"/>
      <x:c r="L176" s="36"/>
      <x:c r="M176" s="36"/>
      <x:c r="N176" s="36"/>
      <x:c r="O176" s="36"/>
      <x:c r="P176" s="36"/>
      <x:c r="Q176" s="36"/>
      <x:c r="R176" s="36"/>
      <x:c r="S176" s="36"/>
      <x:c r="T176" s="36"/>
      <x:c r="U176" s="36"/>
      <x:c r="V176" s="37"/>
      <x:c r="W176" s="37"/>
      <x:c r="X176" s="37"/>
      <x:c r="Y176" s="37"/>
      <x:c r="Z176" s="37"/>
      <x:c r="AA176" s="37"/>
      <x:c r="AB176" s="37"/>
      <x:c r="AC176" s="26"/>
      <x:c r="AD176" s="36"/>
      <x:c r="AE176" s="36"/>
      <x:c r="AF176" s="36"/>
      <x:c r="AG176" s="36"/>
      <x:c r="AH176" s="36"/>
      <x:c r="AI176" s="36"/>
      <x:c r="AJ176" s="26"/>
      <x:c r="AK176" s="26"/>
      <x:c r="AL176" s="26"/>
      <x:c r="AM176" s="26"/>
    </x:row>
    <x:row r="177">
      <x:c r="A177" s="26"/>
      <x:c r="B177" s="26"/>
      <x:c r="C177" s="26"/>
      <x:c r="D177" s="26"/>
      <x:c r="E177" s="36"/>
      <x:c r="F177" s="37"/>
      <x:c r="G177" s="38"/>
      <x:c r="H177" s="36"/>
      <x:c r="I177" s="36"/>
      <x:c r="J177" s="36"/>
      <x:c r="K177" s="39"/>
      <x:c r="L177" s="36"/>
      <x:c r="M177" s="36"/>
      <x:c r="N177" s="36"/>
      <x:c r="O177" s="36"/>
      <x:c r="P177" s="36"/>
      <x:c r="Q177" s="36"/>
      <x:c r="R177" s="36"/>
      <x:c r="S177" s="36"/>
      <x:c r="T177" s="36"/>
      <x:c r="U177" s="36"/>
      <x:c r="V177" s="37"/>
      <x:c r="W177" s="37"/>
      <x:c r="X177" s="37"/>
      <x:c r="Y177" s="37"/>
      <x:c r="Z177" s="37"/>
      <x:c r="AA177" s="37"/>
      <x:c r="AB177" s="37"/>
      <x:c r="AC177" s="26"/>
      <x:c r="AD177" s="36"/>
      <x:c r="AE177" s="36"/>
      <x:c r="AF177" s="36"/>
      <x:c r="AG177" s="36"/>
      <x:c r="AH177" s="36"/>
      <x:c r="AI177" s="36"/>
      <x:c r="AJ177" s="26"/>
      <x:c r="AK177" s="26"/>
      <x:c r="AL177" s="26"/>
      <x:c r="AM177" s="26"/>
    </x:row>
    <x:row r="178">
      <x:c r="A178" s="26"/>
      <x:c r="B178" s="26"/>
      <x:c r="C178" s="26"/>
      <x:c r="D178" s="26"/>
      <x:c r="E178" s="36"/>
      <x:c r="F178" s="37"/>
      <x:c r="G178" s="38"/>
      <x:c r="H178" s="36"/>
      <x:c r="I178" s="36"/>
      <x:c r="J178" s="36"/>
      <x:c r="K178" s="39"/>
      <x:c r="L178" s="36"/>
      <x:c r="M178" s="36"/>
      <x:c r="N178" s="36"/>
      <x:c r="O178" s="36"/>
      <x:c r="P178" s="36"/>
      <x:c r="Q178" s="36"/>
      <x:c r="R178" s="36"/>
      <x:c r="S178" s="36"/>
      <x:c r="T178" s="36"/>
      <x:c r="U178" s="36"/>
      <x:c r="V178" s="37"/>
      <x:c r="W178" s="37"/>
      <x:c r="X178" s="37"/>
      <x:c r="Y178" s="37"/>
      <x:c r="Z178" s="37"/>
      <x:c r="AA178" s="37"/>
      <x:c r="AB178" s="37"/>
      <x:c r="AC178" s="26"/>
      <x:c r="AD178" s="36"/>
      <x:c r="AE178" s="36"/>
      <x:c r="AF178" s="36"/>
      <x:c r="AG178" s="36"/>
      <x:c r="AH178" s="36"/>
      <x:c r="AI178" s="36"/>
      <x:c r="AJ178" s="26"/>
      <x:c r="AK178" s="26"/>
      <x:c r="AL178" s="26"/>
      <x:c r="AM178" s="26"/>
    </x:row>
    <x:row r="179">
      <x:c r="A179" s="26"/>
      <x:c r="B179" s="26"/>
      <x:c r="C179" s="26"/>
      <x:c r="D179" s="26"/>
      <x:c r="E179" s="36"/>
      <x:c r="F179" s="37"/>
      <x:c r="G179" s="38"/>
      <x:c r="H179" s="36"/>
      <x:c r="I179" s="36"/>
      <x:c r="J179" s="36"/>
      <x:c r="K179" s="39"/>
      <x:c r="L179" s="36"/>
      <x:c r="M179" s="36"/>
      <x:c r="N179" s="36"/>
      <x:c r="O179" s="36"/>
      <x:c r="P179" s="36"/>
      <x:c r="Q179" s="36"/>
      <x:c r="R179" s="36"/>
      <x:c r="S179" s="36"/>
      <x:c r="T179" s="36"/>
      <x:c r="U179" s="36"/>
      <x:c r="V179" s="37"/>
      <x:c r="W179" s="37"/>
      <x:c r="X179" s="37"/>
      <x:c r="Y179" s="37"/>
      <x:c r="Z179" s="37"/>
      <x:c r="AA179" s="37"/>
      <x:c r="AB179" s="37"/>
      <x:c r="AC179" s="26"/>
      <x:c r="AD179" s="36"/>
      <x:c r="AE179" s="36"/>
      <x:c r="AF179" s="36"/>
      <x:c r="AG179" s="36"/>
      <x:c r="AH179" s="36"/>
      <x:c r="AI179" s="36"/>
      <x:c r="AJ179" s="26"/>
      <x:c r="AK179" s="26"/>
      <x:c r="AL179" s="26"/>
      <x:c r="AM179" s="26"/>
    </x:row>
    <x:row r="180">
      <x:c r="A180" s="26"/>
      <x:c r="B180" s="26"/>
      <x:c r="C180" s="26"/>
      <x:c r="D180" s="26"/>
      <x:c r="E180" s="36"/>
      <x:c r="F180" s="37"/>
      <x:c r="G180" s="38"/>
      <x:c r="H180" s="36"/>
      <x:c r="I180" s="36"/>
      <x:c r="J180" s="36"/>
      <x:c r="K180" s="39"/>
      <x:c r="L180" s="36"/>
      <x:c r="M180" s="36"/>
      <x:c r="N180" s="36"/>
      <x:c r="O180" s="36"/>
      <x:c r="P180" s="36"/>
      <x:c r="Q180" s="36"/>
      <x:c r="R180" s="36"/>
      <x:c r="S180" s="36"/>
      <x:c r="T180" s="36"/>
      <x:c r="U180" s="36"/>
      <x:c r="V180" s="37"/>
      <x:c r="W180" s="37"/>
      <x:c r="X180" s="37"/>
      <x:c r="Y180" s="37"/>
      <x:c r="Z180" s="37"/>
      <x:c r="AA180" s="37"/>
      <x:c r="AB180" s="37"/>
      <x:c r="AC180" s="26"/>
      <x:c r="AD180" s="36"/>
      <x:c r="AE180" s="36"/>
      <x:c r="AF180" s="36"/>
      <x:c r="AG180" s="36"/>
      <x:c r="AH180" s="36"/>
      <x:c r="AI180" s="36"/>
      <x:c r="AJ180" s="26"/>
      <x:c r="AK180" s="26"/>
      <x:c r="AL180" s="26"/>
      <x:c r="AM180" s="26"/>
    </x:row>
    <x:row r="181">
      <x:c r="A181" s="26"/>
      <x:c r="B181" s="26"/>
      <x:c r="C181" s="26"/>
      <x:c r="D181" s="26"/>
      <x:c r="E181" s="36"/>
      <x:c r="F181" s="37"/>
      <x:c r="G181" s="38"/>
      <x:c r="H181" s="36"/>
      <x:c r="I181" s="36"/>
      <x:c r="J181" s="36"/>
      <x:c r="K181" s="39"/>
      <x:c r="L181" s="36"/>
      <x:c r="M181" s="36"/>
      <x:c r="N181" s="36"/>
      <x:c r="O181" s="36"/>
      <x:c r="P181" s="36"/>
      <x:c r="Q181" s="36"/>
      <x:c r="R181" s="36"/>
      <x:c r="S181" s="36"/>
      <x:c r="T181" s="36"/>
      <x:c r="U181" s="36"/>
      <x:c r="V181" s="37"/>
      <x:c r="W181" s="37"/>
      <x:c r="X181" s="37"/>
      <x:c r="Y181" s="37"/>
      <x:c r="Z181" s="37"/>
      <x:c r="AA181" s="37"/>
      <x:c r="AB181" s="37"/>
      <x:c r="AC181" s="26"/>
      <x:c r="AD181" s="36"/>
      <x:c r="AE181" s="36"/>
      <x:c r="AF181" s="36"/>
      <x:c r="AG181" s="36"/>
      <x:c r="AH181" s="36"/>
      <x:c r="AI181" s="36"/>
      <x:c r="AJ181" s="26"/>
      <x:c r="AK181" s="26"/>
      <x:c r="AL181" s="26"/>
      <x:c r="AM181" s="26"/>
    </x:row>
    <x:row r="182">
      <x:c r="A182" s="26"/>
      <x:c r="B182" s="26"/>
      <x:c r="C182" s="26"/>
      <x:c r="D182" s="26"/>
      <x:c r="E182" s="36"/>
      <x:c r="F182" s="37"/>
      <x:c r="G182" s="38"/>
      <x:c r="H182" s="36"/>
      <x:c r="I182" s="36"/>
      <x:c r="J182" s="36"/>
      <x:c r="K182" s="39"/>
      <x:c r="L182" s="36"/>
      <x:c r="M182" s="36"/>
      <x:c r="N182" s="36"/>
      <x:c r="O182" s="36"/>
      <x:c r="P182" s="36"/>
      <x:c r="Q182" s="36"/>
      <x:c r="R182" s="36"/>
      <x:c r="S182" s="36"/>
      <x:c r="T182" s="36"/>
      <x:c r="U182" s="36"/>
      <x:c r="V182" s="37"/>
      <x:c r="W182" s="37"/>
      <x:c r="X182" s="37"/>
      <x:c r="Y182" s="37"/>
      <x:c r="Z182" s="37"/>
      <x:c r="AA182" s="37"/>
      <x:c r="AB182" s="37"/>
      <x:c r="AC182" s="26"/>
      <x:c r="AD182" s="36"/>
      <x:c r="AE182" s="36"/>
      <x:c r="AF182" s="36"/>
      <x:c r="AG182" s="36"/>
      <x:c r="AH182" s="36"/>
      <x:c r="AI182" s="36"/>
      <x:c r="AJ182" s="26"/>
      <x:c r="AK182" s="26"/>
      <x:c r="AL182" s="26"/>
      <x:c r="AM182" s="26"/>
    </x:row>
    <x:row r="183">
      <x:c r="A183" s="26"/>
      <x:c r="B183" s="26"/>
      <x:c r="C183" s="26"/>
      <x:c r="D183" s="26"/>
      <x:c r="E183" s="36"/>
      <x:c r="F183" s="37"/>
      <x:c r="G183" s="38"/>
      <x:c r="H183" s="36"/>
      <x:c r="I183" s="36"/>
      <x:c r="J183" s="36"/>
      <x:c r="K183" s="39"/>
      <x:c r="L183" s="36"/>
      <x:c r="M183" s="36"/>
      <x:c r="N183" s="36"/>
      <x:c r="O183" s="36"/>
      <x:c r="P183" s="36"/>
      <x:c r="Q183" s="36"/>
      <x:c r="R183" s="36"/>
      <x:c r="S183" s="36"/>
      <x:c r="T183" s="36"/>
      <x:c r="U183" s="36"/>
      <x:c r="V183" s="37"/>
      <x:c r="W183" s="37"/>
      <x:c r="X183" s="37"/>
      <x:c r="Y183" s="37"/>
      <x:c r="Z183" s="37"/>
      <x:c r="AA183" s="37"/>
      <x:c r="AB183" s="37"/>
      <x:c r="AC183" s="26"/>
      <x:c r="AD183" s="36"/>
      <x:c r="AE183" s="36"/>
      <x:c r="AF183" s="36"/>
      <x:c r="AG183" s="36"/>
      <x:c r="AH183" s="36"/>
      <x:c r="AI183" s="36"/>
      <x:c r="AJ183" s="26"/>
      <x:c r="AK183" s="26"/>
      <x:c r="AL183" s="26"/>
      <x:c r="AM183" s="26"/>
    </x:row>
    <x:row r="184">
      <x:c r="A184" s="26"/>
      <x:c r="B184" s="26"/>
      <x:c r="C184" s="26"/>
      <x:c r="D184" s="26"/>
      <x:c r="E184" s="36"/>
      <x:c r="F184" s="37"/>
      <x:c r="G184" s="38"/>
      <x:c r="H184" s="36"/>
      <x:c r="I184" s="36"/>
      <x:c r="J184" s="36"/>
      <x:c r="K184" s="39"/>
      <x:c r="L184" s="36"/>
      <x:c r="M184" s="36"/>
      <x:c r="N184" s="36"/>
      <x:c r="O184" s="36"/>
      <x:c r="P184" s="36"/>
      <x:c r="Q184" s="36"/>
      <x:c r="R184" s="36"/>
      <x:c r="S184" s="36"/>
      <x:c r="T184" s="36"/>
      <x:c r="U184" s="36"/>
      <x:c r="V184" s="37"/>
      <x:c r="W184" s="37"/>
      <x:c r="X184" s="37"/>
      <x:c r="Y184" s="37"/>
      <x:c r="Z184" s="37"/>
      <x:c r="AA184" s="37"/>
      <x:c r="AB184" s="37"/>
      <x:c r="AC184" s="26"/>
      <x:c r="AD184" s="36"/>
      <x:c r="AE184" s="36"/>
      <x:c r="AF184" s="36"/>
      <x:c r="AG184" s="36"/>
      <x:c r="AH184" s="36"/>
      <x:c r="AI184" s="36"/>
      <x:c r="AJ184" s="26"/>
      <x:c r="AK184" s="26"/>
      <x:c r="AL184" s="26"/>
      <x:c r="AM184" s="26"/>
    </x:row>
    <x:row r="185">
      <x:c r="A185" s="26"/>
      <x:c r="B185" s="26"/>
      <x:c r="C185" s="26"/>
      <x:c r="D185" s="26"/>
      <x:c r="E185" s="36"/>
      <x:c r="F185" s="37"/>
      <x:c r="G185" s="38"/>
      <x:c r="H185" s="36"/>
      <x:c r="I185" s="36"/>
      <x:c r="J185" s="36"/>
      <x:c r="K185" s="39"/>
      <x:c r="L185" s="36"/>
      <x:c r="M185" s="36"/>
      <x:c r="N185" s="36"/>
      <x:c r="O185" s="36"/>
      <x:c r="P185" s="36"/>
      <x:c r="Q185" s="36"/>
      <x:c r="R185" s="36"/>
      <x:c r="S185" s="36"/>
      <x:c r="T185" s="36"/>
      <x:c r="U185" s="36"/>
      <x:c r="V185" s="37"/>
      <x:c r="W185" s="37"/>
      <x:c r="X185" s="37"/>
      <x:c r="Y185" s="37"/>
      <x:c r="Z185" s="37"/>
      <x:c r="AA185" s="37"/>
      <x:c r="AB185" s="37"/>
      <x:c r="AC185" s="26"/>
      <x:c r="AD185" s="36"/>
      <x:c r="AE185" s="36"/>
      <x:c r="AF185" s="36"/>
      <x:c r="AG185" s="36"/>
      <x:c r="AH185" s="36"/>
      <x:c r="AI185" s="36"/>
      <x:c r="AJ185" s="26"/>
      <x:c r="AK185" s="26"/>
      <x:c r="AL185" s="26"/>
      <x:c r="AM185" s="26"/>
    </x:row>
    <x:row r="186">
      <x:c r="A186" s="26"/>
      <x:c r="B186" s="26"/>
      <x:c r="C186" s="26"/>
      <x:c r="D186" s="26"/>
      <x:c r="E186" s="36"/>
      <x:c r="F186" s="37"/>
      <x:c r="G186" s="38"/>
      <x:c r="H186" s="36"/>
      <x:c r="I186" s="36"/>
      <x:c r="J186" s="36"/>
      <x:c r="K186" s="39"/>
      <x:c r="L186" s="36"/>
      <x:c r="M186" s="36"/>
      <x:c r="N186" s="36"/>
      <x:c r="O186" s="36"/>
      <x:c r="P186" s="36"/>
      <x:c r="Q186" s="36"/>
      <x:c r="R186" s="36"/>
      <x:c r="S186" s="36"/>
      <x:c r="T186" s="36"/>
      <x:c r="U186" s="36"/>
      <x:c r="V186" s="37"/>
      <x:c r="W186" s="37"/>
      <x:c r="X186" s="37"/>
      <x:c r="Y186" s="37"/>
      <x:c r="Z186" s="37"/>
      <x:c r="AA186" s="37"/>
      <x:c r="AB186" s="37"/>
      <x:c r="AC186" s="26"/>
      <x:c r="AD186" s="36"/>
      <x:c r="AE186" s="36"/>
      <x:c r="AF186" s="36"/>
      <x:c r="AG186" s="36"/>
      <x:c r="AH186" s="36"/>
      <x:c r="AI186" s="36"/>
      <x:c r="AJ186" s="26"/>
      <x:c r="AK186" s="26"/>
      <x:c r="AL186" s="26"/>
      <x:c r="AM186" s="26"/>
    </x:row>
    <x:row r="187">
      <x:c r="A187" s="26"/>
      <x:c r="B187" s="26"/>
      <x:c r="C187" s="26"/>
      <x:c r="D187" s="26"/>
      <x:c r="E187" s="36"/>
      <x:c r="F187" s="37"/>
      <x:c r="G187" s="38"/>
      <x:c r="H187" s="36"/>
      <x:c r="I187" s="36"/>
      <x:c r="J187" s="36"/>
      <x:c r="K187" s="39"/>
      <x:c r="L187" s="36"/>
      <x:c r="M187" s="36"/>
      <x:c r="N187" s="36"/>
      <x:c r="O187" s="36"/>
      <x:c r="P187" s="36"/>
      <x:c r="Q187" s="36"/>
      <x:c r="R187" s="36"/>
      <x:c r="S187" s="36"/>
      <x:c r="T187" s="36"/>
      <x:c r="U187" s="36"/>
      <x:c r="V187" s="37"/>
      <x:c r="W187" s="37"/>
      <x:c r="X187" s="37"/>
      <x:c r="Y187" s="37"/>
      <x:c r="Z187" s="37"/>
      <x:c r="AA187" s="37"/>
      <x:c r="AB187" s="37"/>
      <x:c r="AC187" s="26"/>
      <x:c r="AD187" s="36"/>
      <x:c r="AE187" s="36"/>
      <x:c r="AF187" s="36"/>
      <x:c r="AG187" s="36"/>
      <x:c r="AH187" s="36"/>
      <x:c r="AI187" s="36"/>
      <x:c r="AJ187" s="26"/>
      <x:c r="AK187" s="26"/>
      <x:c r="AL187" s="26"/>
      <x:c r="AM187" s="26"/>
    </x:row>
    <x:row r="188">
      <x:c r="A188" s="26"/>
      <x:c r="B188" s="26"/>
      <x:c r="C188" s="26"/>
      <x:c r="D188" s="26"/>
      <x:c r="E188" s="36"/>
      <x:c r="F188" s="37"/>
      <x:c r="G188" s="38"/>
      <x:c r="H188" s="36"/>
      <x:c r="I188" s="36"/>
      <x:c r="J188" s="36"/>
      <x:c r="K188" s="39"/>
      <x:c r="L188" s="36"/>
      <x:c r="M188" s="36"/>
      <x:c r="N188" s="36"/>
      <x:c r="O188" s="36"/>
      <x:c r="P188" s="36"/>
      <x:c r="Q188" s="36"/>
      <x:c r="R188" s="36"/>
      <x:c r="S188" s="36"/>
      <x:c r="T188" s="36"/>
      <x:c r="U188" s="36"/>
      <x:c r="V188" s="37"/>
      <x:c r="W188" s="37"/>
      <x:c r="X188" s="37"/>
      <x:c r="Y188" s="37"/>
      <x:c r="Z188" s="37"/>
      <x:c r="AA188" s="37"/>
      <x:c r="AB188" s="37"/>
      <x:c r="AC188" s="26"/>
      <x:c r="AD188" s="36"/>
      <x:c r="AE188" s="36"/>
      <x:c r="AF188" s="36"/>
      <x:c r="AG188" s="36"/>
      <x:c r="AH188" s="36"/>
      <x:c r="AI188" s="36"/>
      <x:c r="AJ188" s="26"/>
      <x:c r="AK188" s="26"/>
      <x:c r="AL188" s="26"/>
      <x:c r="AM188" s="26"/>
    </x:row>
    <x:row r="189">
      <x:c r="A189" s="26"/>
      <x:c r="B189" s="26"/>
      <x:c r="C189" s="26"/>
      <x:c r="D189" s="26"/>
      <x:c r="E189" s="36"/>
      <x:c r="F189" s="37"/>
      <x:c r="G189" s="38"/>
      <x:c r="H189" s="36"/>
      <x:c r="I189" s="36"/>
      <x:c r="J189" s="36"/>
      <x:c r="K189" s="39"/>
      <x:c r="L189" s="36"/>
      <x:c r="M189" s="36"/>
      <x:c r="N189" s="36"/>
      <x:c r="O189" s="36"/>
      <x:c r="P189" s="36"/>
      <x:c r="Q189" s="36"/>
      <x:c r="R189" s="36"/>
      <x:c r="S189" s="36"/>
      <x:c r="T189" s="36"/>
      <x:c r="U189" s="36"/>
      <x:c r="V189" s="37"/>
      <x:c r="W189" s="37"/>
      <x:c r="X189" s="37"/>
      <x:c r="Y189" s="37"/>
      <x:c r="Z189" s="37"/>
      <x:c r="AA189" s="37"/>
      <x:c r="AB189" s="37"/>
      <x:c r="AC189" s="26"/>
      <x:c r="AD189" s="36"/>
      <x:c r="AE189" s="36"/>
      <x:c r="AF189" s="36"/>
      <x:c r="AG189" s="36"/>
      <x:c r="AH189" s="36"/>
      <x:c r="AI189" s="36"/>
      <x:c r="AJ189" s="26"/>
      <x:c r="AK189" s="26"/>
      <x:c r="AL189" s="26"/>
      <x:c r="AM189" s="26"/>
    </x:row>
    <x:row r="190">
      <x:c r="A190" s="26"/>
      <x:c r="B190" s="26"/>
      <x:c r="C190" s="26"/>
      <x:c r="D190" s="26"/>
      <x:c r="E190" s="36"/>
      <x:c r="F190" s="37"/>
      <x:c r="G190" s="38"/>
      <x:c r="H190" s="36"/>
      <x:c r="I190" s="36"/>
      <x:c r="J190" s="36"/>
      <x:c r="K190" s="39"/>
      <x:c r="L190" s="36"/>
      <x:c r="M190" s="36"/>
      <x:c r="N190" s="36"/>
      <x:c r="O190" s="36"/>
      <x:c r="P190" s="36"/>
      <x:c r="Q190" s="36"/>
      <x:c r="R190" s="36"/>
      <x:c r="S190" s="36"/>
      <x:c r="T190" s="36"/>
      <x:c r="U190" s="36"/>
      <x:c r="V190" s="37"/>
      <x:c r="W190" s="37"/>
      <x:c r="X190" s="37"/>
      <x:c r="Y190" s="37"/>
      <x:c r="Z190" s="37"/>
      <x:c r="AA190" s="37"/>
      <x:c r="AB190" s="37"/>
      <x:c r="AC190" s="26"/>
      <x:c r="AD190" s="36"/>
      <x:c r="AE190" s="36"/>
      <x:c r="AF190" s="36"/>
      <x:c r="AG190" s="36"/>
      <x:c r="AH190" s="36"/>
      <x:c r="AI190" s="36"/>
      <x:c r="AJ190" s="26"/>
      <x:c r="AK190" s="26"/>
      <x:c r="AL190" s="26"/>
      <x:c r="AM190" s="26"/>
    </x:row>
    <x:row r="191">
      <x:c r="A191" s="26"/>
      <x:c r="B191" s="26"/>
      <x:c r="C191" s="26"/>
      <x:c r="D191" s="26"/>
      <x:c r="E191" s="36"/>
      <x:c r="F191" s="37"/>
      <x:c r="G191" s="38"/>
      <x:c r="H191" s="36"/>
      <x:c r="I191" s="36"/>
      <x:c r="J191" s="36"/>
      <x:c r="K191" s="39"/>
      <x:c r="L191" s="36"/>
      <x:c r="M191" s="36"/>
      <x:c r="N191" s="36"/>
      <x:c r="O191" s="36"/>
      <x:c r="P191" s="36"/>
      <x:c r="Q191" s="36"/>
      <x:c r="R191" s="36"/>
      <x:c r="S191" s="36"/>
      <x:c r="T191" s="36"/>
      <x:c r="U191" s="36"/>
      <x:c r="V191" s="37"/>
      <x:c r="W191" s="37"/>
      <x:c r="X191" s="37"/>
      <x:c r="Y191" s="37"/>
      <x:c r="Z191" s="37"/>
      <x:c r="AA191" s="37"/>
      <x:c r="AB191" s="37"/>
      <x:c r="AC191" s="26"/>
      <x:c r="AD191" s="36"/>
      <x:c r="AE191" s="36"/>
      <x:c r="AF191" s="36"/>
      <x:c r="AG191" s="36"/>
      <x:c r="AH191" s="36"/>
      <x:c r="AI191" s="36"/>
      <x:c r="AJ191" s="26"/>
      <x:c r="AK191" s="26"/>
      <x:c r="AL191" s="26"/>
      <x:c r="AM191" s="26"/>
    </x:row>
    <x:row r="192">
      <x:c r="A192" s="26"/>
      <x:c r="B192" s="26"/>
      <x:c r="C192" s="26"/>
      <x:c r="D192" s="26"/>
      <x:c r="E192" s="36"/>
      <x:c r="F192" s="37"/>
      <x:c r="G192" s="38"/>
      <x:c r="H192" s="36"/>
      <x:c r="I192" s="36"/>
      <x:c r="J192" s="36"/>
      <x:c r="K192" s="39"/>
      <x:c r="L192" s="36"/>
      <x:c r="M192" s="36"/>
      <x:c r="N192" s="36"/>
      <x:c r="O192" s="36"/>
      <x:c r="P192" s="36"/>
      <x:c r="Q192" s="36"/>
      <x:c r="R192" s="36"/>
      <x:c r="S192" s="36"/>
      <x:c r="T192" s="36"/>
      <x:c r="U192" s="36"/>
      <x:c r="V192" s="37"/>
      <x:c r="W192" s="37"/>
      <x:c r="X192" s="37"/>
      <x:c r="Y192" s="37"/>
      <x:c r="Z192" s="37"/>
      <x:c r="AA192" s="37"/>
      <x:c r="AB192" s="37"/>
      <x:c r="AC192" s="26"/>
      <x:c r="AD192" s="36"/>
      <x:c r="AE192" s="36"/>
      <x:c r="AF192" s="36"/>
      <x:c r="AG192" s="36"/>
      <x:c r="AH192" s="36"/>
      <x:c r="AI192" s="36"/>
      <x:c r="AJ192" s="26"/>
      <x:c r="AK192" s="26"/>
      <x:c r="AL192" s="26"/>
      <x:c r="AM192" s="26"/>
    </x:row>
    <x:row r="193">
      <x:c r="A193" s="26"/>
      <x:c r="B193" s="26"/>
      <x:c r="C193" s="26"/>
      <x:c r="D193" s="26"/>
      <x:c r="E193" s="36"/>
      <x:c r="F193" s="37"/>
      <x:c r="G193" s="38"/>
      <x:c r="H193" s="36"/>
      <x:c r="I193" s="36"/>
      <x:c r="J193" s="36"/>
      <x:c r="K193" s="39"/>
      <x:c r="L193" s="36"/>
      <x:c r="M193" s="36"/>
      <x:c r="N193" s="36"/>
      <x:c r="O193" s="36"/>
      <x:c r="P193" s="36"/>
      <x:c r="Q193" s="36"/>
      <x:c r="R193" s="36"/>
      <x:c r="S193" s="36"/>
      <x:c r="T193" s="36"/>
      <x:c r="U193" s="36"/>
      <x:c r="V193" s="37"/>
      <x:c r="W193" s="37"/>
      <x:c r="X193" s="37"/>
      <x:c r="Y193" s="37"/>
      <x:c r="Z193" s="37"/>
      <x:c r="AA193" s="37"/>
      <x:c r="AB193" s="37"/>
      <x:c r="AC193" s="26"/>
      <x:c r="AD193" s="36"/>
      <x:c r="AE193" s="36"/>
      <x:c r="AF193" s="36"/>
      <x:c r="AG193" s="36"/>
      <x:c r="AH193" s="36"/>
      <x:c r="AI193" s="36"/>
      <x:c r="AJ193" s="26"/>
      <x:c r="AK193" s="26"/>
      <x:c r="AL193" s="26"/>
      <x:c r="AM193" s="26"/>
    </x:row>
    <x:row r="194">
      <x:c r="A194" s="26"/>
      <x:c r="B194" s="26"/>
      <x:c r="C194" s="26"/>
      <x:c r="D194" s="26"/>
      <x:c r="E194" s="36"/>
      <x:c r="F194" s="37"/>
      <x:c r="G194" s="38"/>
      <x:c r="H194" s="36"/>
      <x:c r="I194" s="36"/>
      <x:c r="J194" s="36"/>
      <x:c r="K194" s="39"/>
      <x:c r="L194" s="36"/>
      <x:c r="M194" s="36"/>
      <x:c r="N194" s="36"/>
      <x:c r="O194" s="36"/>
      <x:c r="P194" s="36"/>
      <x:c r="Q194" s="36"/>
      <x:c r="R194" s="36"/>
      <x:c r="S194" s="36"/>
      <x:c r="T194" s="36"/>
      <x:c r="U194" s="36"/>
      <x:c r="V194" s="37"/>
      <x:c r="W194" s="37"/>
      <x:c r="X194" s="37"/>
      <x:c r="Y194" s="37"/>
      <x:c r="Z194" s="37"/>
      <x:c r="AA194" s="37"/>
      <x:c r="AB194" s="37"/>
      <x:c r="AC194" s="26"/>
      <x:c r="AD194" s="36"/>
      <x:c r="AE194" s="36"/>
      <x:c r="AF194" s="36"/>
      <x:c r="AG194" s="36"/>
      <x:c r="AH194" s="36"/>
      <x:c r="AI194" s="36"/>
      <x:c r="AJ194" s="26"/>
      <x:c r="AK194" s="26"/>
      <x:c r="AL194" s="26"/>
      <x:c r="AM194" s="26"/>
    </x:row>
    <x:row r="195">
      <x:c r="A195" s="26"/>
      <x:c r="B195" s="26"/>
      <x:c r="C195" s="26"/>
      <x:c r="D195" s="26"/>
      <x:c r="E195" s="36"/>
      <x:c r="F195" s="37"/>
      <x:c r="G195" s="38"/>
      <x:c r="H195" s="36"/>
      <x:c r="I195" s="36"/>
      <x:c r="J195" s="36"/>
      <x:c r="K195" s="39"/>
      <x:c r="L195" s="36"/>
      <x:c r="M195" s="36"/>
      <x:c r="N195" s="36"/>
      <x:c r="O195" s="36"/>
      <x:c r="P195" s="36"/>
      <x:c r="Q195" s="36"/>
      <x:c r="R195" s="36"/>
      <x:c r="S195" s="36"/>
      <x:c r="T195" s="36"/>
      <x:c r="U195" s="36"/>
      <x:c r="V195" s="37"/>
      <x:c r="W195" s="37"/>
      <x:c r="X195" s="37"/>
      <x:c r="Y195" s="37"/>
      <x:c r="Z195" s="37"/>
      <x:c r="AA195" s="37"/>
      <x:c r="AB195" s="37"/>
      <x:c r="AC195" s="26"/>
      <x:c r="AD195" s="36"/>
      <x:c r="AE195" s="36"/>
      <x:c r="AF195" s="36"/>
      <x:c r="AG195" s="36"/>
      <x:c r="AH195" s="36"/>
      <x:c r="AI195" s="36"/>
      <x:c r="AJ195" s="26"/>
      <x:c r="AK195" s="26"/>
      <x:c r="AL195" s="26"/>
      <x:c r="AM195" s="26"/>
    </x:row>
    <x:row r="196">
      <x:c r="A196" s="26"/>
      <x:c r="B196" s="26"/>
      <x:c r="C196" s="26"/>
      <x:c r="D196" s="26"/>
      <x:c r="E196" s="36"/>
      <x:c r="F196" s="37"/>
      <x:c r="G196" s="38"/>
      <x:c r="H196" s="36"/>
      <x:c r="I196" s="36"/>
      <x:c r="J196" s="36"/>
      <x:c r="K196" s="39"/>
      <x:c r="L196" s="36"/>
      <x:c r="M196" s="36"/>
      <x:c r="N196" s="36"/>
      <x:c r="O196" s="36"/>
      <x:c r="P196" s="36"/>
      <x:c r="Q196" s="36"/>
      <x:c r="R196" s="36"/>
      <x:c r="S196" s="36"/>
      <x:c r="T196" s="36"/>
      <x:c r="U196" s="36"/>
      <x:c r="V196" s="37"/>
      <x:c r="W196" s="37"/>
      <x:c r="X196" s="37"/>
      <x:c r="Y196" s="37"/>
      <x:c r="Z196" s="37"/>
      <x:c r="AA196" s="37"/>
      <x:c r="AB196" s="37"/>
      <x:c r="AC196" s="26"/>
      <x:c r="AD196" s="36"/>
      <x:c r="AE196" s="36"/>
      <x:c r="AF196" s="36"/>
      <x:c r="AG196" s="36"/>
      <x:c r="AH196" s="36"/>
      <x:c r="AI196" s="36"/>
      <x:c r="AJ196" s="26"/>
      <x:c r="AK196" s="26"/>
      <x:c r="AL196" s="26"/>
      <x:c r="AM196" s="26"/>
    </x:row>
    <x:row r="197">
      <x:c r="A197" s="26"/>
      <x:c r="B197" s="26"/>
      <x:c r="C197" s="26"/>
      <x:c r="D197" s="26"/>
      <x:c r="E197" s="36"/>
      <x:c r="F197" s="37"/>
      <x:c r="G197" s="38"/>
      <x:c r="H197" s="36"/>
      <x:c r="I197" s="36"/>
      <x:c r="J197" s="36"/>
      <x:c r="K197" s="39"/>
      <x:c r="L197" s="36"/>
      <x:c r="M197" s="36"/>
      <x:c r="N197" s="36"/>
      <x:c r="O197" s="36"/>
      <x:c r="P197" s="36"/>
      <x:c r="Q197" s="36"/>
      <x:c r="R197" s="36"/>
      <x:c r="S197" s="36"/>
      <x:c r="T197" s="36"/>
      <x:c r="U197" s="36"/>
      <x:c r="V197" s="37"/>
      <x:c r="W197" s="37"/>
      <x:c r="X197" s="37"/>
      <x:c r="Y197" s="37"/>
      <x:c r="Z197" s="37"/>
      <x:c r="AA197" s="37"/>
      <x:c r="AB197" s="37"/>
      <x:c r="AC197" s="26"/>
      <x:c r="AD197" s="36"/>
      <x:c r="AE197" s="36"/>
      <x:c r="AF197" s="36"/>
      <x:c r="AG197" s="36"/>
      <x:c r="AH197" s="36"/>
      <x:c r="AI197" s="36"/>
      <x:c r="AJ197" s="26"/>
      <x:c r="AK197" s="26"/>
      <x:c r="AL197" s="26"/>
      <x:c r="AM197" s="26"/>
    </x:row>
    <x:row r="198">
      <x:c r="A198" s="26"/>
      <x:c r="B198" s="26"/>
      <x:c r="C198" s="26"/>
      <x:c r="D198" s="26"/>
      <x:c r="E198" s="36"/>
      <x:c r="F198" s="37"/>
      <x:c r="G198" s="38"/>
      <x:c r="H198" s="36"/>
      <x:c r="I198" s="36"/>
      <x:c r="J198" s="36"/>
      <x:c r="K198" s="39"/>
      <x:c r="L198" s="36"/>
      <x:c r="M198" s="36"/>
      <x:c r="N198" s="36"/>
      <x:c r="O198" s="36"/>
      <x:c r="P198" s="36"/>
      <x:c r="Q198" s="36"/>
      <x:c r="R198" s="36"/>
      <x:c r="S198" s="36"/>
      <x:c r="T198" s="36"/>
      <x:c r="U198" s="36"/>
      <x:c r="V198" s="37"/>
      <x:c r="W198" s="37"/>
      <x:c r="X198" s="37"/>
      <x:c r="Y198" s="37"/>
      <x:c r="Z198" s="37"/>
      <x:c r="AA198" s="37"/>
      <x:c r="AB198" s="37"/>
      <x:c r="AC198" s="26"/>
      <x:c r="AD198" s="36"/>
      <x:c r="AE198" s="36"/>
      <x:c r="AF198" s="36"/>
      <x:c r="AG198" s="36"/>
      <x:c r="AH198" s="36"/>
      <x:c r="AI198" s="36"/>
      <x:c r="AJ198" s="26"/>
      <x:c r="AK198" s="26"/>
      <x:c r="AL198" s="26"/>
      <x:c r="AM198" s="26"/>
    </x:row>
    <x:row r="199">
      <x:c r="A199" s="26"/>
      <x:c r="B199" s="26"/>
      <x:c r="C199" s="26"/>
      <x:c r="D199" s="26"/>
      <x:c r="E199" s="36"/>
      <x:c r="F199" s="37"/>
      <x:c r="G199" s="38"/>
      <x:c r="H199" s="36"/>
      <x:c r="I199" s="36"/>
      <x:c r="J199" s="36"/>
      <x:c r="K199" s="39"/>
      <x:c r="L199" s="36"/>
      <x:c r="M199" s="36"/>
      <x:c r="N199" s="36"/>
      <x:c r="O199" s="36"/>
      <x:c r="P199" s="36"/>
      <x:c r="Q199" s="36"/>
      <x:c r="R199" s="36"/>
      <x:c r="S199" s="36"/>
      <x:c r="T199" s="36"/>
      <x:c r="U199" s="36"/>
      <x:c r="V199" s="37"/>
      <x:c r="W199" s="37"/>
      <x:c r="X199" s="37"/>
      <x:c r="Y199" s="37"/>
      <x:c r="Z199" s="37"/>
      <x:c r="AA199" s="37"/>
      <x:c r="AB199" s="37"/>
      <x:c r="AC199" s="26"/>
      <x:c r="AD199" s="36"/>
      <x:c r="AE199" s="36"/>
      <x:c r="AF199" s="36"/>
      <x:c r="AG199" s="36"/>
      <x:c r="AH199" s="36"/>
      <x:c r="AI199" s="36"/>
      <x:c r="AJ199" s="26"/>
      <x:c r="AK199" s="26"/>
      <x:c r="AL199" s="26"/>
      <x:c r="AM199" s="26"/>
    </x:row>
    <x:row r="200">
      <x:c r="A200" s="26"/>
      <x:c r="B200" s="26"/>
      <x:c r="C200" s="26"/>
      <x:c r="D200" s="26"/>
      <x:c r="E200" s="36"/>
      <x:c r="F200" s="37"/>
      <x:c r="G200" s="38"/>
      <x:c r="H200" s="36"/>
      <x:c r="I200" s="36"/>
      <x:c r="J200" s="36"/>
      <x:c r="K200" s="39"/>
      <x:c r="L200" s="36"/>
      <x:c r="M200" s="36"/>
      <x:c r="N200" s="36"/>
      <x:c r="O200" s="36"/>
      <x:c r="P200" s="36"/>
      <x:c r="Q200" s="36"/>
      <x:c r="R200" s="36"/>
      <x:c r="S200" s="36"/>
      <x:c r="T200" s="36"/>
      <x:c r="U200" s="36"/>
      <x:c r="V200" s="37"/>
      <x:c r="W200" s="37"/>
      <x:c r="X200" s="37"/>
      <x:c r="Y200" s="37"/>
      <x:c r="Z200" s="37"/>
      <x:c r="AA200" s="37"/>
      <x:c r="AB200" s="37"/>
      <x:c r="AC200" s="26"/>
      <x:c r="AD200" s="36"/>
      <x:c r="AE200" s="36"/>
      <x:c r="AF200" s="36"/>
      <x:c r="AG200" s="36"/>
      <x:c r="AH200" s="36"/>
      <x:c r="AI200" s="36"/>
      <x:c r="AJ200" s="26"/>
      <x:c r="AK200" s="26"/>
      <x:c r="AL200" s="26"/>
      <x:c r="AM200" s="26"/>
    </x:row>
  </x:sheetData>
  <x:mergeCells>
    <x:mergeCell ref="A1:AM1"/>
    <x:mergeCell ref="A2:AM2"/>
  </x:mergeCells>
  <x:conditionalFormatting sqref="J4:J95">
    <x:cfRule type="colorScale" priority="1">
      <x:colorScale>
        <x:cfvo type="min"/>
        <x:cfvo type="percentile" val="50"/>
        <x:cfvo type="max"/>
        <x:color rgb="FFC6EFCE"/>
        <x:color rgb="FFFFEB9C"/>
        <x:color rgb="FFFFC7CE"/>
      </x:colorScale>
    </x:cfRule>
  </x:conditionalFormatting>
  <x:conditionalFormatting sqref="Y4:Y95">
    <x:cfRule type="colorScale" priority="2">
      <x:colorScale>
        <x:cfvo type="min"/>
        <x:cfvo type="percentile" val="50"/>
        <x:cfvo type="max"/>
        <x:color rgb="FFC6EFCE"/>
        <x:color rgb="FFFFEB9C"/>
        <x:color rgb="FFFFC7CE"/>
      </x:colorScale>
    </x:cfRule>
  </x:conditionalFormatting>
  <x:conditionalFormatting sqref="Z4:AB95">
    <x:cfRule type="dataBar" priority="3">
      <x:dataBar>
        <x:cfvo type="min"/>
        <x:cfvo type="max"/>
        <x:color rgb="FF5B9BD5"/>
      </x:dataBar>
      <x:extLst>
        <x:ext xmlns:x14="http://schemas.microsoft.com/office/spreadsheetml/2009/9/main" uri="{B025F937-C7B1-47D3-B67F-A62EFF666E3E}">
          <x14:id>{D15A5117-1859-8081-B6DB-73C2240E0347}</x14:id>
        </x:ext>
      </x:extLst>
    </x:cfRule>
  </x:conditionalFormatting>
  <x:pageMargins left="0.7" right="0.7" top="0.75" bottom="0.75" header="0.3" footer="0.3"/>
  <x:tableParts count="1">
    <x:tablePart xmlns:r="http://schemas.openxmlformats.org/officeDocument/2006/relationships" r:id="Rcde315bbf006468e"/>
  </x:tableParts>
  <x:extLst>
    <x:ext xmlns:x14="http://schemas.microsoft.com/office/spreadsheetml/2009/9/main" xmlns:xm="http://schemas.microsoft.com/office/excel/2006/main" uri="{78C0D931-6437-407d-A8EE-F0AAD7539E65}">
      <x14:conditionalFormattings>
        <x14:conditionalFormatting>
          <x14:cfRule type="dataBar" priority="3" id="{D15A5117-1859-8081-B6DB-73C2240E0347}">
            <x14:dataBar gradient="1">
              <x14:cfvo type="min"/>
              <x14:cfvo type="max"/>
              <x14:fillColor rgb="FF5B9BD5"/>
            </x14:dataBar>
          </x14:cfRule>
          <xm:sqref>Z4:AB95</xm:sqref>
        </x14:conditionalFormatting>
      </x14:conditionalFormattings>
    </x:ext>
  </x:extLst>
</x:worksheet>
</file>

<file path=xl/worksheets/sheet5.xml><?xml version="1.0" encoding="utf-8"?>
<x:worksheet xmlns:x="http://schemas.openxmlformats.org/spreadsheetml/2006/main">
  <x:sheetFormatPr defaultRowHeight="15"/>
  <x:cols>
    <x:col min="1" max="1" width="10" hidden="0" customWidth="1"/>
    <x:col min="2" max="2" width="8" hidden="0" customWidth="1"/>
    <x:col min="3" max="3" width="13" hidden="0" customWidth="1"/>
    <x:col min="4" max="4" width="8" hidden="0" customWidth="1"/>
    <x:col min="5" max="5" width="13" hidden="0" customWidth="1"/>
    <x:col min="6" max="6" width="10" hidden="0" customWidth="1"/>
    <x:col min="7" max="7" width="13" hidden="0" customWidth="1"/>
    <x:col min="8" max="8" width="10" hidden="0" customWidth="1"/>
    <x:col min="9" max="9" width="13" hidden="0" customWidth="1"/>
    <x:col min="10" max="10" width="10" hidden="0" customWidth="1"/>
    <x:col min="11" max="11" width="13" hidden="0" customWidth="1"/>
    <x:col min="12" max="12" width="11" hidden="0" customWidth="1"/>
    <x:col min="13" max="13" width="13" hidden="0" customWidth="1"/>
    <x:col min="14" max="14" width="13" hidden="0" customWidth="1"/>
    <x:col min="15" max="15" width="13" hidden="0" customWidth="1"/>
    <x:col min="16" max="16" width="15" hidden="0" customWidth="1"/>
    <x:col min="17" max="17" width="12" hidden="0" customWidth="1"/>
    <x:col min="18" max="18" width="12" hidden="0" customWidth="1"/>
    <x:col min="19" max="19" width="12" hidden="0" customWidth="1"/>
    <x:col min="20" max="20" width="16" hidden="0" customWidth="1"/>
    <x:col min="21" max="21" width="10" hidden="0" customWidth="1"/>
    <x:col min="22" max="22" width="10" hidden="0" customWidth="1"/>
    <x:col min="23" max="23" width="10" hidden="0" customWidth="1"/>
    <x:col min="24" max="24" width="10" hidden="0" customWidth="1"/>
    <x:col min="25" max="25" width="10" hidden="0" customWidth="1"/>
    <x:col min="26" max="26" width="10" hidden="0" customWidth="1"/>
    <x:col min="27" max="27" width="11" hidden="0" customWidth="1"/>
    <x:col min="28" max="28" width="12" hidden="0" customWidth="1"/>
    <x:col min="29" max="29" width="12" hidden="0" customWidth="1"/>
    <x:col min="30" max="30" width="12" hidden="0" customWidth="1"/>
    <x:col min="31" max="31" width="11" hidden="0" customWidth="1"/>
    <x:col min="32" max="32" width="34" hidden="0" customWidth="1"/>
  </x:cols>
  <x:sheetData>
    <x:row r="1" ht="28" customHeight="1">
      <x:c r="A1" s="6" t="str">
        <x:v>INCLINED / WEARABLE-LIKE TESTS — CONTROL-RELEVANT DETAIL</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row>
    <x:row r="2">
      <x:c r="A2" s="26" t="str">
        <x:v>Use this sheet for the current wearable-like run and future inclined configurations. X/Y/Z are ADXL sensor axes. A change in dominant sensor axis after re-orientation does not by itself mean the actuator's physical vibration mechanism changed.</x:v>
      </x:c>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row>
    <x:row r="3" ht="32" customHeight="1">
      <x:c r="A3" s="16" t="str">
        <x:v>Test ID</x:v>
      </x:c>
      <x:c r="B3" s="16" t="str">
        <x:v>Repeat</x:v>
      </x:c>
      <x:c r="C3" s="16" t="str">
        <x:v>Cmd Freq (Hz)</x:v>
      </x:c>
      <x:c r="D3" s="16" t="str">
        <x:v>DAC</x:v>
      </x:c>
      <x:c r="E3" s="16" t="str">
        <x:v>X Local Freq</x:v>
      </x:c>
      <x:c r="F3" s="16" t="str">
        <x:v>X Error</x:v>
      </x:c>
      <x:c r="G3" s="16" t="str">
        <x:v>Y Local Freq</x:v>
      </x:c>
      <x:c r="H3" s="16" t="str">
        <x:v>Y Error</x:v>
      </x:c>
      <x:c r="I3" s="16" t="str">
        <x:v>Z Local Freq</x:v>
      </x:c>
      <x:c r="J3" s="16" t="str">
        <x:v>Z Error</x:v>
      </x:c>
      <x:c r="K3" s="16" t="str">
        <x:v>Vector Freq</x:v>
      </x:c>
      <x:c r="L3" s="16" t="str">
        <x:v>Vector Error</x:v>
      </x:c>
      <x:c r="M3" s="16" t="str">
        <x:v>Quad X (m/s²)</x:v>
      </x:c>
      <x:c r="N3" s="16" t="str">
        <x:v>Quad Y (m/s²)</x:v>
      </x:c>
      <x:c r="O3" s="16" t="str">
        <x:v>Quad Z (m/s²)</x:v>
      </x:c>
      <x:c r="P3" s="16" t="str">
        <x:v>Resultant (m/s²)</x:v>
      </x:c>
      <x:c r="Q3" s="16" t="str">
        <x:v>X Phase (deg)</x:v>
      </x:c>
      <x:c r="R3" s="16" t="str">
        <x:v>Y Phase (deg)</x:v>
      </x:c>
      <x:c r="S3" s="16" t="str">
        <x:v>Z Phase (deg)</x:v>
      </x:c>
      <x:c r="T3" s="16" t="str">
        <x:v>|Y-Z Phase Sep| (deg)</x:v>
      </x:c>
      <x:c r="U3" s="16" t="str">
        <x:v>X Sync</x:v>
      </x:c>
      <x:c r="V3" s="16" t="str">
        <x:v>Y Sync</x:v>
      </x:c>
      <x:c r="W3" s="16" t="str">
        <x:v>Z Sync</x:v>
      </x:c>
      <x:c r="X3" s="16" t="str">
        <x:v>X CV (%)</x:v>
      </x:c>
      <x:c r="Y3" s="16" t="str">
        <x:v>Y CV (%)</x:v>
      </x:c>
      <x:c r="Z3" s="16" t="str">
        <x:v>Z CV (%)</x:v>
      </x:c>
      <x:c r="AA3" s="16" t="str">
        <x:v>Total CV (%)</x:v>
      </x:c>
      <x:c r="AB3" s="16" t="str">
        <x:v>X Energy (%)</x:v>
      </x:c>
      <x:c r="AC3" s="16" t="str">
        <x:v>Y Energy (%)</x:v>
      </x:c>
      <x:c r="AD3" s="16" t="str">
        <x:v>Z Energy (%)</x:v>
      </x:c>
      <x:c r="AE3" s="16" t="str">
        <x:v>Dominant Axis</x:v>
      </x:c>
      <x:c r="AF3" s="16" t="str">
        <x:v>Interpretation</x:v>
      </x:c>
    </x:row>
    <x:row r="4">
      <x:c r="A4" s="26" t="str">
        <x:v>INC-01</x:v>
      </x:c>
      <x:c r="B4" s="26" t="n">
        <x:v>1</x:v>
      </x:c>
      <x:c r="C4" s="39" t="n">
        <x:v>268</x:v>
      </x:c>
      <x:c r="D4" s="26" t="n">
        <x:v>10</x:v>
      </x:c>
      <x:c r="E4" s="39" t="n">
        <x:v>268.06653</x:v>
      </x:c>
      <x:c r="F4" s="39" t="n">
        <x:f>IF(E4="","",E4-C4)</x:f>
        <x:v>0.0665300000000002</x:v>
      </x:c>
      <x:c r="G4" s="39" t="n">
        <x:v>268.01234</x:v>
      </x:c>
      <x:c r="H4" s="39" t="n">
        <x:f>IF(G4="","",G4-C4)</x:f>
        <x:v>0.012339999999994689</x:v>
      </x:c>
      <x:c r="I4" s="39" t="n">
        <x:v>268.07075</x:v>
      </x:c>
      <x:c r="J4" s="39" t="n">
        <x:f>IF(I4="","",I4-C4)</x:f>
        <x:v>0.07074999999997544</x:v>
      </x:c>
      <x:c r="K4" s="39" t="n">
        <x:v>268.03623</x:v>
      </x:c>
      <x:c r="L4" s="39" t="n">
        <x:f>IF(K4="","",K4-C4)</x:f>
        <x:v>0.036229999999989104</x:v>
      </x:c>
      <x:c r="M4" s="39" t="n">
        <x:v>0.03155</x:v>
      </x:c>
      <x:c r="N4" s="39" t="n">
        <x:v>0.68373</x:v>
      </x:c>
      <x:c r="O4" s="39" t="n">
        <x:v>0.56922</x:v>
      </x:c>
      <x:c r="P4" s="39" t="n">
        <x:v>0.89039</x:v>
      </x:c>
      <x:c r="Q4" s="39" t="n">
        <x:v>-134.87</x:v>
      </x:c>
      <x:c r="R4" s="39" t="n">
        <x:v>-5.78</x:v>
      </x:c>
      <x:c r="S4" s="39" t="n">
        <x:v>0.08</x:v>
      </x:c>
      <x:c r="T4" s="39" t="n">
        <x:f>IF(OR(R4="",S4=""),"",ABS(MOD(R4-S4+180,360)-180))</x:f>
        <x:v>5.860000000000014</x:v>
      </x:c>
      <x:c r="U4" s="39" t="n">
        <x:v>0.069</x:v>
      </x:c>
      <x:c r="V4" s="39" t="n">
        <x:v>0.729</x:v>
      </x:c>
      <x:c r="W4" s="39" t="n">
        <x:v>0.787</x:v>
      </x:c>
      <x:c r="X4" s="37" t="n">
        <x:v>34.76</x:v>
      </x:c>
      <x:c r="Y4" s="37" t="n">
        <x:v>2.69</x:v>
      </x:c>
      <x:c r="Z4" s="37" t="n">
        <x:v>4.02</x:v>
      </x:c>
      <x:c r="AA4" s="37" t="n">
        <x:v>2.73</x:v>
      </x:c>
      <x:c r="AB4" s="37" t="n">
        <x:f>IF(OR(P4="",P4=0),"",M4^2/P4^2*100)</x:f>
        <x:v>0.12555620475389612</x:v>
      </x:c>
      <x:c r="AC4" s="37" t="n">
        <x:f>IF(OR(P4="",P4=0),"",N4^2/P4^2*100)</x:f>
        <x:v>58.96695803416028</x:v>
      </x:c>
      <x:c r="AD4" s="37" t="n">
        <x:f>IF(OR(P4="",P4=0),"",O4^2/P4^2*100)</x:f>
        <x:v>40.86954044787775</x:v>
      </x:c>
      <x:c r="AE4" s="26" t="str">
        <x:f>IF(P4="","",IF(M4=MAX(M4:O4),"X",IF(N4=MAX(M4:O4),"Y","Z")))</x:f>
        <x:v>Y</x:v>
      </x:c>
      <x:c r="AF4" s="26" t="str">
        <x:f>IF(P4="","",IF(AE4="Y","Dominant motion in Y-Z plane; Y largest","Review axis dominance"))</x:f>
        <x:v>Dominant motion in Y-Z plane; Y largest</x:v>
      </x:c>
    </x:row>
    <x:row r="5">
      <x:c r="A5" s="26" t="str">
        <x:v>INC-01</x:v>
      </x:c>
      <x:c r="B5" s="26" t="n">
        <x:v>1</x:v>
      </x:c>
      <x:c r="C5" s="39" t="n">
        <x:v>268</x:v>
      </x:c>
      <x:c r="D5" s="26" t="n">
        <x:v>11</x:v>
      </x:c>
      <x:c r="E5" s="39" t="n">
        <x:v>275.63074</x:v>
      </x:c>
      <x:c r="F5" s="39" t="n">
        <x:f>IF(E5="","",E5-C5)</x:f>
        <x:v>7.630740000000003</x:v>
      </x:c>
      <x:c r="G5" s="39" t="n">
        <x:v>267.99817</x:v>
      </x:c>
      <x:c r="H5" s="39" t="n">
        <x:f>IF(G5="","",G5-C5)</x:f>
        <x:v>-0.001829999999984011</x:v>
      </x:c>
      <x:c r="I5" s="39" t="n">
        <x:v>268.00508</x:v>
      </x:c>
      <x:c r="J5" s="39" t="n">
        <x:f>IF(I5="","",I5-C5)</x:f>
        <x:v>0.005080000000020846</x:v>
      </x:c>
      <x:c r="K5" s="39" t="n">
        <x:v>268.00079</x:v>
      </x:c>
      <x:c r="L5" s="39" t="n">
        <x:f>IF(K5="","",K5-C5)</x:f>
        <x:v>0.0007899999999949614</x:v>
      </x:c>
      <x:c r="M5" s="39" t="n">
        <x:v>0.02225</x:v>
      </x:c>
      <x:c r="N5" s="39" t="n">
        <x:v>0.79715</x:v>
      </x:c>
      <x:c r="O5" s="39" t="n">
        <x:v>0.66543</x:v>
      </x:c>
      <x:c r="P5" s="39" t="n">
        <x:v>1.03881</x:v>
      </x:c>
      <x:c r="Q5" s="39" t="n">
        <x:v>-133.94</x:v>
      </x:c>
      <x:c r="R5" s="39" t="n">
        <x:v>-6.77</x:v>
      </x:c>
      <x:c r="S5" s="39" t="n">
        <x:v>-0.89</x:v>
      </x:c>
      <x:c r="T5" s="39" t="n">
        <x:f>IF(OR(R5="",S5=""),"",ABS(MOD(R5-S5+180,360)-180))</x:f>
        <x:v>5.8799999999999955</x:v>
      </x:c>
      <x:c r="U5" s="39" t="n">
        <x:v>0.049</x:v>
      </x:c>
      <x:c r="V5" s="39" t="n">
        <x:v>0.788</x:v>
      </x:c>
      <x:c r="W5" s="39" t="n">
        <x:v>0.84</x:v>
      </x:c>
      <x:c r="X5" s="37" t="n">
        <x:v>62.22</x:v>
      </x:c>
      <x:c r="Y5" s="37" t="n">
        <x:v>2.66</x:v>
      </x:c>
      <x:c r="Z5" s="37" t="n">
        <x:v>1.56</x:v>
      </x:c>
      <x:c r="AA5" s="37" t="n">
        <x:v>1.58</x:v>
      </x:c>
      <x:c r="AB5" s="37" t="n">
        <x:f>IF(OR(P5="",P5=0),"",M5^2/P5^2*100)</x:f>
        <x:v>0.045876236960415366</x:v>
      </x:c>
      <x:c r="AC5" s="37" t="n">
        <x:f>IF(OR(P5="",P5=0),"",N5^2/P5^2*100)</x:f>
        <x:v>58.88543091803773</x:v>
      </x:c>
      <x:c r="AD5" s="37" t="n">
        <x:f>IF(OR(P5="",P5=0),"",O5^2/P5^2*100)</x:f>
        <x:v>41.03292814998826</x:v>
      </x:c>
      <x:c r="AE5" s="26" t="str">
        <x:f>IF(P5="","",IF(M5=MAX(M5:O5),"X",IF(N5=MAX(M5:O5),"Y","Z")))</x:f>
        <x:v>Y</x:v>
      </x:c>
      <x:c r="AF5" s="26" t="str">
        <x:f>IF(P5="","",IF(AE5="Y","Dominant motion in Y-Z plane; Y largest","Review axis dominance"))</x:f>
        <x:v>Dominant motion in Y-Z plane; Y largest</x:v>
      </x:c>
    </x:row>
    <x:row r="6">
      <x:c r="A6" s="26" t="str">
        <x:v>INC-01</x:v>
      </x:c>
      <x:c r="B6" s="26" t="n">
        <x:v>1</x:v>
      </x:c>
      <x:c r="C6" s="39" t="n">
        <x:v>268</x:v>
      </x:c>
      <x:c r="D6" s="26" t="n">
        <x:v>12</x:v>
      </x:c>
      <x:c r="E6" s="39" t="n">
        <x:v>268.00434</x:v>
      </x:c>
      <x:c r="F6" s="39" t="n">
        <x:f>IF(E6="","",E6-C6)</x:f>
        <x:v>0.004340000000013333</x:v>
      </x:c>
      <x:c r="G6" s="39" t="n">
        <x:v>268.1107</x:v>
      </x:c>
      <x:c r="H6" s="39" t="n">
        <x:f>IF(G6="","",G6-C6)</x:f>
        <x:v>0.11070000000000846</x:v>
      </x:c>
      <x:c r="I6" s="39" t="n">
        <x:v>267.99876</x:v>
      </x:c>
      <x:c r="J6" s="39" t="n">
        <x:f>IF(I6="","",I6-C6)</x:f>
        <x:v>-0.001239999999995689</x:v>
      </x:c>
      <x:c r="K6" s="39" t="n">
        <x:v>268.06635</x:v>
      </x:c>
      <x:c r="L6" s="39" t="n">
        <x:f>IF(K6="","",K6-C6)</x:f>
        <x:v>0.06634999999999991</x:v>
      </x:c>
      <x:c r="M6" s="39" t="n">
        <x:v>0.13628</x:v>
      </x:c>
      <x:c r="N6" s="39" t="n">
        <x:v>0.8067</x:v>
      </x:c>
      <x:c r="O6" s="39" t="n">
        <x:v>0.6531</x:v>
      </x:c>
      <x:c r="P6" s="39" t="n">
        <x:v>1.04807</x:v>
      </x:c>
      <x:c r="Q6" s="39" t="n">
        <x:v>-139.19</x:v>
      </x:c>
      <x:c r="R6" s="39" t="n">
        <x:v>-4.64</x:v>
      </x:c>
      <x:c r="S6" s="39" t="n">
        <x:v>-1.71</x:v>
      </x:c>
      <x:c r="T6" s="39" t="n">
        <x:f>IF(OR(R6="",S6=""),"",ABS(MOD(R6-S6+180,360)-180))</x:f>
        <x:v>2.930000000000007</x:v>
      </x:c>
      <x:c r="U6" s="39" t="n">
        <x:v>0.28</x:v>
      </x:c>
      <x:c r="V6" s="39" t="n">
        <x:v>0.769</x:v>
      </x:c>
      <x:c r="W6" s="39" t="n">
        <x:v>0.841</x:v>
      </x:c>
      <x:c r="X6" s="37" t="n">
        <x:v>6.96</x:v>
      </x:c>
      <x:c r="Y6" s="37" t="n">
        <x:v>8.17</x:v>
      </x:c>
      <x:c r="Z6" s="37" t="n">
        <x:v>5.14</x:v>
      </x:c>
      <x:c r="AA6" s="37" t="n">
        <x:v>4.62</x:v>
      </x:c>
      <x:c r="AB6" s="37" t="n">
        <x:f>IF(OR(P6="",P6=0),"",M6^2/P6^2*100)</x:f>
        <x:v>1.6907666387757874</x:v>
      </x:c>
      <x:c r="AC6" s="37" t="n">
        <x:f>IF(OR(P6="",P6=0),"",N6^2/P6^2*100)</x:f>
        <x:v>59.24388552424541</x:v>
      </x:c>
      <x:c r="AD6" s="37" t="n">
        <x:f>IF(OR(P6="",P6=0),"",O6^2/P6^2*100)</x:f>
        <x:v>38.83101902807984</x:v>
      </x:c>
      <x:c r="AE6" s="26" t="str">
        <x:f>IF(P6="","",IF(M6=MAX(M6:O6),"X",IF(N6=MAX(M6:O6),"Y","Z")))</x:f>
        <x:v>Y</x:v>
      </x:c>
      <x:c r="AF6" s="26" t="str">
        <x:f>IF(P6="","",IF(AE6="Y","Dominant motion in Y-Z plane; Y largest","Review axis dominance"))</x:f>
        <x:v>Dominant motion in Y-Z plane; Y largest</x:v>
      </x:c>
    </x:row>
    <x:row r="7">
      <x:c r="A7" s="26" t="str">
        <x:v>INC-01</x:v>
      </x:c>
      <x:c r="B7" s="26" t="n">
        <x:v>1</x:v>
      </x:c>
      <x:c r="C7" s="39" t="n">
        <x:v>268</x:v>
      </x:c>
      <x:c r="D7" s="26" t="n">
        <x:v>13</x:v>
      </x:c>
      <x:c r="E7" s="39" t="n">
        <x:v>268.04958</x:v>
      </x:c>
      <x:c r="F7" s="39" t="n">
        <x:f>IF(E7="","",E7-C7)</x:f>
        <x:v>0.04957999999999174</x:v>
      </x:c>
      <x:c r="G7" s="39" t="n">
        <x:v>268.01318</x:v>
      </x:c>
      <x:c r="H7" s="39" t="n">
        <x:f>IF(G7="","",G7-C7)</x:f>
        <x:v>0.013179999999977099</x:v>
      </x:c>
      <x:c r="I7" s="39" t="n">
        <x:v>268.06734</x:v>
      </x:c>
      <x:c r="J7" s="39" t="n">
        <x:f>IF(I7="","",I7-C7)</x:f>
        <x:v>0.06734000000000151</x:v>
      </x:c>
      <x:c r="K7" s="39" t="n">
        <x:v>268.03364</x:v>
      </x:c>
      <x:c r="L7" s="39" t="n">
        <x:f>IF(K7="","",K7-C7)</x:f>
        <x:v>0.03363999999999123</x:v>
      </x:c>
      <x:c r="M7" s="39" t="n">
        <x:v>0.16671</x:v>
      </x:c>
      <x:c r="N7" s="39" t="n">
        <x:v>0.97667</x:v>
      </x:c>
      <x:c r="O7" s="39" t="n">
        <x:v>0.73318</x:v>
      </x:c>
      <x:c r="P7" s="39" t="n">
        <x:v>1.23301</x:v>
      </x:c>
      <x:c r="Q7" s="39" t="n">
        <x:v>-131.91</x:v>
      </x:c>
      <x:c r="R7" s="39" t="n">
        <x:v>-3.85</x:v>
      </x:c>
      <x:c r="S7" s="39" t="n">
        <x:v>-1.25</x:v>
      </x:c>
      <x:c r="T7" s="39" t="n">
        <x:f>IF(OR(R7="",S7=""),"",ABS(MOD(R7-S7+180,360)-180))</x:f>
        <x:v>2.5999999999999943</x:v>
      </x:c>
      <x:c r="U7" s="39" t="n">
        <x:v>0.354</x:v>
      </x:c>
      <x:c r="V7" s="39" t="n">
        <x:v>0.851</x:v>
      </x:c>
      <x:c r="W7" s="39" t="n">
        <x:v>0.866</x:v>
      </x:c>
      <x:c r="X7" s="37" t="n">
        <x:v>4.92</x:v>
      </x:c>
      <x:c r="Y7" s="37" t="n">
        <x:v>4.28</x:v>
      </x:c>
      <x:c r="Z7" s="37" t="n">
        <x:v>3.35</x:v>
      </x:c>
      <x:c r="AA7" s="37" t="n">
        <x:v>2.64</x:v>
      </x:c>
      <x:c r="AB7" s="37" t="n">
        <x:f>IF(OR(P7="",P7=0),"",M7^2/P7^2*100)</x:f>
        <x:v>1.828058566425822</x:v>
      </x:c>
      <x:c r="AC7" s="37" t="n">
        <x:f>IF(OR(P7="",P7=0),"",N7^2/P7^2*100)</x:f>
        <x:v>62.742598052908214</x:v>
      </x:c>
      <x:c r="AD7" s="37" t="n">
        <x:f>IF(OR(P7="",P7=0),"",O7^2/P7^2*100)</x:f>
        <x:v>35.35802686694547</x:v>
      </x:c>
      <x:c r="AE7" s="26" t="str">
        <x:f>IF(P7="","",IF(M7=MAX(M7:O7),"X",IF(N7=MAX(M7:O7),"Y","Z")))</x:f>
        <x:v>Y</x:v>
      </x:c>
      <x:c r="AF7" s="26" t="str">
        <x:f>IF(P7="","",IF(AE7="Y","Dominant motion in Y-Z plane; Y largest","Review axis dominance"))</x:f>
        <x:v>Dominant motion in Y-Z plane; Y largest</x:v>
      </x:c>
    </x:row>
    <x:row r="8">
      <x:c r="A8" s="26" t="str">
        <x:v>INC-01</x:v>
      </x:c>
      <x:c r="B8" s="26" t="n">
        <x:v>1</x:v>
      </x:c>
      <x:c r="C8" s="39" t="n">
        <x:v>268</x:v>
      </x:c>
      <x:c r="D8" s="26" t="n">
        <x:v>14</x:v>
      </x:c>
      <x:c r="E8" s="39" t="n">
        <x:v>267.93172</x:v>
      </x:c>
      <x:c r="F8" s="39" t="n">
        <x:f>IF(E8="","",E8-C8)</x:f>
        <x:v>-0.06828000000001566</x:v>
      </x:c>
      <x:c r="G8" s="39" t="n">
        <x:v>268.08149</x:v>
      </x:c>
      <x:c r="H8" s="39" t="n">
        <x:f>IF(G8="","",G8-C8)</x:f>
        <x:v>0.08148999999997386</x:v>
      </x:c>
      <x:c r="I8" s="39" t="n">
        <x:v>268.01898</x:v>
      </x:c>
      <x:c r="J8" s="39" t="n">
        <x:f>IF(I8="","",I8-C8)</x:f>
        <x:v>0.01897999999999911</x:v>
      </x:c>
      <x:c r="K8" s="39" t="n">
        <x:v>268.05597</x:v>
      </x:c>
      <x:c r="L8" s="39" t="n">
        <x:f>IF(K8="","",K8-C8)</x:f>
        <x:v>0.055970000000002074</x:v>
      </x:c>
      <x:c r="M8" s="39" t="n">
        <x:v>0.20355</x:v>
      </x:c>
      <x:c r="N8" s="39" t="n">
        <x:v>1.10322</x:v>
      </x:c>
      <x:c r="O8" s="39" t="n">
        <x:v>0.83177</x:v>
      </x:c>
      <x:c r="P8" s="39" t="n">
        <x:v>1.39686</x:v>
      </x:c>
      <x:c r="Q8" s="39" t="n">
        <x:v>-133.85</x:v>
      </x:c>
      <x:c r="R8" s="39" t="n">
        <x:v>-4.68</x:v>
      </x:c>
      <x:c r="S8" s="39" t="n">
        <x:v>-3.21</x:v>
      </x:c>
      <x:c r="T8" s="39" t="n">
        <x:f>IF(OR(R8="",S8=""),"",ABS(MOD(R8-S8+180,360)-180))</x:f>
        <x:v>1.4699999999999989</x:v>
      </x:c>
      <x:c r="U8" s="39" t="n">
        <x:v>0.369</x:v>
      </x:c>
      <x:c r="V8" s="39" t="n">
        <x:v>0.841</x:v>
      </x:c>
      <x:c r="W8" s="39" t="n">
        <x:v>0.879</x:v>
      </x:c>
      <x:c r="X8" s="37" t="n">
        <x:v>6.99</x:v>
      </x:c>
      <x:c r="Y8" s="37" t="n">
        <x:v>3.53</x:v>
      </x:c>
      <x:c r="Z8" s="37" t="n">
        <x:v>3.19</x:v>
      </x:c>
      <x:c r="AA8" s="37" t="n">
        <x:v>2.66</x:v>
      </x:c>
      <x:c r="AB8" s="37" t="n">
        <x:f>IF(OR(P8="",P8=0),"",M8^2/P8^2*100)</x:f>
        <x:v>2.123422676568453</x:v>
      </x:c>
      <x:c r="AC8" s="37" t="n">
        <x:f>IF(OR(P8="",P8=0),"",N8^2/P8^2*100)</x:f>
        <x:v>62.376139210282986</x:v>
      </x:c>
      <x:c r="AD8" s="37" t="n">
        <x:f>IF(OR(P8="",P8=0),"",O8^2/P8^2*100)</x:f>
        <x:v>35.45689834152233</x:v>
      </x:c>
      <x:c r="AE8" s="26" t="str">
        <x:f>IF(P8="","",IF(M8=MAX(M8:O8),"X",IF(N8=MAX(M8:O8),"Y","Z")))</x:f>
        <x:v>Y</x:v>
      </x:c>
      <x:c r="AF8" s="26" t="str">
        <x:f>IF(P8="","",IF(AE8="Y","Dominant motion in Y-Z plane; Y largest","Review axis dominance"))</x:f>
        <x:v>Dominant motion in Y-Z plane; Y largest</x:v>
      </x:c>
    </x:row>
    <x:row r="9">
      <x:c r="A9" s="26" t="str">
        <x:v>INC-01</x:v>
      </x:c>
      <x:c r="B9" s="26" t="n">
        <x:v>1</x:v>
      </x:c>
      <x:c r="C9" s="39" t="n">
        <x:v>268</x:v>
      </x:c>
      <x:c r="D9" s="26" t="n">
        <x:v>15</x:v>
      </x:c>
      <x:c r="E9" s="39" t="n">
        <x:v>268.06409</x:v>
      </x:c>
      <x:c r="F9" s="39" t="n">
        <x:f>IF(E9="","",E9-C9)</x:f>
        <x:v>0.06409000000002152</x:v>
      </x:c>
      <x:c r="G9" s="39" t="n">
        <x:v>268.03178</x:v>
      </x:c>
      <x:c r="H9" s="39" t="n">
        <x:f>IF(G9="","",G9-C9)</x:f>
        <x:v>0.03178000000002612</x:v>
      </x:c>
      <x:c r="I9" s="39" t="n">
        <x:v>268.04507</x:v>
      </x:c>
      <x:c r="J9" s="39" t="n">
        <x:f>IF(I9="","",I9-C9)</x:f>
        <x:v>0.04507000000000971</x:v>
      </x:c>
      <x:c r="K9" s="39" t="n">
        <x:v>268.03711</x:v>
      </x:c>
      <x:c r="L9" s="39" t="n">
        <x:f>IF(K9="","",K9-C9)</x:f>
        <x:v>0.03710999999998421</x:v>
      </x:c>
      <x:c r="M9" s="39" t="n">
        <x:v>0.21213</x:v>
      </x:c>
      <x:c r="N9" s="39" t="n">
        <x:v>1.25491</x:v>
      </x:c>
      <x:c r="O9" s="39" t="n">
        <x:v>0.95502</x:v>
      </x:c>
      <x:c r="P9" s="39" t="n">
        <x:v>1.59155</x:v>
      </x:c>
      <x:c r="Q9" s="39" t="n">
        <x:v>-134.37</x:v>
      </x:c>
      <x:c r="R9" s="39" t="n">
        <x:v>-5.57</x:v>
      </x:c>
      <x:c r="S9" s="39" t="n">
        <x:v>-3.49</x:v>
      </x:c>
      <x:c r="T9" s="39" t="n">
        <x:f>IF(OR(R9="",S9=""),"",ABS(MOD(R9-S9+180,360)-180))</x:f>
        <x:v>2.0800000000000125</x:v>
      </x:c>
      <x:c r="U9" s="39" t="n">
        <x:v>0.379</x:v>
      </x:c>
      <x:c r="V9" s="39" t="n">
        <x:v>0.847</x:v>
      </x:c>
      <x:c r="W9" s="39" t="n">
        <x:v>0.886</x:v>
      </x:c>
      <x:c r="X9" s="37" t="n">
        <x:v>7.38</x:v>
      </x:c>
      <x:c r="Y9" s="37" t="n">
        <x:v>3.71</x:v>
      </x:c>
      <x:c r="Z9" s="37" t="n">
        <x:v>2.42</x:v>
      </x:c>
      <x:c r="AA9" s="37" t="n">
        <x:v>2.42</x:v>
      </x:c>
      <x:c r="AB9" s="37" t="n">
        <x:f>IF(OR(P9="",P9=0),"",M9^2/P9^2*100)</x:f>
        <x:v>1.7764934479528232</x:v>
      </x:c>
      <x:c r="AC9" s="37" t="n">
        <x:f>IF(OR(P9="",P9=0),"",N9^2/P9^2*100)</x:f>
        <x:v>62.17053237262422</x:v>
      </x:c>
      <x:c r="AD9" s="37" t="n">
        <x:f>IF(OR(P9="",P9=0),"",O9^2/P9^2*100)</x:f>
        <x:v>36.00678615748033</x:v>
      </x:c>
      <x:c r="AE9" s="26" t="str">
        <x:f>IF(P9="","",IF(M9=MAX(M9:O9),"X",IF(N9=MAX(M9:O9),"Y","Z")))</x:f>
        <x:v>Y</x:v>
      </x:c>
      <x:c r="AF9" s="26" t="str">
        <x:f>IF(P9="","",IF(AE9="Y","Dominant motion in Y-Z plane; Y largest","Review axis dominance"))</x:f>
        <x:v>Dominant motion in Y-Z plane; Y largest</x:v>
      </x:c>
    </x:row>
    <x:row r="10">
      <x:c r="A10" s="26" t="str">
        <x:v>INC-01</x:v>
      </x:c>
      <x:c r="B10" s="26" t="n">
        <x:v>1</x:v>
      </x:c>
      <x:c r="C10" s="39" t="n">
        <x:v>268</x:v>
      </x:c>
      <x:c r="D10" s="26" t="n">
        <x:v>16</x:v>
      </x:c>
      <x:c r="E10" s="39" t="n">
        <x:v>267.98679</x:v>
      </x:c>
      <x:c r="F10" s="39" t="n">
        <x:f>IF(E10="","",E10-C10)</x:f>
        <x:v>-0.013210000000015043</x:v>
      </x:c>
      <x:c r="G10" s="39" t="n">
        <x:v>268.02134</x:v>
      </x:c>
      <x:c r="H10" s="39" t="n">
        <x:f>IF(G10="","",G10-C10)</x:f>
        <x:v>0.02134000000000924</x:v>
      </x:c>
      <x:c r="I10" s="39" t="n">
        <x:v>268.02194</x:v>
      </x:c>
      <x:c r="J10" s="39" t="n">
        <x:f>IF(I10="","",I10-C10)</x:f>
        <x:v>0.021939999999972315</x:v>
      </x:c>
      <x:c r="K10" s="39" t="n">
        <x:v>268.02092</x:v>
      </x:c>
      <x:c r="L10" s="39" t="n">
        <x:f>IF(K10="","",K10-C10)</x:f>
        <x:v>0.020919999999989614</x:v>
      </x:c>
      <x:c r="M10" s="39" t="n">
        <x:v>0.24481</x:v>
      </x:c>
      <x:c r="N10" s="39" t="n">
        <x:v>1.37327</x:v>
      </x:c>
      <x:c r="O10" s="39" t="n">
        <x:v>1.05855</x:v>
      </x:c>
      <x:c r="P10" s="39" t="n">
        <x:v>1.75118</x:v>
      </x:c>
      <x:c r="Q10" s="39" t="n">
        <x:v>-128.85</x:v>
      </x:c>
      <x:c r="R10" s="39" t="n">
        <x:v>-5.7</x:v>
      </x:c>
      <x:c r="S10" s="39" t="n">
        <x:v>-4.65</x:v>
      </x:c>
      <x:c r="T10" s="39" t="n">
        <x:f>IF(OR(R10="",S10=""),"",ABS(MOD(R10-S10+180,360)-180))</x:f>
        <x:v>1.0500000000000114</x:v>
      </x:c>
      <x:c r="U10" s="39" t="n">
        <x:v>0.435</x:v>
      </x:c>
      <x:c r="V10" s="39" t="n">
        <x:v>0.849</x:v>
      </x:c>
      <x:c r="W10" s="39" t="n">
        <x:v>0.909</x:v>
      </x:c>
      <x:c r="X10" s="37" t="n">
        <x:v>5.1</x:v>
      </x:c>
      <x:c r="Y10" s="37" t="n">
        <x:v>0.76</x:v>
      </x:c>
      <x:c r="Z10" s="37" t="n">
        <x:v>2.26</x:v>
      </x:c>
      <x:c r="AA10" s="37" t="n">
        <x:v>1.21</x:v>
      </x:c>
      <x:c r="AB10" s="37" t="n">
        <x:f>IF(OR(P10="",P10=0),"",M10^2/P10^2*100)</x:f>
        <x:v>1.954324743708314</x:v>
      </x:c>
      <x:c r="AC10" s="37" t="n">
        <x:f>IF(OR(P10="",P10=0),"",N10^2/P10^2*100)</x:f>
        <x:v>61.49648430436514</x:v>
      </x:c>
      <x:c r="AD10" s="37" t="n">
        <x:f>IF(OR(P10="",P10=0),"",O10^2/P10^2*100)</x:f>
        <x:v>36.53938015755637</x:v>
      </x:c>
      <x:c r="AE10" s="26" t="str">
        <x:f>IF(P10="","",IF(M10=MAX(M10:O10),"X",IF(N10=MAX(M10:O10),"Y","Z")))</x:f>
        <x:v>Y</x:v>
      </x:c>
      <x:c r="AF10" s="26" t="str">
        <x:f>IF(P10="","",IF(AE10="Y","Dominant motion in Y-Z plane; Y largest","Review axis dominance"))</x:f>
        <x:v>Dominant motion in Y-Z plane; Y largest</x:v>
      </x:c>
    </x:row>
    <x:row r="11">
      <x:c r="A11" s="26" t="str">
        <x:v>INC-01</x:v>
      </x:c>
      <x:c r="B11" s="26" t="n">
        <x:v>1</x:v>
      </x:c>
      <x:c r="C11" s="39" t="n">
        <x:v>268</x:v>
      </x:c>
      <x:c r="D11" s="26" t="n">
        <x:v>17</x:v>
      </x:c>
      <x:c r="E11" s="39" t="n">
        <x:v>268.02015</x:v>
      </x:c>
      <x:c r="F11" s="39" t="n">
        <x:f>IF(E11="","",E11-C11)</x:f>
        <x:v>0.020150000000001</x:v>
      </x:c>
      <x:c r="G11" s="39" t="n">
        <x:v>268.03309</x:v>
      </x:c>
      <x:c r="H11" s="39" t="n">
        <x:f>IF(G11="","",G11-C11)</x:f>
        <x:v>0.03309000000001561</x:v>
      </x:c>
      <x:c r="I11" s="39" t="n">
        <x:v>268.02065</x:v>
      </x:c>
      <x:c r="J11" s="39" t="n">
        <x:f>IF(I11="","",I11-C11)</x:f>
        <x:v>0.020649999999989177</x:v>
      </x:c>
      <x:c r="K11" s="39" t="n">
        <x:v>268.02851</x:v>
      </x:c>
      <x:c r="L11" s="39" t="n">
        <x:f>IF(K11="","",K11-C11)</x:f>
        <x:v>0.028509999999982938</x:v>
      </x:c>
      <x:c r="M11" s="39" t="n">
        <x:v>0.22369</x:v>
      </x:c>
      <x:c r="N11" s="39" t="n">
        <x:v>1.67639</x:v>
      </x:c>
      <x:c r="O11" s="39" t="n">
        <x:v>1.2371</x:v>
      </x:c>
      <x:c r="P11" s="39" t="n">
        <x:v>2.09557</x:v>
      </x:c>
      <x:c r="Q11" s="39" t="n">
        <x:v>-143.06</x:v>
      </x:c>
      <x:c r="R11" s="39" t="n">
        <x:v>-7.13</x:v>
      </x:c>
      <x:c r="S11" s="39" t="n">
        <x:v>-3.93</x:v>
      </x:c>
      <x:c r="T11" s="39" t="n">
        <x:f>IF(OR(R11="",S11=""),"",ABS(MOD(R11-S11+180,360)-180))</x:f>
        <x:v>3.1999999999999886</x:v>
      </x:c>
      <x:c r="U11" s="39" t="n">
        <x:v>0.358</x:v>
      </x:c>
      <x:c r="V11" s="39" t="n">
        <x:v>0.879</x:v>
      </x:c>
      <x:c r="W11" s="39" t="n">
        <x:v>0.917</x:v>
      </x:c>
      <x:c r="X11" s="37" t="n">
        <x:v>6.76</x:v>
      </x:c>
      <x:c r="Y11" s="37" t="n">
        <x:v>2.2</x:v>
      </x:c>
      <x:c r="Z11" s="37" t="n">
        <x:v>1.32</x:v>
      </x:c>
      <x:c r="AA11" s="37" t="n">
        <x:v>1.52</x:v>
      </x:c>
      <x:c r="AB11" s="37" t="n">
        <x:f>IF(OR(P11="",P11=0),"",M11^2/P11^2*100)</x:f>
        <x:v>1.1394330020811794</x:v>
      </x:c>
      <x:c r="AC11" s="37" t="n">
        <x:f>IF(OR(P11="",P11=0),"",N11^2/P11^2*100)</x:f>
        <x:v>63.99496089744896</x:v>
      </x:c>
      <x:c r="AD11" s="37" t="n">
        <x:f>IF(OR(P11="",P11=0),"",O11^2/P11^2*100)</x:f>
        <x:v>34.850199519405336</x:v>
      </x:c>
      <x:c r="AE11" s="26" t="str">
        <x:f>IF(P11="","",IF(M11=MAX(M11:O11),"X",IF(N11=MAX(M11:O11),"Y","Z")))</x:f>
        <x:v>Y</x:v>
      </x:c>
      <x:c r="AF11" s="26" t="str">
        <x:f>IF(P11="","",IF(AE11="Y","Dominant motion in Y-Z plane; Y largest","Review axis dominance"))</x:f>
        <x:v>Dominant motion in Y-Z plane; Y largest</x:v>
      </x:c>
    </x:row>
    <x:row r="12">
      <x:c r="A12" s="26" t="str">
        <x:v>INC-01</x:v>
      </x:c>
      <x:c r="B12" s="26" t="n">
        <x:v>1</x:v>
      </x:c>
      <x:c r="C12" s="39" t="n">
        <x:v>268</x:v>
      </x:c>
      <x:c r="D12" s="26" t="n">
        <x:v>18</x:v>
      </x:c>
      <x:c r="E12" s="39" t="n">
        <x:v>267.92005</x:v>
      </x:c>
      <x:c r="F12" s="39" t="n">
        <x:f>IF(E12="","",E12-C12)</x:f>
        <x:v>-0.07994999999999663</x:v>
      </x:c>
      <x:c r="G12" s="39" t="n">
        <x:v>268.0364</x:v>
      </x:c>
      <x:c r="H12" s="39" t="n">
        <x:f>IF(G12="","",G12-C12)</x:f>
        <x:v>0.03640000000001464</x:v>
      </x:c>
      <x:c r="I12" s="39" t="n">
        <x:v>268.01826</x:v>
      </x:c>
      <x:c r="J12" s="39" t="n">
        <x:f>IF(I12="","",I12-C12)</x:f>
        <x:v>0.018259999999997945</x:v>
      </x:c>
      <x:c r="K12" s="39" t="n">
        <x:v>268.02892</x:v>
      </x:c>
      <x:c r="L12" s="39" t="n">
        <x:f>IF(K12="","",K12-C12)</x:f>
        <x:v>0.028920000000027812</x:v>
      </x:c>
      <x:c r="M12" s="39" t="n">
        <x:v>0.23297</x:v>
      </x:c>
      <x:c r="N12" s="39" t="n">
        <x:v>1.93869</x:v>
      </x:c>
      <x:c r="O12" s="39" t="n">
        <x:v>1.45442</x:v>
      </x:c>
      <x:c r="P12" s="39" t="n">
        <x:v>2.43526</x:v>
      </x:c>
      <x:c r="Q12" s="39" t="n">
        <x:v>-155.28</x:v>
      </x:c>
      <x:c r="R12" s="39" t="n">
        <x:v>-6.32</x:v>
      </x:c>
      <x:c r="S12" s="39" t="n">
        <x:v>-3.31</x:v>
      </x:c>
      <x:c r="T12" s="39" t="n">
        <x:f>IF(OR(R12="",S12=""),"",ABS(MOD(R12-S12+180,360)-180))</x:f>
        <x:v>3.009999999999991</x:v>
      </x:c>
      <x:c r="U12" s="39" t="n">
        <x:v>0.389</x:v>
      </x:c>
      <x:c r="V12" s="39" t="n">
        <x:v>0.895</x:v>
      </x:c>
      <x:c r="W12" s="39" t="n">
        <x:v>0.92</x:v>
      </x:c>
      <x:c r="X12" s="37" t="n">
        <x:v>9.93</x:v>
      </x:c>
      <x:c r="Y12" s="37" t="n">
        <x:v>2.65</x:v>
      </x:c>
      <x:c r="Z12" s="37" t="n">
        <x:v>2.03</x:v>
      </x:c>
      <x:c r="AA12" s="37" t="n">
        <x:v>1.36</x:v>
      </x:c>
      <x:c r="AB12" s="37" t="n">
        <x:f>IF(OR(P12="",P12=0),"",M12^2/P12^2*100)</x:f>
        <x:v>0.9151859171687892</x:v>
      </x:c>
      <x:c r="AC12" s="37" t="n">
        <x:f>IF(OR(P12="",P12=0),"",N12^2/P12^2*100)</x:f>
        <x:v>63.37618160967343</x:v>
      </x:c>
      <x:c r="AD12" s="37" t="n">
        <x:f>IF(OR(P12="",P12=0),"",O12^2/P12^2*100)</x:f>
        <x:v>35.66884160097672</x:v>
      </x:c>
      <x:c r="AE12" s="26" t="str">
        <x:f>IF(P12="","",IF(M12=MAX(M12:O12),"X",IF(N12=MAX(M12:O12),"Y","Z")))</x:f>
        <x:v>Y</x:v>
      </x:c>
      <x:c r="AF12" s="26" t="str">
        <x:f>IF(P12="","",IF(AE12="Y","Dominant motion in Y-Z plane; Y largest","Review axis dominance"))</x:f>
        <x:v>Dominant motion in Y-Z plane; Y largest</x:v>
      </x:c>
    </x:row>
    <x:row r="13">
      <x:c r="A13" s="26" t="str">
        <x:v>INC-01</x:v>
      </x:c>
      <x:c r="B13" s="26" t="n">
        <x:v>1</x:v>
      </x:c>
      <x:c r="C13" s="39" t="n">
        <x:v>268</x:v>
      </x:c>
      <x:c r="D13" s="26" t="n">
        <x:v>19</x:v>
      </x:c>
      <x:c r="E13" s="39" t="n">
        <x:v>267.96604</x:v>
      </x:c>
      <x:c r="F13" s="39" t="n">
        <x:f>IF(E13="","",E13-C13)</x:f>
        <x:v>-0.03395999999997912</x:v>
      </x:c>
      <x:c r="G13" s="39" t="n">
        <x:v>268.02631</x:v>
      </x:c>
      <x:c r="H13" s="39" t="n">
        <x:f>IF(G13="","",G13-C13)</x:f>
        <x:v>0.026310000000023592</x:v>
      </x:c>
      <x:c r="I13" s="39" t="n">
        <x:v>268.0446</x:v>
      </x:c>
      <x:c r="J13" s="39" t="n">
        <x:f>IF(I13="","",I13-C13)</x:f>
        <x:v>0.04460000000000264</x:v>
      </x:c>
      <x:c r="K13" s="39" t="n">
        <x:v>268.03233</x:v>
      </x:c>
      <x:c r="L13" s="39" t="n">
        <x:f>IF(K13="","",K13-C13)</x:f>
        <x:v>0.032330000000001746</x:v>
      </x:c>
      <x:c r="M13" s="39" t="n">
        <x:v>0.24827</x:v>
      </x:c>
      <x:c r="N13" s="39" t="n">
        <x:v>2.09433</x:v>
      </x:c>
      <x:c r="O13" s="39" t="n">
        <x:v>1.57841</x:v>
      </x:c>
      <x:c r="P13" s="39" t="n">
        <x:v>2.63455</x:v>
      </x:c>
      <x:c r="Q13" s="39" t="n">
        <x:v>-155.4</x:v>
      </x:c>
      <x:c r="R13" s="39" t="n">
        <x:v>-8.08</x:v>
      </x:c>
      <x:c r="S13" s="39" t="n">
        <x:v>-3.09</x:v>
      </x:c>
      <x:c r="T13" s="39" t="n">
        <x:f>IF(OR(R13="",S13=""),"",ABS(MOD(R13-S13+180,360)-180))</x:f>
        <x:v>4.990000000000009</x:v>
      </x:c>
      <x:c r="U13" s="39" t="n">
        <x:v>0.378</x:v>
      </x:c>
      <x:c r="V13" s="39" t="n">
        <x:v>0.884</x:v>
      </x:c>
      <x:c r="W13" s="39" t="n">
        <x:v>0.929</x:v>
      </x:c>
      <x:c r="X13" s="37" t="n">
        <x:v>8.02</x:v>
      </x:c>
      <x:c r="Y13" s="37" t="n">
        <x:v>2.29</x:v>
      </x:c>
      <x:c r="Z13" s="37" t="n">
        <x:v>1.44</x:v>
      </x:c>
      <x:c r="AA13" s="37" t="n">
        <x:v>1.32</x:v>
      </x:c>
      <x:c r="AB13" s="37" t="n">
        <x:f>IF(OR(P13="",P13=0),"",M13^2/P13^2*100)</x:f>
        <x:v>0.8880462770422438</x:v>
      </x:c>
      <x:c r="AC13" s="37" t="n">
        <x:f>IF(OR(P13="",P13=0),"",N13^2/P13^2*100)</x:f>
        <x:v>63.194216978239204</x:v>
      </x:c>
      <x:c r="AD13" s="37" t="n">
        <x:f>IF(OR(P13="",P13=0),"",O13^2/P13^2*100)</x:f>
        <x:v>35.89440485113006</x:v>
      </x:c>
      <x:c r="AE13" s="26" t="str">
        <x:f>IF(P13="","",IF(M13=MAX(M13:O13),"X",IF(N13=MAX(M13:O13),"Y","Z")))</x:f>
        <x:v>Y</x:v>
      </x:c>
      <x:c r="AF13" s="26" t="str">
        <x:f>IF(P13="","",IF(AE13="Y","Dominant motion in Y-Z plane; Y largest","Review axis dominance"))</x:f>
        <x:v>Dominant motion in Y-Z plane; Y largest</x:v>
      </x:c>
    </x:row>
    <x:row r="14">
      <x:c r="A14" s="26" t="str">
        <x:v>INC-01</x:v>
      </x:c>
      <x:c r="B14" s="26" t="n">
        <x:v>1</x:v>
      </x:c>
      <x:c r="C14" s="39" t="n">
        <x:v>268</x:v>
      </x:c>
      <x:c r="D14" s="26" t="n">
        <x:v>20</x:v>
      </x:c>
      <x:c r="E14" s="39" t="n">
        <x:v>267.99767</x:v>
      </x:c>
      <x:c r="F14" s="39" t="n">
        <x:f>IF(E14="","",E14-C14)</x:f>
        <x:v>-0.0023299999999721877</x:v>
      </x:c>
      <x:c r="G14" s="39" t="n">
        <x:v>268.02483</x:v>
      </x:c>
      <x:c r="H14" s="39" t="n">
        <x:f>IF(G14="","",G14-C14)</x:f>
        <x:v>0.024830000000008567</x:v>
      </x:c>
      <x:c r="I14" s="39" t="n">
        <x:v>268.03716</x:v>
      </x:c>
      <x:c r="J14" s="39" t="n">
        <x:f>IF(I14="","",I14-C14)</x:f>
        <x:v>0.03715999999997166</x:v>
      </x:c>
      <x:c r="K14" s="39" t="n">
        <x:v>268.02902</x:v>
      </x:c>
      <x:c r="L14" s="39" t="n">
        <x:f>IF(K14="","",K14-C14)</x:f>
        <x:v>0.02902000000000271</x:v>
      </x:c>
      <x:c r="M14" s="39" t="n">
        <x:v>0.268</x:v>
      </x:c>
      <x:c r="N14" s="39" t="n">
        <x:v>2.22958</x:v>
      </x:c>
      <x:c r="O14" s="39" t="n">
        <x:v>1.66745</x:v>
      </x:c>
      <x:c r="P14" s="39" t="n">
        <x:v>2.79743</x:v>
      </x:c>
      <x:c r="Q14" s="39" t="n">
        <x:v>-154.72</x:v>
      </x:c>
      <x:c r="R14" s="39" t="n">
        <x:v>-6.76</x:v>
      </x:c>
      <x:c r="S14" s="39" t="n">
        <x:v>-2.59</x:v>
      </x:c>
      <x:c r="T14" s="39" t="n">
        <x:f>IF(OR(R14="",S14=""),"",ABS(MOD(R14-S14+180,360)-180))</x:f>
        <x:v>4.1699999999999875</x:v>
      </x:c>
      <x:c r="U14" s="39" t="n">
        <x:v>0.362</x:v>
      </x:c>
      <x:c r="V14" s="39" t="n">
        <x:v>0.89</x:v>
      </x:c>
      <x:c r="W14" s="39" t="n">
        <x:v>0.923</x:v>
      </x:c>
      <x:c r="X14" s="37" t="n">
        <x:v>4.08</x:v>
      </x:c>
      <x:c r="Y14" s="37" t="n">
        <x:v>2.6</x:v>
      </x:c>
      <x:c r="Z14" s="37" t="n">
        <x:v>1.59</x:v>
      </x:c>
      <x:c r="AA14" s="37" t="n">
        <x:v>1.26</x:v>
      </x:c>
      <x:c r="AB14" s="37" t="n">
        <x:f>IF(OR(P14="",P14=0),"",M14^2/P14^2*100)</x:f>
        <x:v>0.9178065062778265</x:v>
      </x:c>
      <x:c r="AC14" s="37" t="n">
        <x:f>IF(OR(P14="",P14=0),"",N14^2/P14^2*100)</x:f>
        <x:v>63.52251199908818</x:v>
      </x:c>
      <x:c r="AD14" s="37" t="n">
        <x:f>IF(OR(P14="",P14=0),"",O14^2/P14^2*100)</x:f>
        <x:v>35.529343609114896</x:v>
      </x:c>
      <x:c r="AE14" s="26" t="str">
        <x:f>IF(P14="","",IF(M14=MAX(M14:O14),"X",IF(N14=MAX(M14:O14),"Y","Z")))</x:f>
        <x:v>Y</x:v>
      </x:c>
      <x:c r="AF14" s="26" t="str">
        <x:f>IF(P14="","",IF(AE14="Y","Dominant motion in Y-Z plane; Y largest","Review axis dominance"))</x:f>
        <x:v>Dominant motion in Y-Z plane; Y largest</x:v>
      </x:c>
    </x:row>
    <x:row r="15">
      <x:c r="A15" s="26" t="str">
        <x:v>INC-01</x:v>
      </x:c>
      <x:c r="B15" s="26" t="n">
        <x:v>1</x:v>
      </x:c>
      <x:c r="C15" s="39" t="n">
        <x:v>268</x:v>
      </x:c>
      <x:c r="D15" s="26" t="n">
        <x:v>21</x:v>
      </x:c>
      <x:c r="E15" s="39" t="n">
        <x:v>268.04301</x:v>
      </x:c>
      <x:c r="F15" s="39" t="n">
        <x:f>IF(E15="","",E15-C15)</x:f>
        <x:v>0.04300999999998112</x:v>
      </x:c>
      <x:c r="G15" s="39" t="n">
        <x:v>268.02118</x:v>
      </x:c>
      <x:c r="H15" s="39" t="n">
        <x:f>IF(G15="","",G15-C15)</x:f>
        <x:v>0.021180000000015298</x:v>
      </x:c>
      <x:c r="I15" s="39" t="n">
        <x:v>268.02613</x:v>
      </x:c>
      <x:c r="J15" s="39" t="n">
        <x:f>IF(I15="","",I15-C15)</x:f>
        <x:v>0.0261300000000233</x:v>
      </x:c>
      <x:c r="K15" s="39" t="n">
        <x:v>268.02313</x:v>
      </x:c>
      <x:c r="L15" s="39" t="n">
        <x:f>IF(K15="","",K15-C15)</x:f>
        <x:v>0.023129999999980555</x:v>
      </x:c>
      <x:c r="M15" s="39" t="n">
        <x:v>0.35211</x:v>
      </x:c>
      <x:c r="N15" s="39" t="n">
        <x:v>2.32485</x:v>
      </x:c>
      <x:c r="O15" s="39" t="n">
        <x:v>1.74133</x:v>
      </x:c>
      <x:c r="P15" s="39" t="n">
        <x:v>2.92673</x:v>
      </x:c>
      <x:c r="Q15" s="39" t="n">
        <x:v>-140.8</x:v>
      </x:c>
      <x:c r="R15" s="39" t="n">
        <x:v>-8.39</x:v>
      </x:c>
      <x:c r="S15" s="39" t="n">
        <x:v>-5.12</x:v>
      </x:c>
      <x:c r="T15" s="39" t="n">
        <x:f>IF(OR(R15="",S15=""),"",ABS(MOD(R15-S15+180,360)-180))</x:f>
        <x:v>3.2700000000000102</x:v>
      </x:c>
      <x:c r="U15" s="39" t="n">
        <x:v>0.533</x:v>
      </x:c>
      <x:c r="V15" s="39" t="n">
        <x:v>0.914</x:v>
      </x:c>
      <x:c r="W15" s="39" t="n">
        <x:v>0.933</x:v>
      </x:c>
      <x:c r="X15" s="37" t="n">
        <x:v>18.36</x:v>
      </x:c>
      <x:c r="Y15" s="37" t="n">
        <x:v>3.15</x:v>
      </x:c>
      <x:c r="Z15" s="37" t="n">
        <x:v>4.09</x:v>
      </x:c>
      <x:c r="AA15" s="37" t="n">
        <x:v>3.22</x:v>
      </x:c>
      <x:c r="AB15" s="37" t="n">
        <x:f>IF(OR(P15="",P15=0),"",M15^2/P15^2*100)</x:f>
        <x:v>1.4474094377480968</x:v>
      </x:c>
      <x:c r="AC15" s="37" t="n">
        <x:f>IF(OR(P15="",P15=0),"",N15^2/P15^2*100)</x:f>
        <x:v>63.09930214481607</x:v>
      </x:c>
      <x:c r="AD15" s="37" t="n">
        <x:f>IF(OR(P15="",P15=0),"",O15^2/P15^2*100)</x:f>
        <x:v>35.39947701492009</x:v>
      </x:c>
      <x:c r="AE15" s="26" t="str">
        <x:f>IF(P15="","",IF(M15=MAX(M15:O15),"X",IF(N15=MAX(M15:O15),"Y","Z")))</x:f>
        <x:v>Y</x:v>
      </x:c>
      <x:c r="AF15" s="26" t="str">
        <x:f>IF(P15="","",IF(AE15="Y","Dominant motion in Y-Z plane; Y largest","Review axis dominance"))</x:f>
        <x:v>Dominant motion in Y-Z plane; Y largest</x:v>
      </x:c>
    </x:row>
    <x:row r="16">
      <x:c r="A16" s="26" t="str">
        <x:v>INC-01</x:v>
      </x:c>
      <x:c r="B16" s="26" t="n">
        <x:v>1</x:v>
      </x:c>
      <x:c r="C16" s="39" t="n">
        <x:v>268</x:v>
      </x:c>
      <x:c r="D16" s="26" t="n">
        <x:v>22</x:v>
      </x:c>
      <x:c r="E16" s="39" t="n">
        <x:v>268.04097</x:v>
      </x:c>
      <x:c r="F16" s="39" t="n">
        <x:f>IF(E16="","",E16-C16)</x:f>
        <x:v>0.040970000000015716</x:v>
      </x:c>
      <x:c r="G16" s="39" t="n">
        <x:v>268.02842</x:v>
      </x:c>
      <x:c r="H16" s="39" t="n">
        <x:f>IF(G16="","",G16-C16)</x:f>
        <x:v>0.028419999999982792</x:v>
      </x:c>
      <x:c r="I16" s="39" t="n">
        <x:v>268.02904</x:v>
      </x:c>
      <x:c r="J16" s="39" t="n">
        <x:f>IF(I16="","",I16-C16)</x:f>
        <x:v>0.02904000000000906</x:v>
      </x:c>
      <x:c r="K16" s="39" t="n">
        <x:v>268.02889</x:v>
      </x:c>
      <x:c r="L16" s="39" t="n">
        <x:f>IF(K16="","",K16-C16)</x:f>
        <x:v>0.028889999999989868</x:v>
      </x:c>
      <x:c r="M16" s="39" t="n">
        <x:v>0.42065</x:v>
      </x:c>
      <x:c r="N16" s="39" t="n">
        <x:v>2.39874</x:v>
      </x:c>
      <x:c r="O16" s="39" t="n">
        <x:v>1.77484</x:v>
      </x:c>
      <x:c r="P16" s="39" t="n">
        <x:v>3.01357</x:v>
      </x:c>
      <x:c r="Q16" s="39" t="n">
        <x:v>-137.96</x:v>
      </x:c>
      <x:c r="R16" s="39" t="n">
        <x:v>-8.41</x:v>
      </x:c>
      <x:c r="S16" s="39" t="n">
        <x:v>-6.62</x:v>
      </x:c>
      <x:c r="T16" s="39" t="n">
        <x:f>IF(OR(R16="",S16=""),"",ABS(MOD(R16-S16+180,360)-180))</x:f>
        <x:v>1.789999999999992</x:v>
      </x:c>
      <x:c r="U16" s="39" t="n">
        <x:v>0.596</x:v>
      </x:c>
      <x:c r="V16" s="39" t="n">
        <x:v>0.922</x:v>
      </x:c>
      <x:c r="W16" s="39" t="n">
        <x:v>0.933</x:v>
      </x:c>
      <x:c r="X16" s="37" t="n">
        <x:v>3.61</x:v>
      </x:c>
      <x:c r="Y16" s="37" t="n">
        <x:v>1</x:v>
      </x:c>
      <x:c r="Z16" s="37" t="n">
        <x:v>0.78</x:v>
      </x:c>
      <x:c r="AA16" s="37" t="n">
        <x:v>0.47</x:v>
      </x:c>
      <x:c r="AB16" s="37" t="n">
        <x:f>IF(OR(P16="",P16=0),"",M16^2/P16^2*100)</x:f>
        <x:v>1.948404925790216</x:v>
      </x:c>
      <x:c r="AC16" s="37" t="n">
        <x:f>IF(OR(P16="",P16=0),"",N16^2/P16^2*100)</x:f>
        <x:v>63.35833951572615</x:v>
      </x:c>
      <x:c r="AD16" s="37" t="n">
        <x:f>IF(OR(P16="",P16=0),"",O16^2/P16^2*100)</x:f>
        <x:v>34.6861300640261</x:v>
      </x:c>
      <x:c r="AE16" s="26" t="str">
        <x:f>IF(P16="","",IF(M16=MAX(M16:O16),"X",IF(N16=MAX(M16:O16),"Y","Z")))</x:f>
        <x:v>Y</x:v>
      </x:c>
      <x:c r="AF16" s="26" t="str">
        <x:f>IF(P16="","",IF(AE16="Y","Dominant motion in Y-Z plane; Y largest","Review axis dominance"))</x:f>
        <x:v>Dominant motion in Y-Z plane; Y largest</x:v>
      </x:c>
    </x:row>
    <x:row r="17">
      <x:c r="A17" s="26" t="str">
        <x:v>INC-01</x:v>
      </x:c>
      <x:c r="B17" s="26" t="n">
        <x:v>1</x:v>
      </x:c>
      <x:c r="C17" s="39" t="n">
        <x:v>268</x:v>
      </x:c>
      <x:c r="D17" s="26" t="n">
        <x:v>23</x:v>
      </x:c>
      <x:c r="E17" s="39" t="n">
        <x:v>268.03895</x:v>
      </x:c>
      <x:c r="F17" s="39" t="n">
        <x:f>IF(E17="","",E17-C17)</x:f>
        <x:v>0.03894999999999982</x:v>
      </x:c>
      <x:c r="G17" s="39" t="n">
        <x:v>268.03473</x:v>
      </x:c>
      <x:c r="H17" s="39" t="n">
        <x:f>IF(G17="","",G17-C17)</x:f>
        <x:v>0.034730000000024575</x:v>
      </x:c>
      <x:c r="I17" s="39" t="n">
        <x:v>268.02811</x:v>
      </x:c>
      <x:c r="J17" s="39" t="n">
        <x:f>IF(I17="","",I17-C17)</x:f>
        <x:v>0.028110000000026503</x:v>
      </x:c>
      <x:c r="K17" s="39" t="n">
        <x:v>268.03256</x:v>
      </x:c>
      <x:c r="L17" s="39" t="n">
        <x:f>IF(K17="","",K17-C17)</x:f>
        <x:v>0.032559999999989486</x:v>
      </x:c>
      <x:c r="M17" s="39" t="n">
        <x:v>0.43219</x:v>
      </x:c>
      <x:c r="N17" s="39" t="n">
        <x:v>2.50002</x:v>
      </x:c>
      <x:c r="O17" s="39" t="n">
        <x:v>1.85654</x:v>
      </x:c>
      <x:c r="P17" s="39" t="n">
        <x:v>3.14401</x:v>
      </x:c>
      <x:c r="Q17" s="39" t="n">
        <x:v>-137.52</x:v>
      </x:c>
      <x:c r="R17" s="39" t="n">
        <x:v>-9.12</x:v>
      </x:c>
      <x:c r="S17" s="39" t="n">
        <x:v>-6.29</x:v>
      </x:c>
      <x:c r="T17" s="39" t="n">
        <x:f>IF(OR(R17="",S17=""),"",ABS(MOD(R17-S17+180,360)-180))</x:f>
        <x:v>2.8300000000000125</x:v>
      </x:c>
      <x:c r="U17" s="39" t="n">
        <x:v>0.593</x:v>
      </x:c>
      <x:c r="V17" s="39" t="n">
        <x:v>0.913</x:v>
      </x:c>
      <x:c r="W17" s="39" t="n">
        <x:v>0.934</x:v>
      </x:c>
      <x:c r="X17" s="37" t="n">
        <x:v>3.75</x:v>
      </x:c>
      <x:c r="Y17" s="37" t="n">
        <x:v>1.34</x:v>
      </x:c>
      <x:c r="Z17" s="37" t="n">
        <x:v>1.27</x:v>
      </x:c>
      <x:c r="AA17" s="37" t="n">
        <x:v>0.69</x:v>
      </x:c>
      <x:c r="AB17" s="37" t="n">
        <x:f>IF(OR(P17="",P17=0),"",M17^2/P17^2*100)</x:f>
        <x:v>1.8896509515842608</x:v>
      </x:c>
      <x:c r="AC17" s="37" t="n">
        <x:f>IF(OR(P17="",P17=0),"",N17^2/P17^2*100)</x:f>
        <x:v>63.229409886959374</x:v>
      </x:c>
      <x:c r="AD17" s="37" t="n">
        <x:f>IF(OR(P17="",P17=0),"",O17^2/P17^2*100)</x:f>
        <x:v>34.86910369556382</x:v>
      </x:c>
      <x:c r="AE17" s="26" t="str">
        <x:f>IF(P17="","",IF(M17=MAX(M17:O17),"X",IF(N17=MAX(M17:O17),"Y","Z")))</x:f>
        <x:v>Y</x:v>
      </x:c>
      <x:c r="AF17" s="26" t="str">
        <x:f>IF(P17="","",IF(AE17="Y","Dominant motion in Y-Z plane; Y largest","Review axis dominance"))</x:f>
        <x:v>Dominant motion in Y-Z plane; Y largest</x:v>
      </x:c>
    </x:row>
    <x:row r="18">
      <x:c r="A18" s="26" t="str">
        <x:v>INC-01</x:v>
      </x:c>
      <x:c r="B18" s="26" t="n">
        <x:v>1</x:v>
      </x:c>
      <x:c r="C18" s="39" t="n">
        <x:v>268</x:v>
      </x:c>
      <x:c r="D18" s="26" t="n">
        <x:v>24</x:v>
      </x:c>
      <x:c r="E18" s="39" t="n">
        <x:v>267.96415</x:v>
      </x:c>
      <x:c r="F18" s="39" t="n">
        <x:f>IF(E18="","",E18-C18)</x:f>
        <x:v>-0.035849999999982174</x:v>
      </x:c>
      <x:c r="G18" s="39" t="n">
        <x:v>268.01623</x:v>
      </x:c>
      <x:c r="H18" s="39" t="n">
        <x:f>IF(G18="","",G18-C18)</x:f>
        <x:v>0.016230000000007294</x:v>
      </x:c>
      <x:c r="I18" s="39" t="n">
        <x:v>268.02062</x:v>
      </x:c>
      <x:c r="J18" s="39" t="n">
        <x:f>IF(I18="","",I18-C18)</x:f>
        <x:v>0.020620000000008076</x:v>
      </x:c>
      <x:c r="K18" s="39" t="n">
        <x:v>268.01709</x:v>
      </x:c>
      <x:c r="L18" s="39" t="n">
        <x:f>IF(K18="","",K18-C18)</x:f>
        <x:v>0.017089999999996053</x:v>
      </x:c>
      <x:c r="M18" s="39" t="n">
        <x:v>0.28043</x:v>
      </x:c>
      <x:c r="N18" s="39" t="n">
        <x:v>2.89749</x:v>
      </x:c>
      <x:c r="O18" s="39" t="n">
        <x:v>2.27404</x:v>
      </x:c>
      <x:c r="P18" s="39" t="n">
        <x:v>3.69426</x:v>
      </x:c>
      <x:c r="Q18" s="39" t="n">
        <x:v>-145.02</x:v>
      </x:c>
      <x:c r="R18" s="39" t="n">
        <x:v>-11.69</x:v>
      </x:c>
      <x:c r="S18" s="39" t="n">
        <x:v>-5.83</x:v>
      </x:c>
      <x:c r="T18" s="39" t="n">
        <x:f>IF(OR(R18="",S18=""),"",ABS(MOD(R18-S18+180,360)-180))</x:f>
        <x:v>5.860000000000014</x:v>
      </x:c>
      <x:c r="U18" s="39" t="n">
        <x:v>0.406</x:v>
      </x:c>
      <x:c r="V18" s="39" t="n">
        <x:v>0.923</x:v>
      </x:c>
      <x:c r="W18" s="39" t="n">
        <x:v>0.943</x:v>
      </x:c>
      <x:c r="X18" s="37" t="n">
        <x:v>14.45</x:v>
      </x:c>
      <x:c r="Y18" s="37" t="n">
        <x:v>0.96</x:v>
      </x:c>
      <x:c r="Z18" s="37" t="n">
        <x:v>1.02</x:v>
      </x:c>
      <x:c r="AA18" s="37" t="n">
        <x:v>0.4</x:v>
      </x:c>
      <x:c r="AB18" s="37" t="n">
        <x:f>IF(OR(P18="",P18=0),"",M18^2/P18^2*100)</x:f>
        <x:v>0.5762275636727017</x:v>
      </x:c>
      <x:c r="AC18" s="37" t="n">
        <x:f>IF(OR(P18="",P18=0),"",N18^2/P18^2*100)</x:f>
        <x:v>61.51612579697927</x:v>
      </x:c>
      <x:c r="AD18" s="37" t="n">
        <x:f>IF(OR(P18="",P18=0),"",O18^2/P18^2*100)</x:f>
        <x:v>37.89145516267214</x:v>
      </x:c>
      <x:c r="AE18" s="26" t="str">
        <x:f>IF(P18="","",IF(M18=MAX(M18:O18),"X",IF(N18=MAX(M18:O18),"Y","Z")))</x:f>
        <x:v>Y</x:v>
      </x:c>
      <x:c r="AF18" s="26" t="str">
        <x:f>IF(P18="","",IF(AE18="Y","Dominant motion in Y-Z plane; Y largest","Review axis dominance"))</x:f>
        <x:v>Dominant motion in Y-Z plane; Y largest</x:v>
      </x:c>
    </x:row>
    <x:row r="19">
      <x:c r="A19" s="26" t="str">
        <x:v>INC-01</x:v>
      </x:c>
      <x:c r="B19" s="26" t="n">
        <x:v>1</x:v>
      </x:c>
      <x:c r="C19" s="39" t="n">
        <x:v>268</x:v>
      </x:c>
      <x:c r="D19" s="26" t="n">
        <x:v>25</x:v>
      </x:c>
      <x:c r="E19" s="39" t="n">
        <x:v>268.03425</x:v>
      </x:c>
      <x:c r="F19" s="39" t="n">
        <x:f>IF(E19="","",E19-C19)</x:f>
        <x:v>0.0342499999999859</x:v>
      </x:c>
      <x:c r="G19" s="39" t="n">
        <x:v>268.02176</x:v>
      </x:c>
      <x:c r="H19" s="39" t="n">
        <x:f>IF(G19="","",G19-C19)</x:f>
        <x:v>0.021759999999972024</x:v>
      </x:c>
      <x:c r="I19" s="39" t="n">
        <x:v>268.02096</x:v>
      </x:c>
      <x:c r="J19" s="39" t="n">
        <x:f>IF(I19="","",I19-C19)</x:f>
        <x:v>0.02096000000000231</x:v>
      </x:c>
      <x:c r="K19" s="39" t="n">
        <x:v>268.02157</x:v>
      </x:c>
      <x:c r="L19" s="39" t="n">
        <x:f>IF(K19="","",K19-C19)</x:f>
        <x:v>0.02156999999999698</x:v>
      </x:c>
      <x:c r="M19" s="39" t="n">
        <x:v>0.34265</x:v>
      </x:c>
      <x:c r="N19" s="39" t="n">
        <x:v>3.09608</x:v>
      </x:c>
      <x:c r="O19" s="39" t="n">
        <x:v>2.37994</x:v>
      </x:c>
      <x:c r="P19" s="39" t="n">
        <x:v>3.92025</x:v>
      </x:c>
      <x:c r="Q19" s="39" t="n">
        <x:v>-145.11</x:v>
      </x:c>
      <x:c r="R19" s="39" t="n">
        <x:v>-11.14</x:v>
      </x:c>
      <x:c r="S19" s="39" t="n">
        <x:v>-7.17</x:v>
      </x:c>
      <x:c r="T19" s="39" t="n">
        <x:f>IF(OR(R19="",S19=""),"",ABS(MOD(R19-S19+180,360)-180))</x:f>
        <x:v>3.969999999999999</x:v>
      </x:c>
      <x:c r="U19" s="39" t="n">
        <x:v>0.48</x:v>
      </x:c>
      <x:c r="V19" s="39" t="n">
        <x:v>0.927</x:v>
      </x:c>
      <x:c r="W19" s="39" t="n">
        <x:v>0.941</x:v>
      </x:c>
      <x:c r="X19" s="37" t="n">
        <x:v>4.85</x:v>
      </x:c>
      <x:c r="Y19" s="37" t="n">
        <x:v>1.16</x:v>
      </x:c>
      <x:c r="Z19" s="37" t="n">
        <x:v>0.84</x:v>
      </x:c>
      <x:c r="AA19" s="37" t="n">
        <x:v>0.61</x:v>
      </x:c>
      <x:c r="AB19" s="37" t="n">
        <x:f>IF(OR(P19="",P19=0),"",M19^2/P19^2*100)</x:f>
        <x:v>0.7639658494629313</x:v>
      </x:c>
      <x:c r="AC19" s="37" t="n">
        <x:f>IF(OR(P19="",P19=0),"",N19^2/P19^2*100)</x:f>
        <x:v>62.37302696850452</x:v>
      </x:c>
      <x:c r="AD19" s="37" t="n">
        <x:f>IF(OR(P19="",P19=0),"",O19^2/P19^2*100)</x:f>
        <x:v>36.85568519064621</x:v>
      </x:c>
      <x:c r="AE19" s="26" t="str">
        <x:f>IF(P19="","",IF(M19=MAX(M19:O19),"X",IF(N19=MAX(M19:O19),"Y","Z")))</x:f>
        <x:v>Y</x:v>
      </x:c>
      <x:c r="AF19" s="26" t="str">
        <x:f>IF(P19="","",IF(AE19="Y","Dominant motion in Y-Z plane; Y largest","Review axis dominance"))</x:f>
        <x:v>Dominant motion in Y-Z plane; Y largest</x:v>
      </x:c>
    </x:row>
    <x:row r="20">
      <x:c r="A20" s="26" t="str">
        <x:v>INC-01</x:v>
      </x:c>
      <x:c r="B20" s="26" t="n">
        <x:v>1</x:v>
      </x:c>
      <x:c r="C20" s="39" t="n">
        <x:v>268</x:v>
      </x:c>
      <x:c r="D20" s="26" t="n">
        <x:v>26</x:v>
      </x:c>
      <x:c r="E20" s="39" t="n">
        <x:v>268.11077</x:v>
      </x:c>
      <x:c r="F20" s="39" t="n">
        <x:f>IF(E20="","",E20-C20)</x:f>
        <x:v>0.11077000000000226</x:v>
      </x:c>
      <x:c r="G20" s="39" t="n">
        <x:v>268.01476</x:v>
      </x:c>
      <x:c r="H20" s="39" t="n">
        <x:f>IF(G20="","",G20-C20)</x:f>
        <x:v>0.014760000000023865</x:v>
      </x:c>
      <x:c r="I20" s="39" t="n">
        <x:v>268.02731</x:v>
      </x:c>
      <x:c r="J20" s="39" t="n">
        <x:f>IF(I20="","",I20-C20)</x:f>
        <x:v>0.027309999999999945</x:v>
      </x:c>
      <x:c r="K20" s="39" t="n">
        <x:v>268.0202</x:v>
      </x:c>
      <x:c r="L20" s="39" t="n">
        <x:f>IF(K20="","",K20-C20)</x:f>
        <x:v>0.02019999999998845</x:v>
      </x:c>
      <x:c r="M20" s="39" t="n">
        <x:v>0.36894</x:v>
      </x:c>
      <x:c r="N20" s="39" t="n">
        <x:v>3.23671</x:v>
      </x:c>
      <x:c r="O20" s="39" t="n">
        <x:v>2.50888</x:v>
      </x:c>
      <x:c r="P20" s="39" t="n">
        <x:v>4.1119</x:v>
      </x:c>
      <x:c r="Q20" s="39" t="n">
        <x:v>-145.28</x:v>
      </x:c>
      <x:c r="R20" s="39" t="n">
        <x:v>-11.02</x:v>
      </x:c>
      <x:c r="S20" s="39" t="n">
        <x:v>-6.15</x:v>
      </x:c>
      <x:c r="T20" s="39" t="n">
        <x:f>IF(OR(R20="",S20=""),"",ABS(MOD(R20-S20+180,360)-180))</x:f>
        <x:v>4.8700000000000045</x:v>
      </x:c>
      <x:c r="U20" s="39" t="n">
        <x:v>0.504</x:v>
      </x:c>
      <x:c r="V20" s="39" t="n">
        <x:v>0.92</x:v>
      </x:c>
      <x:c r="W20" s="39" t="n">
        <x:v>0.942</x:v>
      </x:c>
      <x:c r="X20" s="37" t="n">
        <x:v>4.67</x:v>
      </x:c>
      <x:c r="Y20" s="37" t="n">
        <x:v>1.04</x:v>
      </x:c>
      <x:c r="Z20" s="37" t="n">
        <x:v>0.84</x:v>
      </x:c>
      <x:c r="AA20" s="37" t="n">
        <x:v>0.73</x:v>
      </x:c>
      <x:c r="AB20" s="37" t="n">
        <x:f>IF(OR(P20="",P20=0),"",M20^2/P20^2*100)</x:f>
        <x:v>0.8050565696533252</x:v>
      </x:c>
      <x:c r="AC20" s="37" t="n">
        <x:f>IF(OR(P20="",P20=0),"",N20^2/P20^2*100)</x:f>
        <x:v>61.96158102049563</x:v>
      </x:c>
      <x:c r="AD20" s="37" t="n">
        <x:f>IF(OR(P20="",P20=0),"",O20^2/P20^2*100)</x:f>
        <x:v>37.22842733983245</x:v>
      </x:c>
      <x:c r="AE20" s="26" t="str">
        <x:f>IF(P20="","",IF(M20=MAX(M20:O20),"X",IF(N20=MAX(M20:O20),"Y","Z")))</x:f>
        <x:v>Y</x:v>
      </x:c>
      <x:c r="AF20" s="26" t="str">
        <x:f>IF(P20="","",IF(AE20="Y","Dominant motion in Y-Z plane; Y largest","Review axis dominance"))</x:f>
        <x:v>Dominant motion in Y-Z plane; Y largest</x:v>
      </x:c>
    </x:row>
    <x:row r="21">
      <x:c r="A21" s="26" t="str">
        <x:v>INC-01</x:v>
      </x:c>
      <x:c r="B21" s="26" t="n">
        <x:v>1</x:v>
      </x:c>
      <x:c r="C21" s="39" t="n">
        <x:v>268</x:v>
      </x:c>
      <x:c r="D21" s="26" t="n">
        <x:v>27</x:v>
      </x:c>
      <x:c r="E21" s="39" t="n">
        <x:v>267.99956</x:v>
      </x:c>
      <x:c r="F21" s="39" t="n">
        <x:f>IF(E21="","",E21-C21)</x:f>
        <x:v>-0.00044000000002597517</x:v>
      </x:c>
      <x:c r="G21" s="39" t="n">
        <x:v>268.01187</x:v>
      </x:c>
      <x:c r="H21" s="39" t="n">
        <x:f>IF(G21="","",G21-C21)</x:f>
        <x:v>0.011869999999987613</x:v>
      </x:c>
      <x:c r="I21" s="39" t="n">
        <x:v>268.01684</x:v>
      </x:c>
      <x:c r="J21" s="39" t="n">
        <x:f>IF(I21="","",I21-C21)</x:f>
        <x:v>0.016840000000001965</x:v>
      </x:c>
      <x:c r="K21" s="39" t="n">
        <x:v>268.01363</x:v>
      </x:c>
      <x:c r="L21" s="39" t="n">
        <x:f>IF(K21="","",K21-C21)</x:f>
        <x:v>0.013629999999977827</x:v>
      </x:c>
      <x:c r="M21" s="39" t="n">
        <x:v>0.35432</x:v>
      </x:c>
      <x:c r="N21" s="39" t="n">
        <x:v>3.40487</x:v>
      </x:c>
      <x:c r="O21" s="39" t="n">
        <x:v>2.64324</x:v>
      </x:c>
      <x:c r="P21" s="39" t="n">
        <x:v>4.32513</x:v>
      </x:c>
      <x:c r="Q21" s="39" t="n">
        <x:v>-145.99</x:v>
      </x:c>
      <x:c r="R21" s="39" t="n">
        <x:v>-12.36</x:v>
      </x:c>
      <x:c r="S21" s="39" t="n">
        <x:v>-7.47</x:v>
      </x:c>
      <x:c r="T21" s="39" t="n">
        <x:f>IF(OR(R21="",S21=""),"",ABS(MOD(R21-S21+180,360)-180))</x:f>
        <x:v>4.889999999999986</x:v>
      </x:c>
      <x:c r="U21" s="39" t="n">
        <x:v>0.49</x:v>
      </x:c>
      <x:c r="V21" s="39" t="n">
        <x:v>0.932</x:v>
      </x:c>
      <x:c r="W21" s="39" t="n">
        <x:v>0.945</x:v>
      </x:c>
      <x:c r="X21" s="37" t="n">
        <x:v>6.7</x:v>
      </x:c>
      <x:c r="Y21" s="37" t="n">
        <x:v>1.38</x:v>
      </x:c>
      <x:c r="Z21" s="37" t="n">
        <x:v>1.03</x:v>
      </x:c>
      <x:c r="AA21" s="37" t="n">
        <x:v>1.01</x:v>
      </x:c>
      <x:c r="AB21" s="37" t="n">
        <x:f>IF(OR(P21="",P21=0),"",M21^2/P21^2*100)</x:f>
        <x:v>0.6711089079724012</x:v>
      </x:c>
      <x:c r="AC21" s="37" t="n">
        <x:f>IF(OR(P21="",P21=0),"",N21^2/P21^2*100)</x:f>
        <x:v>61.973031212218665</x:v>
      </x:c>
      <x:c r="AD21" s="37" t="n">
        <x:f>IF(OR(P21="",P21=0),"",O21^2/P21^2*100)</x:f>
        <x:v>37.3486462267968</x:v>
      </x:c>
      <x:c r="AE21" s="26" t="str">
        <x:f>IF(P21="","",IF(M21=MAX(M21:O21),"X",IF(N21=MAX(M21:O21),"Y","Z")))</x:f>
        <x:v>Y</x:v>
      </x:c>
      <x:c r="AF21" s="26" t="str">
        <x:f>IF(P21="","",IF(AE21="Y","Dominant motion in Y-Z plane; Y largest","Review axis dominance"))</x:f>
        <x:v>Dominant motion in Y-Z plane; Y largest</x:v>
      </x:c>
    </x:row>
    <x:row r="22">
      <x:c r="A22" s="26" t="str">
        <x:v>INC-01</x:v>
      </x:c>
      <x:c r="B22" s="26" t="n">
        <x:v>1</x:v>
      </x:c>
      <x:c r="C22" s="39" t="n">
        <x:v>268</x:v>
      </x:c>
      <x:c r="D22" s="26" t="n">
        <x:v>28</x:v>
      </x:c>
      <x:c r="E22" s="39" t="n">
        <x:v>268.08162</x:v>
      </x:c>
      <x:c r="F22" s="39" t="n">
        <x:f>IF(E22="","",E22-C22)</x:f>
        <x:v>0.0816199999999867</x:v>
      </x:c>
      <x:c r="G22" s="39" t="n">
        <x:v>268.02234</x:v>
      </x:c>
      <x:c r="H22" s="39" t="n">
        <x:f>IF(G22="","",G22-C22)</x:f>
        <x:v>0.022339999999985594</x:v>
      </x:c>
      <x:c r="I22" s="39" t="n">
        <x:v>268.03495</x:v>
      </x:c>
      <x:c r="J22" s="39" t="n">
        <x:f>IF(I22="","",I22-C22)</x:f>
        <x:v>0.03494999999998072</x:v>
      </x:c>
      <x:c r="K22" s="39" t="n">
        <x:v>268.02746</x:v>
      </x:c>
      <x:c r="L22" s="39" t="n">
        <x:f>IF(K22="","",K22-C22)</x:f>
        <x:v>0.027460000000019136</x:v>
      </x:c>
      <x:c r="M22" s="39" t="n">
        <x:v>0.37529</x:v>
      </x:c>
      <x:c r="N22" s="39" t="n">
        <x:v>3.4761</x:v>
      </x:c>
      <x:c r="O22" s="39" t="n">
        <x:v>2.6857</x:v>
      </x:c>
      <x:c r="P22" s="39" t="n">
        <x:v>4.40888</x:v>
      </x:c>
      <x:c r="Q22" s="39" t="n">
        <x:v>-138.07</x:v>
      </x:c>
      <x:c r="R22" s="39" t="n">
        <x:v>-10.98</x:v>
      </x:c>
      <x:c r="S22" s="39" t="n">
        <x:v>-6.25</x:v>
      </x:c>
      <x:c r="T22" s="39" t="n">
        <x:f>IF(OR(R22="",S22=""),"",ABS(MOD(R22-S22+180,360)-180))</x:f>
        <x:v>4.72999999999999</x:v>
      </x:c>
      <x:c r="U22" s="39" t="n">
        <x:v>0.468</x:v>
      </x:c>
      <x:c r="V22" s="39" t="n">
        <x:v>0.935</x:v>
      </x:c>
      <x:c r="W22" s="39" t="n">
        <x:v>0.941</x:v>
      </x:c>
      <x:c r="X22" s="37" t="n">
        <x:v>5.46</x:v>
      </x:c>
      <x:c r="Y22" s="37" t="n">
        <x:v>1.77</x:v>
      </x:c>
      <x:c r="Z22" s="37" t="n">
        <x:v>0.53</x:v>
      </x:c>
      <x:c r="AA22" s="37" t="n">
        <x:v>1.24</x:v>
      </x:c>
      <x:c r="AB22" s="37" t="n">
        <x:f>IF(OR(P22="",P22=0),"",M22^2/P22^2*100)</x:f>
        <x:v>0.7245651269407025</x:v>
      </x:c>
      <x:c r="AC22" s="37" t="n">
        <x:f>IF(OR(P22="",P22=0),"",N22^2/P22^2*100)</x:f>
        <x:v>62.162427607238044</x:v>
      </x:c>
      <x:c r="AD22" s="37" t="n">
        <x:f>IF(OR(P22="",P22=0),"",O22^2/P22^2*100)</x:f>
        <x:v>37.10722191029559</x:v>
      </x:c>
      <x:c r="AE22" s="26" t="str">
        <x:f>IF(P22="","",IF(M22=MAX(M22:O22),"X",IF(N22=MAX(M22:O22),"Y","Z")))</x:f>
        <x:v>Y</x:v>
      </x:c>
      <x:c r="AF22" s="26" t="str">
        <x:f>IF(P22="","",IF(AE22="Y","Dominant motion in Y-Z plane; Y largest","Review axis dominance"))</x:f>
        <x:v>Dominant motion in Y-Z plane; Y largest</x:v>
      </x:c>
    </x:row>
    <x:row r="23">
      <x:c r="A23" s="26" t="str">
        <x:v>INC-01</x:v>
      </x:c>
      <x:c r="B23" s="26" t="n">
        <x:v>1</x:v>
      </x:c>
      <x:c r="C23" s="39" t="n">
        <x:v>268</x:v>
      </x:c>
      <x:c r="D23" s="26" t="n">
        <x:v>29</x:v>
      </x:c>
      <x:c r="E23" s="39" t="n">
        <x:v>268.08126</x:v>
      </x:c>
      <x:c r="F23" s="39" t="n">
        <x:f>IF(E23="","",E23-C23)</x:f>
        <x:v>0.08125999999998612</x:v>
      </x:c>
      <x:c r="G23" s="39" t="n">
        <x:v>268.02802</x:v>
      </x:c>
      <x:c r="H23" s="39" t="n">
        <x:f>IF(G23="","",G23-C23)</x:f>
        <x:v>0.028020000000026357</x:v>
      </x:c>
      <x:c r="I23" s="39" t="n">
        <x:v>268.04315</x:v>
      </x:c>
      <x:c r="J23" s="39" t="n">
        <x:f>IF(I23="","",I23-C23)</x:f>
        <x:v>0.04315000000002556</x:v>
      </x:c>
      <x:c r="K23" s="39" t="n">
        <x:v>268.03418</x:v>
      </x:c>
      <x:c r="L23" s="39" t="n">
        <x:f>IF(K23="","",K23-C23)</x:f>
        <x:v>0.034179999999992106</x:v>
      </x:c>
      <x:c r="M23" s="39" t="n">
        <x:v>0.37346</x:v>
      </x:c>
      <x:c r="N23" s="39" t="n">
        <x:v>3.55046</x:v>
      </x:c>
      <x:c r="O23" s="39" t="n">
        <x:v>2.80045</x:v>
      </x:c>
      <x:c r="P23" s="39" t="n">
        <x:v>4.53746</x:v>
      </x:c>
      <x:c r="Q23" s="39" t="n">
        <x:v>-135.18</x:v>
      </x:c>
      <x:c r="R23" s="39" t="n">
        <x:v>-11.77</x:v>
      </x:c>
      <x:c r="S23" s="39" t="n">
        <x:v>-6.68</x:v>
      </x:c>
      <x:c r="T23" s="39" t="n">
        <x:f>IF(OR(R23="",S23=""),"",ABS(MOD(R23-S23+180,360)-180))</x:f>
        <x:v>5.090000000000003</x:v>
      </x:c>
      <x:c r="U23" s="39" t="n">
        <x:v>0.497</x:v>
      </x:c>
      <x:c r="V23" s="39" t="n">
        <x:v>0.932</x:v>
      </x:c>
      <x:c r="W23" s="39" t="n">
        <x:v>0.946</x:v>
      </x:c>
      <x:c r="X23" s="37" t="n">
        <x:v>4.9</x:v>
      </x:c>
      <x:c r="Y23" s="37" t="n">
        <x:v>1.63</x:v>
      </x:c>
      <x:c r="Z23" s="37" t="n">
        <x:v>1.56</x:v>
      </x:c>
      <x:c r="AA23" s="37" t="n">
        <x:v>1.5</x:v>
      </x:c>
      <x:c r="AB23" s="37" t="n">
        <x:f>IF(OR(P23="",P23=0),"",M23^2/P23^2*100)</x:f>
        <x:v>0.6774271005752734</x:v>
      </x:c>
      <x:c r="AC23" s="37" t="n">
        <x:f>IF(OR(P23="",P23=0),"",N23^2/P23^2*100)</x:f>
        <x:v>61.22709148263983</x:v>
      </x:c>
      <x:c r="AD23" s="37" t="n">
        <x:f>IF(OR(P23="",P23=0),"",O23^2/P23^2*100)</x:f>
        <x:v>38.09167121083485</x:v>
      </x:c>
      <x:c r="AE23" s="26" t="str">
        <x:f>IF(P23="","",IF(M23=MAX(M23:O23),"X",IF(N23=MAX(M23:O23),"Y","Z")))</x:f>
        <x:v>Y</x:v>
      </x:c>
      <x:c r="AF23" s="26" t="str">
        <x:f>IF(P23="","",IF(AE23="Y","Dominant motion in Y-Z plane; Y largest","Review axis dominance"))</x:f>
        <x:v>Dominant motion in Y-Z plane; Y largest</x:v>
      </x:c>
    </x:row>
    <x:row r="24">
      <x:c r="A24" s="26" t="str">
        <x:v>INC-01</x:v>
      </x:c>
      <x:c r="B24" s="26" t="n">
        <x:v>1</x:v>
      </x:c>
      <x:c r="C24" s="39" t="n">
        <x:v>268</x:v>
      </x:c>
      <x:c r="D24" s="26" t="n">
        <x:v>30</x:v>
      </x:c>
      <x:c r="E24" s="39" t="n">
        <x:v>268.00568</x:v>
      </x:c>
      <x:c r="F24" s="39" t="n">
        <x:f>IF(E24="","",E24-C24)</x:f>
        <x:v>0.00567999999998392</x:v>
      </x:c>
      <x:c r="G24" s="39" t="n">
        <x:v>268.02404</x:v>
      </x:c>
      <x:c r="H24" s="39" t="n">
        <x:f>IF(G24="","",G24-C24)</x:f>
        <x:v>0.024040000000013606</x:v>
      </x:c>
      <x:c r="I24" s="39" t="n">
        <x:v>268.01941</x:v>
      </x:c>
      <x:c r="J24" s="39" t="n">
        <x:f>IF(I24="","",I24-C24)</x:f>
        <x:v>0.019409999999993488</x:v>
      </x:c>
      <x:c r="K24" s="39" t="n">
        <x:v>268.02217</x:v>
      </x:c>
      <x:c r="L24" s="39" t="n">
        <x:f>IF(K24="","",K24-C24)</x:f>
        <x:v>0.0221700000000169</x:v>
      </x:c>
      <x:c r="M24" s="39" t="n">
        <x:v>0.38186</x:v>
      </x:c>
      <x:c r="N24" s="39" t="n">
        <x:v>3.65183</x:v>
      </x:c>
      <x:c r="O24" s="39" t="n">
        <x:v>2.9028</x:v>
      </x:c>
      <x:c r="P24" s="39" t="n">
        <x:v>4.6811</x:v>
      </x:c>
      <x:c r="Q24" s="39" t="n">
        <x:v>-128.52</x:v>
      </x:c>
      <x:c r="R24" s="39" t="n">
        <x:v>-11.27</x:v>
      </x:c>
      <x:c r="S24" s="39" t="n">
        <x:v>-6.42</x:v>
      </x:c>
      <x:c r="T24" s="39" t="n">
        <x:f>IF(OR(R24="",S24=""),"",ABS(MOD(R24-S24+180,360)-180))</x:f>
        <x:v>4.849999999999994</x:v>
      </x:c>
      <x:c r="U24" s="39" t="n">
        <x:v>0.497</x:v>
      </x:c>
      <x:c r="V24" s="39" t="n">
        <x:v>0.929</x:v>
      </x:c>
      <x:c r="W24" s="39" t="n">
        <x:v>0.94</x:v>
      </x:c>
      <x:c r="X24" s="37" t="n">
        <x:v>4.69</x:v>
      </x:c>
      <x:c r="Y24" s="37" t="n">
        <x:v>1.45</x:v>
      </x:c>
      <x:c r="Z24" s="37" t="n">
        <x:v>2.3</x:v>
      </x:c>
      <x:c r="AA24" s="37" t="n">
        <x:v>0.84</x:v>
      </x:c>
      <x:c r="AB24" s="37" t="n">
        <x:f>IF(OR(P24="",P24=0),"",M24^2/P24^2*100)</x:f>
        <x:v>0.6654455095261183</x:v>
      </x:c>
      <x:c r="AC24" s="37" t="n">
        <x:f>IF(OR(P24="",P24=0),"",N24^2/P24^2*100)</x:f>
        <x:v>60.859063679363466</x:v>
      </x:c>
      <x:c r="AD24" s="37" t="n">
        <x:f>IF(OR(P24="",P24=0),"",O24^2/P24^2*100)</x:f>
        <x:v>38.453722785685315</x:v>
      </x:c>
      <x:c r="AE24" s="26" t="str">
        <x:f>IF(P24="","",IF(M24=MAX(M24:O24),"X",IF(N24=MAX(M24:O24),"Y","Z")))</x:f>
        <x:v>Y</x:v>
      </x:c>
      <x:c r="AF24" s="26" t="str">
        <x:f>IF(P24="","",IF(AE24="Y","Dominant motion in Y-Z plane; Y largest","Review axis dominance"))</x:f>
        <x:v>Dominant motion in Y-Z plane; Y largest</x:v>
      </x:c>
    </x:row>
    <x:row r="25">
      <x:c r="A25" s="26"/>
      <x:c r="B25" s="26"/>
      <x:c r="C25" s="39"/>
      <x:c r="D25" s="26"/>
      <x:c r="E25" s="39"/>
      <x:c r="F25" s="39"/>
      <x:c r="G25" s="39"/>
      <x:c r="H25" s="39"/>
      <x:c r="I25" s="39"/>
      <x:c r="J25" s="39"/>
      <x:c r="K25" s="39"/>
      <x:c r="L25" s="39"/>
      <x:c r="M25" s="39"/>
      <x:c r="N25" s="39"/>
      <x:c r="O25" s="39"/>
      <x:c r="P25" s="39"/>
      <x:c r="Q25" s="39"/>
      <x:c r="R25" s="39"/>
      <x:c r="S25" s="39"/>
      <x:c r="T25" s="39"/>
      <x:c r="U25" s="39"/>
      <x:c r="V25" s="39"/>
      <x:c r="W25" s="39"/>
      <x:c r="X25" s="37"/>
      <x:c r="Y25" s="37"/>
      <x:c r="Z25" s="37"/>
      <x:c r="AA25" s="37"/>
      <x:c r="AB25" s="37"/>
      <x:c r="AC25" s="37"/>
      <x:c r="AD25" s="37"/>
      <x:c r="AE25" s="26"/>
      <x:c r="AF25" s="26"/>
    </x:row>
    <x:row r="26">
      <x:c r="A26" s="26"/>
      <x:c r="B26" s="26"/>
      <x:c r="C26" s="39"/>
      <x:c r="D26" s="26"/>
      <x:c r="E26" s="39"/>
      <x:c r="F26" s="39"/>
      <x:c r="G26" s="39"/>
      <x:c r="H26" s="39"/>
      <x:c r="I26" s="39"/>
      <x:c r="J26" s="39"/>
      <x:c r="K26" s="39"/>
      <x:c r="L26" s="39"/>
      <x:c r="M26" s="39"/>
      <x:c r="N26" s="39"/>
      <x:c r="O26" s="39"/>
      <x:c r="P26" s="39"/>
      <x:c r="Q26" s="39"/>
      <x:c r="R26" s="39"/>
      <x:c r="S26" s="39"/>
      <x:c r="T26" s="39"/>
      <x:c r="U26" s="39"/>
      <x:c r="V26" s="39"/>
      <x:c r="W26" s="39"/>
      <x:c r="X26" s="37"/>
      <x:c r="Y26" s="37"/>
      <x:c r="Z26" s="37"/>
      <x:c r="AA26" s="37"/>
      <x:c r="AB26" s="37"/>
      <x:c r="AC26" s="37"/>
      <x:c r="AD26" s="37"/>
      <x:c r="AE26" s="26"/>
      <x:c r="AF26" s="26"/>
    </x:row>
    <x:row r="27">
      <x:c r="A27" s="26"/>
      <x:c r="B27" s="26"/>
      <x:c r="C27" s="39"/>
      <x:c r="D27" s="26"/>
      <x:c r="E27" s="39"/>
      <x:c r="F27" s="39"/>
      <x:c r="G27" s="39"/>
      <x:c r="H27" s="39"/>
      <x:c r="I27" s="39"/>
      <x:c r="J27" s="39"/>
      <x:c r="K27" s="39"/>
      <x:c r="L27" s="39"/>
      <x:c r="M27" s="39"/>
      <x:c r="N27" s="39"/>
      <x:c r="O27" s="39"/>
      <x:c r="P27" s="39"/>
      <x:c r="Q27" s="39"/>
      <x:c r="R27" s="39"/>
      <x:c r="S27" s="39"/>
      <x:c r="T27" s="39"/>
      <x:c r="U27" s="39"/>
      <x:c r="V27" s="39"/>
      <x:c r="W27" s="39"/>
      <x:c r="X27" s="37"/>
      <x:c r="Y27" s="37"/>
      <x:c r="Z27" s="37"/>
      <x:c r="AA27" s="37"/>
      <x:c r="AB27" s="37"/>
      <x:c r="AC27" s="37"/>
      <x:c r="AD27" s="37"/>
      <x:c r="AE27" s="26"/>
      <x:c r="AF27" s="26"/>
    </x:row>
    <x:row r="28">
      <x:c r="A28" s="26"/>
      <x:c r="B28" s="26"/>
      <x:c r="C28" s="39"/>
      <x:c r="D28" s="26"/>
      <x:c r="E28" s="39"/>
      <x:c r="F28" s="39"/>
      <x:c r="G28" s="39"/>
      <x:c r="H28" s="39"/>
      <x:c r="I28" s="39"/>
      <x:c r="J28" s="39"/>
      <x:c r="K28" s="39"/>
      <x:c r="L28" s="39"/>
      <x:c r="M28" s="39"/>
      <x:c r="N28" s="39"/>
      <x:c r="O28" s="39"/>
      <x:c r="P28" s="39"/>
      <x:c r="Q28" s="39"/>
      <x:c r="R28" s="39"/>
      <x:c r="S28" s="39"/>
      <x:c r="T28" s="39"/>
      <x:c r="U28" s="39"/>
      <x:c r="V28" s="39"/>
      <x:c r="W28" s="39"/>
      <x:c r="X28" s="37"/>
      <x:c r="Y28" s="37"/>
      <x:c r="Z28" s="37"/>
      <x:c r="AA28" s="37"/>
      <x:c r="AB28" s="37"/>
      <x:c r="AC28" s="37"/>
      <x:c r="AD28" s="37"/>
      <x:c r="AE28" s="26"/>
      <x:c r="AF28" s="26"/>
    </x:row>
    <x:row r="29">
      <x:c r="A29" s="26"/>
      <x:c r="B29" s="26"/>
      <x:c r="C29" s="39"/>
      <x:c r="D29" s="26"/>
      <x:c r="E29" s="39"/>
      <x:c r="F29" s="39"/>
      <x:c r="G29" s="39"/>
      <x:c r="H29" s="39"/>
      <x:c r="I29" s="39"/>
      <x:c r="J29" s="39"/>
      <x:c r="K29" s="39"/>
      <x:c r="L29" s="39"/>
      <x:c r="M29" s="39"/>
      <x:c r="N29" s="39"/>
      <x:c r="O29" s="39"/>
      <x:c r="P29" s="39"/>
      <x:c r="Q29" s="39"/>
      <x:c r="R29" s="39"/>
      <x:c r="S29" s="39"/>
      <x:c r="T29" s="39"/>
      <x:c r="U29" s="39"/>
      <x:c r="V29" s="39"/>
      <x:c r="W29" s="39"/>
      <x:c r="X29" s="37"/>
      <x:c r="Y29" s="37"/>
      <x:c r="Z29" s="37"/>
      <x:c r="AA29" s="37"/>
      <x:c r="AB29" s="37"/>
      <x:c r="AC29" s="37"/>
      <x:c r="AD29" s="37"/>
      <x:c r="AE29" s="26"/>
      <x:c r="AF29" s="26"/>
    </x:row>
    <x:row r="30">
      <x:c r="A30" s="26"/>
      <x:c r="B30" s="26"/>
      <x:c r="C30" s="39"/>
      <x:c r="D30" s="26"/>
      <x:c r="E30" s="39"/>
      <x:c r="F30" s="39"/>
      <x:c r="G30" s="39"/>
      <x:c r="H30" s="39"/>
      <x:c r="I30" s="39"/>
      <x:c r="J30" s="39"/>
      <x:c r="K30" s="39"/>
      <x:c r="L30" s="39"/>
      <x:c r="M30" s="39"/>
      <x:c r="N30" s="39"/>
      <x:c r="O30" s="39"/>
      <x:c r="P30" s="39"/>
      <x:c r="Q30" s="39"/>
      <x:c r="R30" s="39"/>
      <x:c r="S30" s="39"/>
      <x:c r="T30" s="39"/>
      <x:c r="U30" s="39"/>
      <x:c r="V30" s="39"/>
      <x:c r="W30" s="39"/>
      <x:c r="X30" s="37"/>
      <x:c r="Y30" s="37"/>
      <x:c r="Z30" s="37"/>
      <x:c r="AA30" s="37"/>
      <x:c r="AB30" s="37"/>
      <x:c r="AC30" s="37"/>
      <x:c r="AD30" s="37"/>
      <x:c r="AE30" s="26"/>
      <x:c r="AF30" s="26"/>
    </x:row>
    <x:row r="31">
      <x:c r="A31" s="26"/>
      <x:c r="B31" s="26"/>
      <x:c r="C31" s="39"/>
      <x:c r="D31" s="26"/>
      <x:c r="E31" s="39"/>
      <x:c r="F31" s="39"/>
      <x:c r="G31" s="39"/>
      <x:c r="H31" s="39"/>
      <x:c r="I31" s="39"/>
      <x:c r="J31" s="39"/>
      <x:c r="K31" s="39"/>
      <x:c r="L31" s="39"/>
      <x:c r="M31" s="39"/>
      <x:c r="N31" s="39"/>
      <x:c r="O31" s="39"/>
      <x:c r="P31" s="39"/>
      <x:c r="Q31" s="39"/>
      <x:c r="R31" s="39"/>
      <x:c r="S31" s="39"/>
      <x:c r="T31" s="39"/>
      <x:c r="U31" s="39"/>
      <x:c r="V31" s="39"/>
      <x:c r="W31" s="39"/>
      <x:c r="X31" s="37"/>
      <x:c r="Y31" s="37"/>
      <x:c r="Z31" s="37"/>
      <x:c r="AA31" s="37"/>
      <x:c r="AB31" s="37"/>
      <x:c r="AC31" s="37"/>
      <x:c r="AD31" s="37"/>
      <x:c r="AE31" s="26"/>
      <x:c r="AF31" s="26"/>
    </x:row>
    <x:row r="32">
      <x:c r="A32" s="26"/>
      <x:c r="B32" s="26"/>
      <x:c r="C32" s="39"/>
      <x:c r="D32" s="26"/>
      <x:c r="E32" s="39"/>
      <x:c r="F32" s="39"/>
      <x:c r="G32" s="39"/>
      <x:c r="H32" s="39"/>
      <x:c r="I32" s="39"/>
      <x:c r="J32" s="39"/>
      <x:c r="K32" s="39"/>
      <x:c r="L32" s="39"/>
      <x:c r="M32" s="39"/>
      <x:c r="N32" s="39"/>
      <x:c r="O32" s="39"/>
      <x:c r="P32" s="39"/>
      <x:c r="Q32" s="39"/>
      <x:c r="R32" s="39"/>
      <x:c r="S32" s="39"/>
      <x:c r="T32" s="39"/>
      <x:c r="U32" s="39"/>
      <x:c r="V32" s="39"/>
      <x:c r="W32" s="39"/>
      <x:c r="X32" s="37"/>
      <x:c r="Y32" s="37"/>
      <x:c r="Z32" s="37"/>
      <x:c r="AA32" s="37"/>
      <x:c r="AB32" s="37"/>
      <x:c r="AC32" s="37"/>
      <x:c r="AD32" s="37"/>
      <x:c r="AE32" s="26"/>
      <x:c r="AF32" s="26"/>
    </x:row>
    <x:row r="33">
      <x:c r="A33" s="26"/>
      <x:c r="B33" s="26"/>
      <x:c r="C33" s="39"/>
      <x:c r="D33" s="26"/>
      <x:c r="E33" s="39"/>
      <x:c r="F33" s="39"/>
      <x:c r="G33" s="39"/>
      <x:c r="H33" s="39"/>
      <x:c r="I33" s="39"/>
      <x:c r="J33" s="39"/>
      <x:c r="K33" s="39"/>
      <x:c r="L33" s="39"/>
      <x:c r="M33" s="39"/>
      <x:c r="N33" s="39"/>
      <x:c r="O33" s="39"/>
      <x:c r="P33" s="39"/>
      <x:c r="Q33" s="39"/>
      <x:c r="R33" s="39"/>
      <x:c r="S33" s="39"/>
      <x:c r="T33" s="39"/>
      <x:c r="U33" s="39"/>
      <x:c r="V33" s="39"/>
      <x:c r="W33" s="39"/>
      <x:c r="X33" s="37"/>
      <x:c r="Y33" s="37"/>
      <x:c r="Z33" s="37"/>
      <x:c r="AA33" s="37"/>
      <x:c r="AB33" s="37"/>
      <x:c r="AC33" s="37"/>
      <x:c r="AD33" s="37"/>
      <x:c r="AE33" s="26"/>
      <x:c r="AF33" s="26"/>
    </x:row>
    <x:row r="34">
      <x:c r="A34" s="26"/>
      <x:c r="B34" s="26"/>
      <x:c r="C34" s="39"/>
      <x:c r="D34" s="26"/>
      <x:c r="E34" s="39"/>
      <x:c r="F34" s="39"/>
      <x:c r="G34" s="39"/>
      <x:c r="H34" s="39"/>
      <x:c r="I34" s="39"/>
      <x:c r="J34" s="39"/>
      <x:c r="K34" s="39"/>
      <x:c r="L34" s="39"/>
      <x:c r="M34" s="39"/>
      <x:c r="N34" s="39"/>
      <x:c r="O34" s="39"/>
      <x:c r="P34" s="39"/>
      <x:c r="Q34" s="39"/>
      <x:c r="R34" s="39"/>
      <x:c r="S34" s="39"/>
      <x:c r="T34" s="39"/>
      <x:c r="U34" s="39"/>
      <x:c r="V34" s="39"/>
      <x:c r="W34" s="39"/>
      <x:c r="X34" s="37"/>
      <x:c r="Y34" s="37"/>
      <x:c r="Z34" s="37"/>
      <x:c r="AA34" s="37"/>
      <x:c r="AB34" s="37"/>
      <x:c r="AC34" s="37"/>
      <x:c r="AD34" s="37"/>
      <x:c r="AE34" s="26"/>
      <x:c r="AF34" s="26"/>
    </x:row>
    <x:row r="35">
      <x:c r="A35" s="26"/>
      <x:c r="B35" s="26"/>
      <x:c r="C35" s="39"/>
      <x:c r="D35" s="26"/>
      <x:c r="E35" s="39"/>
      <x:c r="F35" s="39"/>
      <x:c r="G35" s="39"/>
      <x:c r="H35" s="39"/>
      <x:c r="I35" s="39"/>
      <x:c r="J35" s="39"/>
      <x:c r="K35" s="39"/>
      <x:c r="L35" s="39"/>
      <x:c r="M35" s="39"/>
      <x:c r="N35" s="39"/>
      <x:c r="O35" s="39"/>
      <x:c r="P35" s="39"/>
      <x:c r="Q35" s="39"/>
      <x:c r="R35" s="39"/>
      <x:c r="S35" s="39"/>
      <x:c r="T35" s="39"/>
      <x:c r="U35" s="39"/>
      <x:c r="V35" s="39"/>
      <x:c r="W35" s="39"/>
      <x:c r="X35" s="37"/>
      <x:c r="Y35" s="37"/>
      <x:c r="Z35" s="37"/>
      <x:c r="AA35" s="37"/>
      <x:c r="AB35" s="37"/>
      <x:c r="AC35" s="37"/>
      <x:c r="AD35" s="37"/>
      <x:c r="AE35" s="26"/>
      <x:c r="AF35" s="26"/>
    </x:row>
    <x:row r="36">
      <x:c r="A36" s="26"/>
      <x:c r="B36" s="26"/>
      <x:c r="C36" s="39"/>
      <x:c r="D36" s="26"/>
      <x:c r="E36" s="39"/>
      <x:c r="F36" s="39"/>
      <x:c r="G36" s="39"/>
      <x:c r="H36" s="39"/>
      <x:c r="I36" s="39"/>
      <x:c r="J36" s="39"/>
      <x:c r="K36" s="39"/>
      <x:c r="L36" s="39"/>
      <x:c r="M36" s="39"/>
      <x:c r="N36" s="39"/>
      <x:c r="O36" s="39"/>
      <x:c r="P36" s="39"/>
      <x:c r="Q36" s="39"/>
      <x:c r="R36" s="39"/>
      <x:c r="S36" s="39"/>
      <x:c r="T36" s="39"/>
      <x:c r="U36" s="39"/>
      <x:c r="V36" s="39"/>
      <x:c r="W36" s="39"/>
      <x:c r="X36" s="37"/>
      <x:c r="Y36" s="37"/>
      <x:c r="Z36" s="37"/>
      <x:c r="AA36" s="37"/>
      <x:c r="AB36" s="37"/>
      <x:c r="AC36" s="37"/>
      <x:c r="AD36" s="37"/>
      <x:c r="AE36" s="26"/>
      <x:c r="AF36" s="26"/>
    </x:row>
    <x:row r="37">
      <x:c r="A37" s="26"/>
      <x:c r="B37" s="26"/>
      <x:c r="C37" s="39"/>
      <x:c r="D37" s="26"/>
      <x:c r="E37" s="39"/>
      <x:c r="F37" s="39"/>
      <x:c r="G37" s="39"/>
      <x:c r="H37" s="39"/>
      <x:c r="I37" s="39"/>
      <x:c r="J37" s="39"/>
      <x:c r="K37" s="39"/>
      <x:c r="L37" s="39"/>
      <x:c r="M37" s="39"/>
      <x:c r="N37" s="39"/>
      <x:c r="O37" s="39"/>
      <x:c r="P37" s="39"/>
      <x:c r="Q37" s="39"/>
      <x:c r="R37" s="39"/>
      <x:c r="S37" s="39"/>
      <x:c r="T37" s="39"/>
      <x:c r="U37" s="39"/>
      <x:c r="V37" s="39"/>
      <x:c r="W37" s="39"/>
      <x:c r="X37" s="37"/>
      <x:c r="Y37" s="37"/>
      <x:c r="Z37" s="37"/>
      <x:c r="AA37" s="37"/>
      <x:c r="AB37" s="37"/>
      <x:c r="AC37" s="37"/>
      <x:c r="AD37" s="37"/>
      <x:c r="AE37" s="26"/>
      <x:c r="AF37" s="26"/>
    </x:row>
    <x:row r="38">
      <x:c r="A38" s="26"/>
      <x:c r="B38" s="26"/>
      <x:c r="C38" s="39"/>
      <x:c r="D38" s="26"/>
      <x:c r="E38" s="39"/>
      <x:c r="F38" s="39"/>
      <x:c r="G38" s="39"/>
      <x:c r="H38" s="39"/>
      <x:c r="I38" s="39"/>
      <x:c r="J38" s="39"/>
      <x:c r="K38" s="39"/>
      <x:c r="L38" s="39"/>
      <x:c r="M38" s="39"/>
      <x:c r="N38" s="39"/>
      <x:c r="O38" s="39"/>
      <x:c r="P38" s="39"/>
      <x:c r="Q38" s="39"/>
      <x:c r="R38" s="39"/>
      <x:c r="S38" s="39"/>
      <x:c r="T38" s="39"/>
      <x:c r="U38" s="39"/>
      <x:c r="V38" s="39"/>
      <x:c r="W38" s="39"/>
      <x:c r="X38" s="37"/>
      <x:c r="Y38" s="37"/>
      <x:c r="Z38" s="37"/>
      <x:c r="AA38" s="37"/>
      <x:c r="AB38" s="37"/>
      <x:c r="AC38" s="37"/>
      <x:c r="AD38" s="37"/>
      <x:c r="AE38" s="26"/>
      <x:c r="AF38" s="26"/>
    </x:row>
    <x:row r="39">
      <x:c r="A39" s="26"/>
      <x:c r="B39" s="26"/>
      <x:c r="C39" s="39"/>
      <x:c r="D39" s="26"/>
      <x:c r="E39" s="39"/>
      <x:c r="F39" s="39"/>
      <x:c r="G39" s="39"/>
      <x:c r="H39" s="39"/>
      <x:c r="I39" s="39"/>
      <x:c r="J39" s="39"/>
      <x:c r="K39" s="39"/>
      <x:c r="L39" s="39"/>
      <x:c r="M39" s="39"/>
      <x:c r="N39" s="39"/>
      <x:c r="O39" s="39"/>
      <x:c r="P39" s="39"/>
      <x:c r="Q39" s="39"/>
      <x:c r="R39" s="39"/>
      <x:c r="S39" s="39"/>
      <x:c r="T39" s="39"/>
      <x:c r="U39" s="39"/>
      <x:c r="V39" s="39"/>
      <x:c r="W39" s="39"/>
      <x:c r="X39" s="37"/>
      <x:c r="Y39" s="37"/>
      <x:c r="Z39" s="37"/>
      <x:c r="AA39" s="37"/>
      <x:c r="AB39" s="37"/>
      <x:c r="AC39" s="37"/>
      <x:c r="AD39" s="37"/>
      <x:c r="AE39" s="26"/>
      <x:c r="AF39" s="26"/>
    </x:row>
    <x:row r="40">
      <x:c r="A40" s="26"/>
      <x:c r="B40" s="26"/>
      <x:c r="C40" s="39"/>
      <x:c r="D40" s="26"/>
      <x:c r="E40" s="39"/>
      <x:c r="F40" s="39"/>
      <x:c r="G40" s="39"/>
      <x:c r="H40" s="39"/>
      <x:c r="I40" s="39"/>
      <x:c r="J40" s="39"/>
      <x:c r="K40" s="39"/>
      <x:c r="L40" s="39"/>
      <x:c r="M40" s="39"/>
      <x:c r="N40" s="39"/>
      <x:c r="O40" s="39"/>
      <x:c r="P40" s="39"/>
      <x:c r="Q40" s="39"/>
      <x:c r="R40" s="39"/>
      <x:c r="S40" s="39"/>
      <x:c r="T40" s="39"/>
      <x:c r="U40" s="39"/>
      <x:c r="V40" s="39"/>
      <x:c r="W40" s="39"/>
      <x:c r="X40" s="37"/>
      <x:c r="Y40" s="37"/>
      <x:c r="Z40" s="37"/>
      <x:c r="AA40" s="37"/>
      <x:c r="AB40" s="37"/>
      <x:c r="AC40" s="37"/>
      <x:c r="AD40" s="37"/>
      <x:c r="AE40" s="26"/>
      <x:c r="AF40" s="26"/>
    </x:row>
    <x:row r="41">
      <x:c r="A41" s="26"/>
      <x:c r="B41" s="26"/>
      <x:c r="C41" s="39"/>
      <x:c r="D41" s="26"/>
      <x:c r="E41" s="39"/>
      <x:c r="F41" s="39"/>
      <x:c r="G41" s="39"/>
      <x:c r="H41" s="39"/>
      <x:c r="I41" s="39"/>
      <x:c r="J41" s="39"/>
      <x:c r="K41" s="39"/>
      <x:c r="L41" s="39"/>
      <x:c r="M41" s="39"/>
      <x:c r="N41" s="39"/>
      <x:c r="O41" s="39"/>
      <x:c r="P41" s="39"/>
      <x:c r="Q41" s="39"/>
      <x:c r="R41" s="39"/>
      <x:c r="S41" s="39"/>
      <x:c r="T41" s="39"/>
      <x:c r="U41" s="39"/>
      <x:c r="V41" s="39"/>
      <x:c r="W41" s="39"/>
      <x:c r="X41" s="37"/>
      <x:c r="Y41" s="37"/>
      <x:c r="Z41" s="37"/>
      <x:c r="AA41" s="37"/>
      <x:c r="AB41" s="37"/>
      <x:c r="AC41" s="37"/>
      <x:c r="AD41" s="37"/>
      <x:c r="AE41" s="26"/>
      <x:c r="AF41" s="26"/>
    </x:row>
    <x:row r="42">
      <x:c r="A42" s="26"/>
      <x:c r="B42" s="26"/>
      <x:c r="C42" s="39"/>
      <x:c r="D42" s="26"/>
      <x:c r="E42" s="39"/>
      <x:c r="F42" s="39"/>
      <x:c r="G42" s="39"/>
      <x:c r="H42" s="39"/>
      <x:c r="I42" s="39"/>
      <x:c r="J42" s="39"/>
      <x:c r="K42" s="39"/>
      <x:c r="L42" s="39"/>
      <x:c r="M42" s="39"/>
      <x:c r="N42" s="39"/>
      <x:c r="O42" s="39"/>
      <x:c r="P42" s="39"/>
      <x:c r="Q42" s="39"/>
      <x:c r="R42" s="39"/>
      <x:c r="S42" s="39"/>
      <x:c r="T42" s="39"/>
      <x:c r="U42" s="39"/>
      <x:c r="V42" s="39"/>
      <x:c r="W42" s="39"/>
      <x:c r="X42" s="37"/>
      <x:c r="Y42" s="37"/>
      <x:c r="Z42" s="37"/>
      <x:c r="AA42" s="37"/>
      <x:c r="AB42" s="37"/>
      <x:c r="AC42" s="37"/>
      <x:c r="AD42" s="37"/>
      <x:c r="AE42" s="26"/>
      <x:c r="AF42" s="26"/>
    </x:row>
    <x:row r="43">
      <x:c r="A43" s="26"/>
      <x:c r="B43" s="26"/>
      <x:c r="C43" s="39"/>
      <x:c r="D43" s="26"/>
      <x:c r="E43" s="39"/>
      <x:c r="F43" s="39"/>
      <x:c r="G43" s="39"/>
      <x:c r="H43" s="39"/>
      <x:c r="I43" s="39"/>
      <x:c r="J43" s="39"/>
      <x:c r="K43" s="39"/>
      <x:c r="L43" s="39"/>
      <x:c r="M43" s="39"/>
      <x:c r="N43" s="39"/>
      <x:c r="O43" s="39"/>
      <x:c r="P43" s="39"/>
      <x:c r="Q43" s="39"/>
      <x:c r="R43" s="39"/>
      <x:c r="S43" s="39"/>
      <x:c r="T43" s="39"/>
      <x:c r="U43" s="39"/>
      <x:c r="V43" s="39"/>
      <x:c r="W43" s="39"/>
      <x:c r="X43" s="37"/>
      <x:c r="Y43" s="37"/>
      <x:c r="Z43" s="37"/>
      <x:c r="AA43" s="37"/>
      <x:c r="AB43" s="37"/>
      <x:c r="AC43" s="37"/>
      <x:c r="AD43" s="37"/>
      <x:c r="AE43" s="26"/>
      <x:c r="AF43" s="26"/>
    </x:row>
    <x:row r="44">
      <x:c r="A44" s="26"/>
      <x:c r="B44" s="26"/>
      <x:c r="C44" s="39"/>
      <x:c r="D44" s="26"/>
      <x:c r="E44" s="39"/>
      <x:c r="F44" s="39"/>
      <x:c r="G44" s="39"/>
      <x:c r="H44" s="39"/>
      <x:c r="I44" s="39"/>
      <x:c r="J44" s="39"/>
      <x:c r="K44" s="39"/>
      <x:c r="L44" s="39"/>
      <x:c r="M44" s="39"/>
      <x:c r="N44" s="39"/>
      <x:c r="O44" s="39"/>
      <x:c r="P44" s="39"/>
      <x:c r="Q44" s="39"/>
      <x:c r="R44" s="39"/>
      <x:c r="S44" s="39"/>
      <x:c r="T44" s="39"/>
      <x:c r="U44" s="39"/>
      <x:c r="V44" s="39"/>
      <x:c r="W44" s="39"/>
      <x:c r="X44" s="37"/>
      <x:c r="Y44" s="37"/>
      <x:c r="Z44" s="37"/>
      <x:c r="AA44" s="37"/>
      <x:c r="AB44" s="37"/>
      <x:c r="AC44" s="37"/>
      <x:c r="AD44" s="37"/>
      <x:c r="AE44" s="26"/>
      <x:c r="AF44" s="26"/>
    </x:row>
    <x:row r="45">
      <x:c r="A45" s="26"/>
      <x:c r="B45" s="26"/>
      <x:c r="C45" s="39"/>
      <x:c r="D45" s="26"/>
      <x:c r="E45" s="39"/>
      <x:c r="F45" s="39"/>
      <x:c r="G45" s="39"/>
      <x:c r="H45" s="39"/>
      <x:c r="I45" s="39"/>
      <x:c r="J45" s="39"/>
      <x:c r="K45" s="39"/>
      <x:c r="L45" s="39"/>
      <x:c r="M45" s="39"/>
      <x:c r="N45" s="39"/>
      <x:c r="O45" s="39"/>
      <x:c r="P45" s="39"/>
      <x:c r="Q45" s="39"/>
      <x:c r="R45" s="39"/>
      <x:c r="S45" s="39"/>
      <x:c r="T45" s="39"/>
      <x:c r="U45" s="39"/>
      <x:c r="V45" s="39"/>
      <x:c r="W45" s="39"/>
      <x:c r="X45" s="37"/>
      <x:c r="Y45" s="37"/>
      <x:c r="Z45" s="37"/>
      <x:c r="AA45" s="37"/>
      <x:c r="AB45" s="37"/>
      <x:c r="AC45" s="37"/>
      <x:c r="AD45" s="37"/>
      <x:c r="AE45" s="26"/>
      <x:c r="AF45" s="26"/>
    </x:row>
    <x:row r="46">
      <x:c r="A46" s="26"/>
      <x:c r="B46" s="26"/>
      <x:c r="C46" s="39"/>
      <x:c r="D46" s="26"/>
      <x:c r="E46" s="39"/>
      <x:c r="F46" s="39"/>
      <x:c r="G46" s="39"/>
      <x:c r="H46" s="39"/>
      <x:c r="I46" s="39"/>
      <x:c r="J46" s="39"/>
      <x:c r="K46" s="39"/>
      <x:c r="L46" s="39"/>
      <x:c r="M46" s="39"/>
      <x:c r="N46" s="39"/>
      <x:c r="O46" s="39"/>
      <x:c r="P46" s="39"/>
      <x:c r="Q46" s="39"/>
      <x:c r="R46" s="39"/>
      <x:c r="S46" s="39"/>
      <x:c r="T46" s="39"/>
      <x:c r="U46" s="39"/>
      <x:c r="V46" s="39"/>
      <x:c r="W46" s="39"/>
      <x:c r="X46" s="37"/>
      <x:c r="Y46" s="37"/>
      <x:c r="Z46" s="37"/>
      <x:c r="AA46" s="37"/>
      <x:c r="AB46" s="37"/>
      <x:c r="AC46" s="37"/>
      <x:c r="AD46" s="37"/>
      <x:c r="AE46" s="26"/>
      <x:c r="AF46" s="26"/>
    </x:row>
    <x:row r="47">
      <x:c r="A47" s="26"/>
      <x:c r="B47" s="26"/>
      <x:c r="C47" s="39"/>
      <x:c r="D47" s="26"/>
      <x:c r="E47" s="39"/>
      <x:c r="F47" s="39"/>
      <x:c r="G47" s="39"/>
      <x:c r="H47" s="39"/>
      <x:c r="I47" s="39"/>
      <x:c r="J47" s="39"/>
      <x:c r="K47" s="39"/>
      <x:c r="L47" s="39"/>
      <x:c r="M47" s="39"/>
      <x:c r="N47" s="39"/>
      <x:c r="O47" s="39"/>
      <x:c r="P47" s="39"/>
      <x:c r="Q47" s="39"/>
      <x:c r="R47" s="39"/>
      <x:c r="S47" s="39"/>
      <x:c r="T47" s="39"/>
      <x:c r="U47" s="39"/>
      <x:c r="V47" s="39"/>
      <x:c r="W47" s="39"/>
      <x:c r="X47" s="37"/>
      <x:c r="Y47" s="37"/>
      <x:c r="Z47" s="37"/>
      <x:c r="AA47" s="37"/>
      <x:c r="AB47" s="37"/>
      <x:c r="AC47" s="37"/>
      <x:c r="AD47" s="37"/>
      <x:c r="AE47" s="26"/>
      <x:c r="AF47" s="26"/>
    </x:row>
    <x:row r="48">
      <x:c r="A48" s="26"/>
      <x:c r="B48" s="26"/>
      <x:c r="C48" s="39"/>
      <x:c r="D48" s="26"/>
      <x:c r="E48" s="39"/>
      <x:c r="F48" s="39"/>
      <x:c r="G48" s="39"/>
      <x:c r="H48" s="39"/>
      <x:c r="I48" s="39"/>
      <x:c r="J48" s="39"/>
      <x:c r="K48" s="39"/>
      <x:c r="L48" s="39"/>
      <x:c r="M48" s="39"/>
      <x:c r="N48" s="39"/>
      <x:c r="O48" s="39"/>
      <x:c r="P48" s="39"/>
      <x:c r="Q48" s="39"/>
      <x:c r="R48" s="39"/>
      <x:c r="S48" s="39"/>
      <x:c r="T48" s="39"/>
      <x:c r="U48" s="39"/>
      <x:c r="V48" s="39"/>
      <x:c r="W48" s="39"/>
      <x:c r="X48" s="37"/>
      <x:c r="Y48" s="37"/>
      <x:c r="Z48" s="37"/>
      <x:c r="AA48" s="37"/>
      <x:c r="AB48" s="37"/>
      <x:c r="AC48" s="37"/>
      <x:c r="AD48" s="37"/>
      <x:c r="AE48" s="26"/>
      <x:c r="AF48" s="26"/>
    </x:row>
    <x:row r="49">
      <x:c r="A49" s="26"/>
      <x:c r="B49" s="26"/>
      <x:c r="C49" s="39"/>
      <x:c r="D49" s="26"/>
      <x:c r="E49" s="39"/>
      <x:c r="F49" s="39"/>
      <x:c r="G49" s="39"/>
      <x:c r="H49" s="39"/>
      <x:c r="I49" s="39"/>
      <x:c r="J49" s="39"/>
      <x:c r="K49" s="39"/>
      <x:c r="L49" s="39"/>
      <x:c r="M49" s="39"/>
      <x:c r="N49" s="39"/>
      <x:c r="O49" s="39"/>
      <x:c r="P49" s="39"/>
      <x:c r="Q49" s="39"/>
      <x:c r="R49" s="39"/>
      <x:c r="S49" s="39"/>
      <x:c r="T49" s="39"/>
      <x:c r="U49" s="39"/>
      <x:c r="V49" s="39"/>
      <x:c r="W49" s="39"/>
      <x:c r="X49" s="37"/>
      <x:c r="Y49" s="37"/>
      <x:c r="Z49" s="37"/>
      <x:c r="AA49" s="37"/>
      <x:c r="AB49" s="37"/>
      <x:c r="AC49" s="37"/>
      <x:c r="AD49" s="37"/>
      <x:c r="AE49" s="26"/>
      <x:c r="AF49" s="26"/>
    </x:row>
    <x:row r="50">
      <x:c r="A50" s="26"/>
      <x:c r="B50" s="26"/>
      <x:c r="C50" s="39"/>
      <x:c r="D50" s="26"/>
      <x:c r="E50" s="39"/>
      <x:c r="F50" s="39"/>
      <x:c r="G50" s="39"/>
      <x:c r="H50" s="39"/>
      <x:c r="I50" s="39"/>
      <x:c r="J50" s="39"/>
      <x:c r="K50" s="39"/>
      <x:c r="L50" s="39"/>
      <x:c r="M50" s="39"/>
      <x:c r="N50" s="39"/>
      <x:c r="O50" s="39"/>
      <x:c r="P50" s="39"/>
      <x:c r="Q50" s="39"/>
      <x:c r="R50" s="39"/>
      <x:c r="S50" s="39"/>
      <x:c r="T50" s="39"/>
      <x:c r="U50" s="39"/>
      <x:c r="V50" s="39"/>
      <x:c r="W50" s="39"/>
      <x:c r="X50" s="37"/>
      <x:c r="Y50" s="37"/>
      <x:c r="Z50" s="37"/>
      <x:c r="AA50" s="37"/>
      <x:c r="AB50" s="37"/>
      <x:c r="AC50" s="37"/>
      <x:c r="AD50" s="37"/>
      <x:c r="AE50" s="26"/>
      <x:c r="AF50" s="26"/>
    </x:row>
    <x:row r="51">
      <x:c r="A51" s="26"/>
      <x:c r="B51" s="26"/>
      <x:c r="C51" s="39"/>
      <x:c r="D51" s="26"/>
      <x:c r="E51" s="39"/>
      <x:c r="F51" s="39"/>
      <x:c r="G51" s="39"/>
      <x:c r="H51" s="39"/>
      <x:c r="I51" s="39"/>
      <x:c r="J51" s="39"/>
      <x:c r="K51" s="39"/>
      <x:c r="L51" s="39"/>
      <x:c r="M51" s="39"/>
      <x:c r="N51" s="39"/>
      <x:c r="O51" s="39"/>
      <x:c r="P51" s="39"/>
      <x:c r="Q51" s="39"/>
      <x:c r="R51" s="39"/>
      <x:c r="S51" s="39"/>
      <x:c r="T51" s="39"/>
      <x:c r="U51" s="39"/>
      <x:c r="V51" s="39"/>
      <x:c r="W51" s="39"/>
      <x:c r="X51" s="37"/>
      <x:c r="Y51" s="37"/>
      <x:c r="Z51" s="37"/>
      <x:c r="AA51" s="37"/>
      <x:c r="AB51" s="37"/>
      <x:c r="AC51" s="37"/>
      <x:c r="AD51" s="37"/>
      <x:c r="AE51" s="26"/>
      <x:c r="AF51" s="26"/>
    </x:row>
    <x:row r="52">
      <x:c r="A52" s="26"/>
      <x:c r="B52" s="26"/>
      <x:c r="C52" s="39"/>
      <x:c r="D52" s="26"/>
      <x:c r="E52" s="39"/>
      <x:c r="F52" s="39"/>
      <x:c r="G52" s="39"/>
      <x:c r="H52" s="39"/>
      <x:c r="I52" s="39"/>
      <x:c r="J52" s="39"/>
      <x:c r="K52" s="39"/>
      <x:c r="L52" s="39"/>
      <x:c r="M52" s="39"/>
      <x:c r="N52" s="39"/>
      <x:c r="O52" s="39"/>
      <x:c r="P52" s="39"/>
      <x:c r="Q52" s="39"/>
      <x:c r="R52" s="39"/>
      <x:c r="S52" s="39"/>
      <x:c r="T52" s="39"/>
      <x:c r="U52" s="39"/>
      <x:c r="V52" s="39"/>
      <x:c r="W52" s="39"/>
      <x:c r="X52" s="37"/>
      <x:c r="Y52" s="37"/>
      <x:c r="Z52" s="37"/>
      <x:c r="AA52" s="37"/>
      <x:c r="AB52" s="37"/>
      <x:c r="AC52" s="37"/>
      <x:c r="AD52" s="37"/>
      <x:c r="AE52" s="26"/>
      <x:c r="AF52" s="26"/>
    </x:row>
    <x:row r="53">
      <x:c r="A53" s="26"/>
      <x:c r="B53" s="26"/>
      <x:c r="C53" s="39"/>
      <x:c r="D53" s="26"/>
      <x:c r="E53" s="39"/>
      <x:c r="F53" s="39"/>
      <x:c r="G53" s="39"/>
      <x:c r="H53" s="39"/>
      <x:c r="I53" s="39"/>
      <x:c r="J53" s="39"/>
      <x:c r="K53" s="39"/>
      <x:c r="L53" s="39"/>
      <x:c r="M53" s="39"/>
      <x:c r="N53" s="39"/>
      <x:c r="O53" s="39"/>
      <x:c r="P53" s="39"/>
      <x:c r="Q53" s="39"/>
      <x:c r="R53" s="39"/>
      <x:c r="S53" s="39"/>
      <x:c r="T53" s="39"/>
      <x:c r="U53" s="39"/>
      <x:c r="V53" s="39"/>
      <x:c r="W53" s="39"/>
      <x:c r="X53" s="37"/>
      <x:c r="Y53" s="37"/>
      <x:c r="Z53" s="37"/>
      <x:c r="AA53" s="37"/>
      <x:c r="AB53" s="37"/>
      <x:c r="AC53" s="37"/>
      <x:c r="AD53" s="37"/>
      <x:c r="AE53" s="26"/>
      <x:c r="AF53" s="26"/>
    </x:row>
    <x:row r="54">
      <x:c r="A54" s="26"/>
      <x:c r="B54" s="26"/>
      <x:c r="C54" s="39"/>
      <x:c r="D54" s="26"/>
      <x:c r="E54" s="39"/>
      <x:c r="F54" s="39"/>
      <x:c r="G54" s="39"/>
      <x:c r="H54" s="39"/>
      <x:c r="I54" s="39"/>
      <x:c r="J54" s="39"/>
      <x:c r="K54" s="39"/>
      <x:c r="L54" s="39"/>
      <x:c r="M54" s="39"/>
      <x:c r="N54" s="39"/>
      <x:c r="O54" s="39"/>
      <x:c r="P54" s="39"/>
      <x:c r="Q54" s="39"/>
      <x:c r="R54" s="39"/>
      <x:c r="S54" s="39"/>
      <x:c r="T54" s="39"/>
      <x:c r="U54" s="39"/>
      <x:c r="V54" s="39"/>
      <x:c r="W54" s="39"/>
      <x:c r="X54" s="37"/>
      <x:c r="Y54" s="37"/>
      <x:c r="Z54" s="37"/>
      <x:c r="AA54" s="37"/>
      <x:c r="AB54" s="37"/>
      <x:c r="AC54" s="37"/>
      <x:c r="AD54" s="37"/>
      <x:c r="AE54" s="26"/>
      <x:c r="AF54" s="26"/>
    </x:row>
    <x:row r="55">
      <x:c r="A55" s="26"/>
      <x:c r="B55" s="26"/>
      <x:c r="C55" s="39"/>
      <x:c r="D55" s="26"/>
      <x:c r="E55" s="39"/>
      <x:c r="F55" s="39"/>
      <x:c r="G55" s="39"/>
      <x:c r="H55" s="39"/>
      <x:c r="I55" s="39"/>
      <x:c r="J55" s="39"/>
      <x:c r="K55" s="39"/>
      <x:c r="L55" s="39"/>
      <x:c r="M55" s="39"/>
      <x:c r="N55" s="39"/>
      <x:c r="O55" s="39"/>
      <x:c r="P55" s="39"/>
      <x:c r="Q55" s="39"/>
      <x:c r="R55" s="39"/>
      <x:c r="S55" s="39"/>
      <x:c r="T55" s="39"/>
      <x:c r="U55" s="39"/>
      <x:c r="V55" s="39"/>
      <x:c r="W55" s="39"/>
      <x:c r="X55" s="37"/>
      <x:c r="Y55" s="37"/>
      <x:c r="Z55" s="37"/>
      <x:c r="AA55" s="37"/>
      <x:c r="AB55" s="37"/>
      <x:c r="AC55" s="37"/>
      <x:c r="AD55" s="37"/>
      <x:c r="AE55" s="26"/>
      <x:c r="AF55" s="26"/>
    </x:row>
    <x:row r="56">
      <x:c r="A56" s="26"/>
      <x:c r="B56" s="26"/>
      <x:c r="C56" s="39"/>
      <x:c r="D56" s="26"/>
      <x:c r="E56" s="39"/>
      <x:c r="F56" s="39"/>
      <x:c r="G56" s="39"/>
      <x:c r="H56" s="39"/>
      <x:c r="I56" s="39"/>
      <x:c r="J56" s="39"/>
      <x:c r="K56" s="39"/>
      <x:c r="L56" s="39"/>
      <x:c r="M56" s="39"/>
      <x:c r="N56" s="39"/>
      <x:c r="O56" s="39"/>
      <x:c r="P56" s="39"/>
      <x:c r="Q56" s="39"/>
      <x:c r="R56" s="39"/>
      <x:c r="S56" s="39"/>
      <x:c r="T56" s="39"/>
      <x:c r="U56" s="39"/>
      <x:c r="V56" s="39"/>
      <x:c r="W56" s="39"/>
      <x:c r="X56" s="37"/>
      <x:c r="Y56" s="37"/>
      <x:c r="Z56" s="37"/>
      <x:c r="AA56" s="37"/>
      <x:c r="AB56" s="37"/>
      <x:c r="AC56" s="37"/>
      <x:c r="AD56" s="37"/>
      <x:c r="AE56" s="26"/>
      <x:c r="AF56" s="26"/>
    </x:row>
    <x:row r="57">
      <x:c r="A57" s="26"/>
      <x:c r="B57" s="26"/>
      <x:c r="C57" s="39"/>
      <x:c r="D57" s="26"/>
      <x:c r="E57" s="39"/>
      <x:c r="F57" s="39"/>
      <x:c r="G57" s="39"/>
      <x:c r="H57" s="39"/>
      <x:c r="I57" s="39"/>
      <x:c r="J57" s="39"/>
      <x:c r="K57" s="39"/>
      <x:c r="L57" s="39"/>
      <x:c r="M57" s="39"/>
      <x:c r="N57" s="39"/>
      <x:c r="O57" s="39"/>
      <x:c r="P57" s="39"/>
      <x:c r="Q57" s="39"/>
      <x:c r="R57" s="39"/>
      <x:c r="S57" s="39"/>
      <x:c r="T57" s="39"/>
      <x:c r="U57" s="39"/>
      <x:c r="V57" s="39"/>
      <x:c r="W57" s="39"/>
      <x:c r="X57" s="37"/>
      <x:c r="Y57" s="37"/>
      <x:c r="Z57" s="37"/>
      <x:c r="AA57" s="37"/>
      <x:c r="AB57" s="37"/>
      <x:c r="AC57" s="37"/>
      <x:c r="AD57" s="37"/>
      <x:c r="AE57" s="26"/>
      <x:c r="AF57" s="26"/>
    </x:row>
    <x:row r="58">
      <x:c r="A58" s="26"/>
      <x:c r="B58" s="26"/>
      <x:c r="C58" s="39"/>
      <x:c r="D58" s="26"/>
      <x:c r="E58" s="39"/>
      <x:c r="F58" s="39"/>
      <x:c r="G58" s="39"/>
      <x:c r="H58" s="39"/>
      <x:c r="I58" s="39"/>
      <x:c r="J58" s="39"/>
      <x:c r="K58" s="39"/>
      <x:c r="L58" s="39"/>
      <x:c r="M58" s="39"/>
      <x:c r="N58" s="39"/>
      <x:c r="O58" s="39"/>
      <x:c r="P58" s="39"/>
      <x:c r="Q58" s="39"/>
      <x:c r="R58" s="39"/>
      <x:c r="S58" s="39"/>
      <x:c r="T58" s="39"/>
      <x:c r="U58" s="39"/>
      <x:c r="V58" s="39"/>
      <x:c r="W58" s="39"/>
      <x:c r="X58" s="37"/>
      <x:c r="Y58" s="37"/>
      <x:c r="Z58" s="37"/>
      <x:c r="AA58" s="37"/>
      <x:c r="AB58" s="37"/>
      <x:c r="AC58" s="37"/>
      <x:c r="AD58" s="37"/>
      <x:c r="AE58" s="26"/>
      <x:c r="AF58" s="26"/>
    </x:row>
    <x:row r="59">
      <x:c r="A59" s="26"/>
      <x:c r="B59" s="26"/>
      <x:c r="C59" s="39"/>
      <x:c r="D59" s="26"/>
      <x:c r="E59" s="39"/>
      <x:c r="F59" s="39"/>
      <x:c r="G59" s="39"/>
      <x:c r="H59" s="39"/>
      <x:c r="I59" s="39"/>
      <x:c r="J59" s="39"/>
      <x:c r="K59" s="39"/>
      <x:c r="L59" s="39"/>
      <x:c r="M59" s="39"/>
      <x:c r="N59" s="39"/>
      <x:c r="O59" s="39"/>
      <x:c r="P59" s="39"/>
      <x:c r="Q59" s="39"/>
      <x:c r="R59" s="39"/>
      <x:c r="S59" s="39"/>
      <x:c r="T59" s="39"/>
      <x:c r="U59" s="39"/>
      <x:c r="V59" s="39"/>
      <x:c r="W59" s="39"/>
      <x:c r="X59" s="37"/>
      <x:c r="Y59" s="37"/>
      <x:c r="Z59" s="37"/>
      <x:c r="AA59" s="37"/>
      <x:c r="AB59" s="37"/>
      <x:c r="AC59" s="37"/>
      <x:c r="AD59" s="37"/>
      <x:c r="AE59" s="26"/>
      <x:c r="AF59" s="26"/>
    </x:row>
    <x:row r="60">
      <x:c r="A60" s="26"/>
      <x:c r="B60" s="26"/>
      <x:c r="C60" s="39"/>
      <x:c r="D60" s="26"/>
      <x:c r="E60" s="39"/>
      <x:c r="F60" s="39"/>
      <x:c r="G60" s="39"/>
      <x:c r="H60" s="39"/>
      <x:c r="I60" s="39"/>
      <x:c r="J60" s="39"/>
      <x:c r="K60" s="39"/>
      <x:c r="L60" s="39"/>
      <x:c r="M60" s="39"/>
      <x:c r="N60" s="39"/>
      <x:c r="O60" s="39"/>
      <x:c r="P60" s="39"/>
      <x:c r="Q60" s="39"/>
      <x:c r="R60" s="39"/>
      <x:c r="S60" s="39"/>
      <x:c r="T60" s="39"/>
      <x:c r="U60" s="39"/>
      <x:c r="V60" s="39"/>
      <x:c r="W60" s="39"/>
      <x:c r="X60" s="37"/>
      <x:c r="Y60" s="37"/>
      <x:c r="Z60" s="37"/>
      <x:c r="AA60" s="37"/>
      <x:c r="AB60" s="37"/>
      <x:c r="AC60" s="37"/>
      <x:c r="AD60" s="37"/>
      <x:c r="AE60" s="26"/>
      <x:c r="AF60" s="26"/>
    </x:row>
    <x:row r="61">
      <x:c r="A61" s="26"/>
      <x:c r="B61" s="26"/>
      <x:c r="C61" s="39"/>
      <x:c r="D61" s="26"/>
      <x:c r="E61" s="39"/>
      <x:c r="F61" s="39"/>
      <x:c r="G61" s="39"/>
      <x:c r="H61" s="39"/>
      <x:c r="I61" s="39"/>
      <x:c r="J61" s="39"/>
      <x:c r="K61" s="39"/>
      <x:c r="L61" s="39"/>
      <x:c r="M61" s="39"/>
      <x:c r="N61" s="39"/>
      <x:c r="O61" s="39"/>
      <x:c r="P61" s="39"/>
      <x:c r="Q61" s="39"/>
      <x:c r="R61" s="39"/>
      <x:c r="S61" s="39"/>
      <x:c r="T61" s="39"/>
      <x:c r="U61" s="39"/>
      <x:c r="V61" s="39"/>
      <x:c r="W61" s="39"/>
      <x:c r="X61" s="37"/>
      <x:c r="Y61" s="37"/>
      <x:c r="Z61" s="37"/>
      <x:c r="AA61" s="37"/>
      <x:c r="AB61" s="37"/>
      <x:c r="AC61" s="37"/>
      <x:c r="AD61" s="37"/>
      <x:c r="AE61" s="26"/>
      <x:c r="AF61" s="26"/>
    </x:row>
    <x:row r="62">
      <x:c r="A62" s="26"/>
      <x:c r="B62" s="26"/>
      <x:c r="C62" s="39"/>
      <x:c r="D62" s="26"/>
      <x:c r="E62" s="39"/>
      <x:c r="F62" s="39"/>
      <x:c r="G62" s="39"/>
      <x:c r="H62" s="39"/>
      <x:c r="I62" s="39"/>
      <x:c r="J62" s="39"/>
      <x:c r="K62" s="39"/>
      <x:c r="L62" s="39"/>
      <x:c r="M62" s="39"/>
      <x:c r="N62" s="39"/>
      <x:c r="O62" s="39"/>
      <x:c r="P62" s="39"/>
      <x:c r="Q62" s="39"/>
      <x:c r="R62" s="39"/>
      <x:c r="S62" s="39"/>
      <x:c r="T62" s="39"/>
      <x:c r="U62" s="39"/>
      <x:c r="V62" s="39"/>
      <x:c r="W62" s="39"/>
      <x:c r="X62" s="37"/>
      <x:c r="Y62" s="37"/>
      <x:c r="Z62" s="37"/>
      <x:c r="AA62" s="37"/>
      <x:c r="AB62" s="37"/>
      <x:c r="AC62" s="37"/>
      <x:c r="AD62" s="37"/>
      <x:c r="AE62" s="26"/>
      <x:c r="AF62" s="26"/>
    </x:row>
    <x:row r="63">
      <x:c r="A63" s="26"/>
      <x:c r="B63" s="26"/>
      <x:c r="C63" s="39"/>
      <x:c r="D63" s="26"/>
      <x:c r="E63" s="39"/>
      <x:c r="F63" s="39"/>
      <x:c r="G63" s="39"/>
      <x:c r="H63" s="39"/>
      <x:c r="I63" s="39"/>
      <x:c r="J63" s="39"/>
      <x:c r="K63" s="39"/>
      <x:c r="L63" s="39"/>
      <x:c r="M63" s="39"/>
      <x:c r="N63" s="39"/>
      <x:c r="O63" s="39"/>
      <x:c r="P63" s="39"/>
      <x:c r="Q63" s="39"/>
      <x:c r="R63" s="39"/>
      <x:c r="S63" s="39"/>
      <x:c r="T63" s="39"/>
      <x:c r="U63" s="39"/>
      <x:c r="V63" s="39"/>
      <x:c r="W63" s="39"/>
      <x:c r="X63" s="37"/>
      <x:c r="Y63" s="37"/>
      <x:c r="Z63" s="37"/>
      <x:c r="AA63" s="37"/>
      <x:c r="AB63" s="37"/>
      <x:c r="AC63" s="37"/>
      <x:c r="AD63" s="37"/>
      <x:c r="AE63" s="26"/>
      <x:c r="AF63" s="26"/>
    </x:row>
    <x:row r="64">
      <x:c r="A64" s="26"/>
      <x:c r="B64" s="26"/>
      <x:c r="C64" s="39"/>
      <x:c r="D64" s="26"/>
      <x:c r="E64" s="39"/>
      <x:c r="F64" s="39"/>
      <x:c r="G64" s="39"/>
      <x:c r="H64" s="39"/>
      <x:c r="I64" s="39"/>
      <x:c r="J64" s="39"/>
      <x:c r="K64" s="39"/>
      <x:c r="L64" s="39"/>
      <x:c r="M64" s="39"/>
      <x:c r="N64" s="39"/>
      <x:c r="O64" s="39"/>
      <x:c r="P64" s="39"/>
      <x:c r="Q64" s="39"/>
      <x:c r="R64" s="39"/>
      <x:c r="S64" s="39"/>
      <x:c r="T64" s="39"/>
      <x:c r="U64" s="39"/>
      <x:c r="V64" s="39"/>
      <x:c r="W64" s="39"/>
      <x:c r="X64" s="37"/>
      <x:c r="Y64" s="37"/>
      <x:c r="Z64" s="37"/>
      <x:c r="AA64" s="37"/>
      <x:c r="AB64" s="37"/>
      <x:c r="AC64" s="37"/>
      <x:c r="AD64" s="37"/>
      <x:c r="AE64" s="26"/>
      <x:c r="AF64" s="26"/>
    </x:row>
    <x:row r="65">
      <x:c r="A65" s="26"/>
      <x:c r="B65" s="26"/>
      <x:c r="C65" s="39"/>
      <x:c r="D65" s="26"/>
      <x:c r="E65" s="39"/>
      <x:c r="F65" s="39"/>
      <x:c r="G65" s="39"/>
      <x:c r="H65" s="39"/>
      <x:c r="I65" s="39"/>
      <x:c r="J65" s="39"/>
      <x:c r="K65" s="39"/>
      <x:c r="L65" s="39"/>
      <x:c r="M65" s="39"/>
      <x:c r="N65" s="39"/>
      <x:c r="O65" s="39"/>
      <x:c r="P65" s="39"/>
      <x:c r="Q65" s="39"/>
      <x:c r="R65" s="39"/>
      <x:c r="S65" s="39"/>
      <x:c r="T65" s="39"/>
      <x:c r="U65" s="39"/>
      <x:c r="V65" s="39"/>
      <x:c r="W65" s="39"/>
      <x:c r="X65" s="37"/>
      <x:c r="Y65" s="37"/>
      <x:c r="Z65" s="37"/>
      <x:c r="AA65" s="37"/>
      <x:c r="AB65" s="37"/>
      <x:c r="AC65" s="37"/>
      <x:c r="AD65" s="37"/>
      <x:c r="AE65" s="26"/>
      <x:c r="AF65" s="26"/>
    </x:row>
    <x:row r="66">
      <x:c r="A66" s="26"/>
      <x:c r="B66" s="26"/>
      <x:c r="C66" s="39"/>
      <x:c r="D66" s="26"/>
      <x:c r="E66" s="39"/>
      <x:c r="F66" s="39"/>
      <x:c r="G66" s="39"/>
      <x:c r="H66" s="39"/>
      <x:c r="I66" s="39"/>
      <x:c r="J66" s="39"/>
      <x:c r="K66" s="39"/>
      <x:c r="L66" s="39"/>
      <x:c r="M66" s="39"/>
      <x:c r="N66" s="39"/>
      <x:c r="O66" s="39"/>
      <x:c r="P66" s="39"/>
      <x:c r="Q66" s="39"/>
      <x:c r="R66" s="39"/>
      <x:c r="S66" s="39"/>
      <x:c r="T66" s="39"/>
      <x:c r="U66" s="39"/>
      <x:c r="V66" s="39"/>
      <x:c r="W66" s="39"/>
      <x:c r="X66" s="37"/>
      <x:c r="Y66" s="37"/>
      <x:c r="Z66" s="37"/>
      <x:c r="AA66" s="37"/>
      <x:c r="AB66" s="37"/>
      <x:c r="AC66" s="37"/>
      <x:c r="AD66" s="37"/>
      <x:c r="AE66" s="26"/>
      <x:c r="AF66" s="26"/>
    </x:row>
    <x:row r="67">
      <x:c r="A67" s="26"/>
      <x:c r="B67" s="26"/>
      <x:c r="C67" s="39"/>
      <x:c r="D67" s="26"/>
      <x:c r="E67" s="39"/>
      <x:c r="F67" s="39"/>
      <x:c r="G67" s="39"/>
      <x:c r="H67" s="39"/>
      <x:c r="I67" s="39"/>
      <x:c r="J67" s="39"/>
      <x:c r="K67" s="39"/>
      <x:c r="L67" s="39"/>
      <x:c r="M67" s="39"/>
      <x:c r="N67" s="39"/>
      <x:c r="O67" s="39"/>
      <x:c r="P67" s="39"/>
      <x:c r="Q67" s="39"/>
      <x:c r="R67" s="39"/>
      <x:c r="S67" s="39"/>
      <x:c r="T67" s="39"/>
      <x:c r="U67" s="39"/>
      <x:c r="V67" s="39"/>
      <x:c r="W67" s="39"/>
      <x:c r="X67" s="37"/>
      <x:c r="Y67" s="37"/>
      <x:c r="Z67" s="37"/>
      <x:c r="AA67" s="37"/>
      <x:c r="AB67" s="37"/>
      <x:c r="AC67" s="37"/>
      <x:c r="AD67" s="37"/>
      <x:c r="AE67" s="26"/>
      <x:c r="AF67" s="26"/>
    </x:row>
    <x:row r="68">
      <x:c r="A68" s="26"/>
      <x:c r="B68" s="26"/>
      <x:c r="C68" s="39"/>
      <x:c r="D68" s="26"/>
      <x:c r="E68" s="39"/>
      <x:c r="F68" s="39"/>
      <x:c r="G68" s="39"/>
      <x:c r="H68" s="39"/>
      <x:c r="I68" s="39"/>
      <x:c r="J68" s="39"/>
      <x:c r="K68" s="39"/>
      <x:c r="L68" s="39"/>
      <x:c r="M68" s="39"/>
      <x:c r="N68" s="39"/>
      <x:c r="O68" s="39"/>
      <x:c r="P68" s="39"/>
      <x:c r="Q68" s="39"/>
      <x:c r="R68" s="39"/>
      <x:c r="S68" s="39"/>
      <x:c r="T68" s="39"/>
      <x:c r="U68" s="39"/>
      <x:c r="V68" s="39"/>
      <x:c r="W68" s="39"/>
      <x:c r="X68" s="37"/>
      <x:c r="Y68" s="37"/>
      <x:c r="Z68" s="37"/>
      <x:c r="AA68" s="37"/>
      <x:c r="AB68" s="37"/>
      <x:c r="AC68" s="37"/>
      <x:c r="AD68" s="37"/>
      <x:c r="AE68" s="26"/>
      <x:c r="AF68" s="26"/>
    </x:row>
    <x:row r="69">
      <x:c r="A69" s="26"/>
      <x:c r="B69" s="26"/>
      <x:c r="C69" s="39"/>
      <x:c r="D69" s="26"/>
      <x:c r="E69" s="39"/>
      <x:c r="F69" s="39"/>
      <x:c r="G69" s="39"/>
      <x:c r="H69" s="39"/>
      <x:c r="I69" s="39"/>
      <x:c r="J69" s="39"/>
      <x:c r="K69" s="39"/>
      <x:c r="L69" s="39"/>
      <x:c r="M69" s="39"/>
      <x:c r="N69" s="39"/>
      <x:c r="O69" s="39"/>
      <x:c r="P69" s="39"/>
      <x:c r="Q69" s="39"/>
      <x:c r="R69" s="39"/>
      <x:c r="S69" s="39"/>
      <x:c r="T69" s="39"/>
      <x:c r="U69" s="39"/>
      <x:c r="V69" s="39"/>
      <x:c r="W69" s="39"/>
      <x:c r="X69" s="37"/>
      <x:c r="Y69" s="37"/>
      <x:c r="Z69" s="37"/>
      <x:c r="AA69" s="37"/>
      <x:c r="AB69" s="37"/>
      <x:c r="AC69" s="37"/>
      <x:c r="AD69" s="37"/>
      <x:c r="AE69" s="26"/>
      <x:c r="AF69" s="26"/>
    </x:row>
    <x:row r="70">
      <x:c r="A70" s="26"/>
      <x:c r="B70" s="26"/>
      <x:c r="C70" s="39"/>
      <x:c r="D70" s="26"/>
      <x:c r="E70" s="39"/>
      <x:c r="F70" s="39"/>
      <x:c r="G70" s="39"/>
      <x:c r="H70" s="39"/>
      <x:c r="I70" s="39"/>
      <x:c r="J70" s="39"/>
      <x:c r="K70" s="39"/>
      <x:c r="L70" s="39"/>
      <x:c r="M70" s="39"/>
      <x:c r="N70" s="39"/>
      <x:c r="O70" s="39"/>
      <x:c r="P70" s="39"/>
      <x:c r="Q70" s="39"/>
      <x:c r="R70" s="39"/>
      <x:c r="S70" s="39"/>
      <x:c r="T70" s="39"/>
      <x:c r="U70" s="39"/>
      <x:c r="V70" s="39"/>
      <x:c r="W70" s="39"/>
      <x:c r="X70" s="37"/>
      <x:c r="Y70" s="37"/>
      <x:c r="Z70" s="37"/>
      <x:c r="AA70" s="37"/>
      <x:c r="AB70" s="37"/>
      <x:c r="AC70" s="37"/>
      <x:c r="AD70" s="37"/>
      <x:c r="AE70" s="26"/>
      <x:c r="AF70" s="26"/>
    </x:row>
    <x:row r="71">
      <x:c r="A71" s="26"/>
      <x:c r="B71" s="26"/>
      <x:c r="C71" s="39"/>
      <x:c r="D71" s="26"/>
      <x:c r="E71" s="39"/>
      <x:c r="F71" s="39"/>
      <x:c r="G71" s="39"/>
      <x:c r="H71" s="39"/>
      <x:c r="I71" s="39"/>
      <x:c r="J71" s="39"/>
      <x:c r="K71" s="39"/>
      <x:c r="L71" s="39"/>
      <x:c r="M71" s="39"/>
      <x:c r="N71" s="39"/>
      <x:c r="O71" s="39"/>
      <x:c r="P71" s="39"/>
      <x:c r="Q71" s="39"/>
      <x:c r="R71" s="39"/>
      <x:c r="S71" s="39"/>
      <x:c r="T71" s="39"/>
      <x:c r="U71" s="39"/>
      <x:c r="V71" s="39"/>
      <x:c r="W71" s="39"/>
      <x:c r="X71" s="37"/>
      <x:c r="Y71" s="37"/>
      <x:c r="Z71" s="37"/>
      <x:c r="AA71" s="37"/>
      <x:c r="AB71" s="37"/>
      <x:c r="AC71" s="37"/>
      <x:c r="AD71" s="37"/>
      <x:c r="AE71" s="26"/>
      <x:c r="AF71" s="26"/>
    </x:row>
    <x:row r="72">
      <x:c r="A72" s="26"/>
      <x:c r="B72" s="26"/>
      <x:c r="C72" s="39"/>
      <x:c r="D72" s="26"/>
      <x:c r="E72" s="39"/>
      <x:c r="F72" s="39"/>
      <x:c r="G72" s="39"/>
      <x:c r="H72" s="39"/>
      <x:c r="I72" s="39"/>
      <x:c r="J72" s="39"/>
      <x:c r="K72" s="39"/>
      <x:c r="L72" s="39"/>
      <x:c r="M72" s="39"/>
      <x:c r="N72" s="39"/>
      <x:c r="O72" s="39"/>
      <x:c r="P72" s="39"/>
      <x:c r="Q72" s="39"/>
      <x:c r="R72" s="39"/>
      <x:c r="S72" s="39"/>
      <x:c r="T72" s="39"/>
      <x:c r="U72" s="39"/>
      <x:c r="V72" s="39"/>
      <x:c r="W72" s="39"/>
      <x:c r="X72" s="37"/>
      <x:c r="Y72" s="37"/>
      <x:c r="Z72" s="37"/>
      <x:c r="AA72" s="37"/>
      <x:c r="AB72" s="37"/>
      <x:c r="AC72" s="37"/>
      <x:c r="AD72" s="37"/>
      <x:c r="AE72" s="26"/>
      <x:c r="AF72" s="26"/>
    </x:row>
    <x:row r="73">
      <x:c r="A73" s="26"/>
      <x:c r="B73" s="26"/>
      <x:c r="C73" s="39"/>
      <x:c r="D73" s="26"/>
      <x:c r="E73" s="39"/>
      <x:c r="F73" s="39"/>
      <x:c r="G73" s="39"/>
      <x:c r="H73" s="39"/>
      <x:c r="I73" s="39"/>
      <x:c r="J73" s="39"/>
      <x:c r="K73" s="39"/>
      <x:c r="L73" s="39"/>
      <x:c r="M73" s="39"/>
      <x:c r="N73" s="39"/>
      <x:c r="O73" s="39"/>
      <x:c r="P73" s="39"/>
      <x:c r="Q73" s="39"/>
      <x:c r="R73" s="39"/>
      <x:c r="S73" s="39"/>
      <x:c r="T73" s="39"/>
      <x:c r="U73" s="39"/>
      <x:c r="V73" s="39"/>
      <x:c r="W73" s="39"/>
      <x:c r="X73" s="37"/>
      <x:c r="Y73" s="37"/>
      <x:c r="Z73" s="37"/>
      <x:c r="AA73" s="37"/>
      <x:c r="AB73" s="37"/>
      <x:c r="AC73" s="37"/>
      <x:c r="AD73" s="37"/>
      <x:c r="AE73" s="26"/>
      <x:c r="AF73" s="26"/>
    </x:row>
    <x:row r="74">
      <x:c r="A74" s="26"/>
      <x:c r="B74" s="26"/>
      <x:c r="C74" s="39"/>
      <x:c r="D74" s="26"/>
      <x:c r="E74" s="39"/>
      <x:c r="F74" s="39"/>
      <x:c r="G74" s="39"/>
      <x:c r="H74" s="39"/>
      <x:c r="I74" s="39"/>
      <x:c r="J74" s="39"/>
      <x:c r="K74" s="39"/>
      <x:c r="L74" s="39"/>
      <x:c r="M74" s="39"/>
      <x:c r="N74" s="39"/>
      <x:c r="O74" s="39"/>
      <x:c r="P74" s="39"/>
      <x:c r="Q74" s="39"/>
      <x:c r="R74" s="39"/>
      <x:c r="S74" s="39"/>
      <x:c r="T74" s="39"/>
      <x:c r="U74" s="39"/>
      <x:c r="V74" s="39"/>
      <x:c r="W74" s="39"/>
      <x:c r="X74" s="37"/>
      <x:c r="Y74" s="37"/>
      <x:c r="Z74" s="37"/>
      <x:c r="AA74" s="37"/>
      <x:c r="AB74" s="37"/>
      <x:c r="AC74" s="37"/>
      <x:c r="AD74" s="37"/>
      <x:c r="AE74" s="26"/>
      <x:c r="AF74" s="26"/>
    </x:row>
    <x:row r="75">
      <x:c r="A75" s="26"/>
      <x:c r="B75" s="26"/>
      <x:c r="C75" s="39"/>
      <x:c r="D75" s="26"/>
      <x:c r="E75" s="39"/>
      <x:c r="F75" s="39"/>
      <x:c r="G75" s="39"/>
      <x:c r="H75" s="39"/>
      <x:c r="I75" s="39"/>
      <x:c r="J75" s="39"/>
      <x:c r="K75" s="39"/>
      <x:c r="L75" s="39"/>
      <x:c r="M75" s="39"/>
      <x:c r="N75" s="39"/>
      <x:c r="O75" s="39"/>
      <x:c r="P75" s="39"/>
      <x:c r="Q75" s="39"/>
      <x:c r="R75" s="39"/>
      <x:c r="S75" s="39"/>
      <x:c r="T75" s="39"/>
      <x:c r="U75" s="39"/>
      <x:c r="V75" s="39"/>
      <x:c r="W75" s="39"/>
      <x:c r="X75" s="37"/>
      <x:c r="Y75" s="37"/>
      <x:c r="Z75" s="37"/>
      <x:c r="AA75" s="37"/>
      <x:c r="AB75" s="37"/>
      <x:c r="AC75" s="37"/>
      <x:c r="AD75" s="37"/>
      <x:c r="AE75" s="26"/>
      <x:c r="AF75" s="26"/>
    </x:row>
    <x:row r="76">
      <x:c r="A76" s="26"/>
      <x:c r="B76" s="26"/>
      <x:c r="C76" s="39"/>
      <x:c r="D76" s="26"/>
      <x:c r="E76" s="39"/>
      <x:c r="F76" s="39"/>
      <x:c r="G76" s="39"/>
      <x:c r="H76" s="39"/>
      <x:c r="I76" s="39"/>
      <x:c r="J76" s="39"/>
      <x:c r="K76" s="39"/>
      <x:c r="L76" s="39"/>
      <x:c r="M76" s="39"/>
      <x:c r="N76" s="39"/>
      <x:c r="O76" s="39"/>
      <x:c r="P76" s="39"/>
      <x:c r="Q76" s="39"/>
      <x:c r="R76" s="39"/>
      <x:c r="S76" s="39"/>
      <x:c r="T76" s="39"/>
      <x:c r="U76" s="39"/>
      <x:c r="V76" s="39"/>
      <x:c r="W76" s="39"/>
      <x:c r="X76" s="37"/>
      <x:c r="Y76" s="37"/>
      <x:c r="Z76" s="37"/>
      <x:c r="AA76" s="37"/>
      <x:c r="AB76" s="37"/>
      <x:c r="AC76" s="37"/>
      <x:c r="AD76" s="37"/>
      <x:c r="AE76" s="26"/>
      <x:c r="AF76" s="26"/>
    </x:row>
    <x:row r="77">
      <x:c r="A77" s="26"/>
      <x:c r="B77" s="26"/>
      <x:c r="C77" s="39"/>
      <x:c r="D77" s="26"/>
      <x:c r="E77" s="39"/>
      <x:c r="F77" s="39"/>
      <x:c r="G77" s="39"/>
      <x:c r="H77" s="39"/>
      <x:c r="I77" s="39"/>
      <x:c r="J77" s="39"/>
      <x:c r="K77" s="39"/>
      <x:c r="L77" s="39"/>
      <x:c r="M77" s="39"/>
      <x:c r="N77" s="39"/>
      <x:c r="O77" s="39"/>
      <x:c r="P77" s="39"/>
      <x:c r="Q77" s="39"/>
      <x:c r="R77" s="39"/>
      <x:c r="S77" s="39"/>
      <x:c r="T77" s="39"/>
      <x:c r="U77" s="39"/>
      <x:c r="V77" s="39"/>
      <x:c r="W77" s="39"/>
      <x:c r="X77" s="37"/>
      <x:c r="Y77" s="37"/>
      <x:c r="Z77" s="37"/>
      <x:c r="AA77" s="37"/>
      <x:c r="AB77" s="37"/>
      <x:c r="AC77" s="37"/>
      <x:c r="AD77" s="37"/>
      <x:c r="AE77" s="26"/>
      <x:c r="AF77" s="26"/>
    </x:row>
    <x:row r="78">
      <x:c r="A78" s="26"/>
      <x:c r="B78" s="26"/>
      <x:c r="C78" s="39"/>
      <x:c r="D78" s="26"/>
      <x:c r="E78" s="39"/>
      <x:c r="F78" s="39"/>
      <x:c r="G78" s="39"/>
      <x:c r="H78" s="39"/>
      <x:c r="I78" s="39"/>
      <x:c r="J78" s="39"/>
      <x:c r="K78" s="39"/>
      <x:c r="L78" s="39"/>
      <x:c r="M78" s="39"/>
      <x:c r="N78" s="39"/>
      <x:c r="O78" s="39"/>
      <x:c r="P78" s="39"/>
      <x:c r="Q78" s="39"/>
      <x:c r="R78" s="39"/>
      <x:c r="S78" s="39"/>
      <x:c r="T78" s="39"/>
      <x:c r="U78" s="39"/>
      <x:c r="V78" s="39"/>
      <x:c r="W78" s="39"/>
      <x:c r="X78" s="37"/>
      <x:c r="Y78" s="37"/>
      <x:c r="Z78" s="37"/>
      <x:c r="AA78" s="37"/>
      <x:c r="AB78" s="37"/>
      <x:c r="AC78" s="37"/>
      <x:c r="AD78" s="37"/>
      <x:c r="AE78" s="26"/>
      <x:c r="AF78" s="26"/>
    </x:row>
    <x:row r="79">
      <x:c r="A79" s="26"/>
      <x:c r="B79" s="26"/>
      <x:c r="C79" s="39"/>
      <x:c r="D79" s="26"/>
      <x:c r="E79" s="39"/>
      <x:c r="F79" s="39"/>
      <x:c r="G79" s="39"/>
      <x:c r="H79" s="39"/>
      <x:c r="I79" s="39"/>
      <x:c r="J79" s="39"/>
      <x:c r="K79" s="39"/>
      <x:c r="L79" s="39"/>
      <x:c r="M79" s="39"/>
      <x:c r="N79" s="39"/>
      <x:c r="O79" s="39"/>
      <x:c r="P79" s="39"/>
      <x:c r="Q79" s="39"/>
      <x:c r="R79" s="39"/>
      <x:c r="S79" s="39"/>
      <x:c r="T79" s="39"/>
      <x:c r="U79" s="39"/>
      <x:c r="V79" s="39"/>
      <x:c r="W79" s="39"/>
      <x:c r="X79" s="37"/>
      <x:c r="Y79" s="37"/>
      <x:c r="Z79" s="37"/>
      <x:c r="AA79" s="37"/>
      <x:c r="AB79" s="37"/>
      <x:c r="AC79" s="37"/>
      <x:c r="AD79" s="37"/>
      <x:c r="AE79" s="26"/>
      <x:c r="AF79" s="26"/>
    </x:row>
    <x:row r="80">
      <x:c r="A80" s="26"/>
      <x:c r="B80" s="26"/>
      <x:c r="C80" s="39"/>
      <x:c r="D80" s="26"/>
      <x:c r="E80" s="39"/>
      <x:c r="F80" s="39"/>
      <x:c r="G80" s="39"/>
      <x:c r="H80" s="39"/>
      <x:c r="I80" s="39"/>
      <x:c r="J80" s="39"/>
      <x:c r="K80" s="39"/>
      <x:c r="L80" s="39"/>
      <x:c r="M80" s="39"/>
      <x:c r="N80" s="39"/>
      <x:c r="O80" s="39"/>
      <x:c r="P80" s="39"/>
      <x:c r="Q80" s="39"/>
      <x:c r="R80" s="39"/>
      <x:c r="S80" s="39"/>
      <x:c r="T80" s="39"/>
      <x:c r="U80" s="39"/>
      <x:c r="V80" s="39"/>
      <x:c r="W80" s="39"/>
      <x:c r="X80" s="37"/>
      <x:c r="Y80" s="37"/>
      <x:c r="Z80" s="37"/>
      <x:c r="AA80" s="37"/>
      <x:c r="AB80" s="37"/>
      <x:c r="AC80" s="37"/>
      <x:c r="AD80" s="37"/>
      <x:c r="AE80" s="26"/>
      <x:c r="AF80" s="26"/>
    </x:row>
    <x:row r="81">
      <x:c r="A81" s="26"/>
      <x:c r="B81" s="26"/>
      <x:c r="C81" s="39"/>
      <x:c r="D81" s="26"/>
      <x:c r="E81" s="39"/>
      <x:c r="F81" s="39"/>
      <x:c r="G81" s="39"/>
      <x:c r="H81" s="39"/>
      <x:c r="I81" s="39"/>
      <x:c r="J81" s="39"/>
      <x:c r="K81" s="39"/>
      <x:c r="L81" s="39"/>
      <x:c r="M81" s="39"/>
      <x:c r="N81" s="39"/>
      <x:c r="O81" s="39"/>
      <x:c r="P81" s="39"/>
      <x:c r="Q81" s="39"/>
      <x:c r="R81" s="39"/>
      <x:c r="S81" s="39"/>
      <x:c r="T81" s="39"/>
      <x:c r="U81" s="39"/>
      <x:c r="V81" s="39"/>
      <x:c r="W81" s="39"/>
      <x:c r="X81" s="37"/>
      <x:c r="Y81" s="37"/>
      <x:c r="Z81" s="37"/>
      <x:c r="AA81" s="37"/>
      <x:c r="AB81" s="37"/>
      <x:c r="AC81" s="37"/>
      <x:c r="AD81" s="37"/>
      <x:c r="AE81" s="26"/>
      <x:c r="AF81" s="26"/>
    </x:row>
    <x:row r="82">
      <x:c r="A82" s="26"/>
      <x:c r="B82" s="26"/>
      <x:c r="C82" s="39"/>
      <x:c r="D82" s="26"/>
      <x:c r="E82" s="39"/>
      <x:c r="F82" s="39"/>
      <x:c r="G82" s="39"/>
      <x:c r="H82" s="39"/>
      <x:c r="I82" s="39"/>
      <x:c r="J82" s="39"/>
      <x:c r="K82" s="39"/>
      <x:c r="L82" s="39"/>
      <x:c r="M82" s="39"/>
      <x:c r="N82" s="39"/>
      <x:c r="O82" s="39"/>
      <x:c r="P82" s="39"/>
      <x:c r="Q82" s="39"/>
      <x:c r="R82" s="39"/>
      <x:c r="S82" s="39"/>
      <x:c r="T82" s="39"/>
      <x:c r="U82" s="39"/>
      <x:c r="V82" s="39"/>
      <x:c r="W82" s="39"/>
      <x:c r="X82" s="37"/>
      <x:c r="Y82" s="37"/>
      <x:c r="Z82" s="37"/>
      <x:c r="AA82" s="37"/>
      <x:c r="AB82" s="37"/>
      <x:c r="AC82" s="37"/>
      <x:c r="AD82" s="37"/>
      <x:c r="AE82" s="26"/>
      <x:c r="AF82" s="26"/>
    </x:row>
    <x:row r="83">
      <x:c r="A83" s="26"/>
      <x:c r="B83" s="26"/>
      <x:c r="C83" s="39"/>
      <x:c r="D83" s="26"/>
      <x:c r="E83" s="39"/>
      <x:c r="F83" s="39"/>
      <x:c r="G83" s="39"/>
      <x:c r="H83" s="39"/>
      <x:c r="I83" s="39"/>
      <x:c r="J83" s="39"/>
      <x:c r="K83" s="39"/>
      <x:c r="L83" s="39"/>
      <x:c r="M83" s="39"/>
      <x:c r="N83" s="39"/>
      <x:c r="O83" s="39"/>
      <x:c r="P83" s="39"/>
      <x:c r="Q83" s="39"/>
      <x:c r="R83" s="39"/>
      <x:c r="S83" s="39"/>
      <x:c r="T83" s="39"/>
      <x:c r="U83" s="39"/>
      <x:c r="V83" s="39"/>
      <x:c r="W83" s="39"/>
      <x:c r="X83" s="37"/>
      <x:c r="Y83" s="37"/>
      <x:c r="Z83" s="37"/>
      <x:c r="AA83" s="37"/>
      <x:c r="AB83" s="37"/>
      <x:c r="AC83" s="37"/>
      <x:c r="AD83" s="37"/>
      <x:c r="AE83" s="26"/>
      <x:c r="AF83" s="26"/>
    </x:row>
    <x:row r="84">
      <x:c r="A84" s="26"/>
      <x:c r="B84" s="26"/>
      <x:c r="C84" s="39"/>
      <x:c r="D84" s="26"/>
      <x:c r="E84" s="39"/>
      <x:c r="F84" s="39"/>
      <x:c r="G84" s="39"/>
      <x:c r="H84" s="39"/>
      <x:c r="I84" s="39"/>
      <x:c r="J84" s="39"/>
      <x:c r="K84" s="39"/>
      <x:c r="L84" s="39"/>
      <x:c r="M84" s="39"/>
      <x:c r="N84" s="39"/>
      <x:c r="O84" s="39"/>
      <x:c r="P84" s="39"/>
      <x:c r="Q84" s="39"/>
      <x:c r="R84" s="39"/>
      <x:c r="S84" s="39"/>
      <x:c r="T84" s="39"/>
      <x:c r="U84" s="39"/>
      <x:c r="V84" s="39"/>
      <x:c r="W84" s="39"/>
      <x:c r="X84" s="37"/>
      <x:c r="Y84" s="37"/>
      <x:c r="Z84" s="37"/>
      <x:c r="AA84" s="37"/>
      <x:c r="AB84" s="37"/>
      <x:c r="AC84" s="37"/>
      <x:c r="AD84" s="37"/>
      <x:c r="AE84" s="26"/>
      <x:c r="AF84" s="26"/>
    </x:row>
    <x:row r="85">
      <x:c r="A85" s="26"/>
      <x:c r="B85" s="26"/>
      <x:c r="C85" s="39"/>
      <x:c r="D85" s="26"/>
      <x:c r="E85" s="39"/>
      <x:c r="F85" s="39"/>
      <x:c r="G85" s="39"/>
      <x:c r="H85" s="39"/>
      <x:c r="I85" s="39"/>
      <x:c r="J85" s="39"/>
      <x:c r="K85" s="39"/>
      <x:c r="L85" s="39"/>
      <x:c r="M85" s="39"/>
      <x:c r="N85" s="39"/>
      <x:c r="O85" s="39"/>
      <x:c r="P85" s="39"/>
      <x:c r="Q85" s="39"/>
      <x:c r="R85" s="39"/>
      <x:c r="S85" s="39"/>
      <x:c r="T85" s="39"/>
      <x:c r="U85" s="39"/>
      <x:c r="V85" s="39"/>
      <x:c r="W85" s="39"/>
      <x:c r="X85" s="37"/>
      <x:c r="Y85" s="37"/>
      <x:c r="Z85" s="37"/>
      <x:c r="AA85" s="37"/>
      <x:c r="AB85" s="37"/>
      <x:c r="AC85" s="37"/>
      <x:c r="AD85" s="37"/>
      <x:c r="AE85" s="26"/>
      <x:c r="AF85" s="26"/>
    </x:row>
    <x:row r="86">
      <x:c r="A86" s="26"/>
      <x:c r="B86" s="26"/>
      <x:c r="C86" s="39"/>
      <x:c r="D86" s="26"/>
      <x:c r="E86" s="39"/>
      <x:c r="F86" s="39"/>
      <x:c r="G86" s="39"/>
      <x:c r="H86" s="39"/>
      <x:c r="I86" s="39"/>
      <x:c r="J86" s="39"/>
      <x:c r="K86" s="39"/>
      <x:c r="L86" s="39"/>
      <x:c r="M86" s="39"/>
      <x:c r="N86" s="39"/>
      <x:c r="O86" s="39"/>
      <x:c r="P86" s="39"/>
      <x:c r="Q86" s="39"/>
      <x:c r="R86" s="39"/>
      <x:c r="S86" s="39"/>
      <x:c r="T86" s="39"/>
      <x:c r="U86" s="39"/>
      <x:c r="V86" s="39"/>
      <x:c r="W86" s="39"/>
      <x:c r="X86" s="37"/>
      <x:c r="Y86" s="37"/>
      <x:c r="Z86" s="37"/>
      <x:c r="AA86" s="37"/>
      <x:c r="AB86" s="37"/>
      <x:c r="AC86" s="37"/>
      <x:c r="AD86" s="37"/>
      <x:c r="AE86" s="26"/>
      <x:c r="AF86" s="26"/>
    </x:row>
    <x:row r="87">
      <x:c r="A87" s="26"/>
      <x:c r="B87" s="26"/>
      <x:c r="C87" s="39"/>
      <x:c r="D87" s="26"/>
      <x:c r="E87" s="39"/>
      <x:c r="F87" s="39"/>
      <x:c r="G87" s="39"/>
      <x:c r="H87" s="39"/>
      <x:c r="I87" s="39"/>
      <x:c r="J87" s="39"/>
      <x:c r="K87" s="39"/>
      <x:c r="L87" s="39"/>
      <x:c r="M87" s="39"/>
      <x:c r="N87" s="39"/>
      <x:c r="O87" s="39"/>
      <x:c r="P87" s="39"/>
      <x:c r="Q87" s="39"/>
      <x:c r="R87" s="39"/>
      <x:c r="S87" s="39"/>
      <x:c r="T87" s="39"/>
      <x:c r="U87" s="39"/>
      <x:c r="V87" s="39"/>
      <x:c r="W87" s="39"/>
      <x:c r="X87" s="37"/>
      <x:c r="Y87" s="37"/>
      <x:c r="Z87" s="37"/>
      <x:c r="AA87" s="37"/>
      <x:c r="AB87" s="37"/>
      <x:c r="AC87" s="37"/>
      <x:c r="AD87" s="37"/>
      <x:c r="AE87" s="26"/>
      <x:c r="AF87" s="26"/>
    </x:row>
    <x:row r="88">
      <x:c r="A88" s="26"/>
      <x:c r="B88" s="26"/>
      <x:c r="C88" s="39"/>
      <x:c r="D88" s="26"/>
      <x:c r="E88" s="39"/>
      <x:c r="F88" s="39"/>
      <x:c r="G88" s="39"/>
      <x:c r="H88" s="39"/>
      <x:c r="I88" s="39"/>
      <x:c r="J88" s="39"/>
      <x:c r="K88" s="39"/>
      <x:c r="L88" s="39"/>
      <x:c r="M88" s="39"/>
      <x:c r="N88" s="39"/>
      <x:c r="O88" s="39"/>
      <x:c r="P88" s="39"/>
      <x:c r="Q88" s="39"/>
      <x:c r="R88" s="39"/>
      <x:c r="S88" s="39"/>
      <x:c r="T88" s="39"/>
      <x:c r="U88" s="39"/>
      <x:c r="V88" s="39"/>
      <x:c r="W88" s="39"/>
      <x:c r="X88" s="37"/>
      <x:c r="Y88" s="37"/>
      <x:c r="Z88" s="37"/>
      <x:c r="AA88" s="37"/>
      <x:c r="AB88" s="37"/>
      <x:c r="AC88" s="37"/>
      <x:c r="AD88" s="37"/>
      <x:c r="AE88" s="26"/>
      <x:c r="AF88" s="26"/>
    </x:row>
    <x:row r="89">
      <x:c r="A89" s="26"/>
      <x:c r="B89" s="26"/>
      <x:c r="C89" s="39"/>
      <x:c r="D89" s="26"/>
      <x:c r="E89" s="39"/>
      <x:c r="F89" s="39"/>
      <x:c r="G89" s="39"/>
      <x:c r="H89" s="39"/>
      <x:c r="I89" s="39"/>
      <x:c r="J89" s="39"/>
      <x:c r="K89" s="39"/>
      <x:c r="L89" s="39"/>
      <x:c r="M89" s="39"/>
      <x:c r="N89" s="39"/>
      <x:c r="O89" s="39"/>
      <x:c r="P89" s="39"/>
      <x:c r="Q89" s="39"/>
      <x:c r="R89" s="39"/>
      <x:c r="S89" s="39"/>
      <x:c r="T89" s="39"/>
      <x:c r="U89" s="39"/>
      <x:c r="V89" s="39"/>
      <x:c r="W89" s="39"/>
      <x:c r="X89" s="37"/>
      <x:c r="Y89" s="37"/>
      <x:c r="Z89" s="37"/>
      <x:c r="AA89" s="37"/>
      <x:c r="AB89" s="37"/>
      <x:c r="AC89" s="37"/>
      <x:c r="AD89" s="37"/>
      <x:c r="AE89" s="26"/>
      <x:c r="AF89" s="26"/>
    </x:row>
    <x:row r="90">
      <x:c r="A90" s="26"/>
      <x:c r="B90" s="26"/>
      <x:c r="C90" s="39"/>
      <x:c r="D90" s="26"/>
      <x:c r="E90" s="39"/>
      <x:c r="F90" s="39"/>
      <x:c r="G90" s="39"/>
      <x:c r="H90" s="39"/>
      <x:c r="I90" s="39"/>
      <x:c r="J90" s="39"/>
      <x:c r="K90" s="39"/>
      <x:c r="L90" s="39"/>
      <x:c r="M90" s="39"/>
      <x:c r="N90" s="39"/>
      <x:c r="O90" s="39"/>
      <x:c r="P90" s="39"/>
      <x:c r="Q90" s="39"/>
      <x:c r="R90" s="39"/>
      <x:c r="S90" s="39"/>
      <x:c r="T90" s="39"/>
      <x:c r="U90" s="39"/>
      <x:c r="V90" s="39"/>
      <x:c r="W90" s="39"/>
      <x:c r="X90" s="37"/>
      <x:c r="Y90" s="37"/>
      <x:c r="Z90" s="37"/>
      <x:c r="AA90" s="37"/>
      <x:c r="AB90" s="37"/>
      <x:c r="AC90" s="37"/>
      <x:c r="AD90" s="37"/>
      <x:c r="AE90" s="26"/>
      <x:c r="AF90" s="26"/>
    </x:row>
    <x:row r="91">
      <x:c r="A91" s="26"/>
      <x:c r="B91" s="26"/>
      <x:c r="C91" s="39"/>
      <x:c r="D91" s="26"/>
      <x:c r="E91" s="39"/>
      <x:c r="F91" s="39"/>
      <x:c r="G91" s="39"/>
      <x:c r="H91" s="39"/>
      <x:c r="I91" s="39"/>
      <x:c r="J91" s="39"/>
      <x:c r="K91" s="39"/>
      <x:c r="L91" s="39"/>
      <x:c r="M91" s="39"/>
      <x:c r="N91" s="39"/>
      <x:c r="O91" s="39"/>
      <x:c r="P91" s="39"/>
      <x:c r="Q91" s="39"/>
      <x:c r="R91" s="39"/>
      <x:c r="S91" s="39"/>
      <x:c r="T91" s="39"/>
      <x:c r="U91" s="39"/>
      <x:c r="V91" s="39"/>
      <x:c r="W91" s="39"/>
      <x:c r="X91" s="37"/>
      <x:c r="Y91" s="37"/>
      <x:c r="Z91" s="37"/>
      <x:c r="AA91" s="37"/>
      <x:c r="AB91" s="37"/>
      <x:c r="AC91" s="37"/>
      <x:c r="AD91" s="37"/>
      <x:c r="AE91" s="26"/>
      <x:c r="AF91" s="26"/>
    </x:row>
    <x:row r="92">
      <x:c r="A92" s="26"/>
      <x:c r="B92" s="26"/>
      <x:c r="C92" s="39"/>
      <x:c r="D92" s="26"/>
      <x:c r="E92" s="39"/>
      <x:c r="F92" s="39"/>
      <x:c r="G92" s="39"/>
      <x:c r="H92" s="39"/>
      <x:c r="I92" s="39"/>
      <x:c r="J92" s="39"/>
      <x:c r="K92" s="39"/>
      <x:c r="L92" s="39"/>
      <x:c r="M92" s="39"/>
      <x:c r="N92" s="39"/>
      <x:c r="O92" s="39"/>
      <x:c r="P92" s="39"/>
      <x:c r="Q92" s="39"/>
      <x:c r="R92" s="39"/>
      <x:c r="S92" s="39"/>
      <x:c r="T92" s="39"/>
      <x:c r="U92" s="39"/>
      <x:c r="V92" s="39"/>
      <x:c r="W92" s="39"/>
      <x:c r="X92" s="37"/>
      <x:c r="Y92" s="37"/>
      <x:c r="Z92" s="37"/>
      <x:c r="AA92" s="37"/>
      <x:c r="AB92" s="37"/>
      <x:c r="AC92" s="37"/>
      <x:c r="AD92" s="37"/>
      <x:c r="AE92" s="26"/>
      <x:c r="AF92" s="26"/>
    </x:row>
    <x:row r="93">
      <x:c r="A93" s="26"/>
      <x:c r="B93" s="26"/>
      <x:c r="C93" s="39"/>
      <x:c r="D93" s="26"/>
      <x:c r="E93" s="39"/>
      <x:c r="F93" s="39"/>
      <x:c r="G93" s="39"/>
      <x:c r="H93" s="39"/>
      <x:c r="I93" s="39"/>
      <x:c r="J93" s="39"/>
      <x:c r="K93" s="39"/>
      <x:c r="L93" s="39"/>
      <x:c r="M93" s="39"/>
      <x:c r="N93" s="39"/>
      <x:c r="O93" s="39"/>
      <x:c r="P93" s="39"/>
      <x:c r="Q93" s="39"/>
      <x:c r="R93" s="39"/>
      <x:c r="S93" s="39"/>
      <x:c r="T93" s="39"/>
      <x:c r="U93" s="39"/>
      <x:c r="V93" s="39"/>
      <x:c r="W93" s="39"/>
      <x:c r="X93" s="37"/>
      <x:c r="Y93" s="37"/>
      <x:c r="Z93" s="37"/>
      <x:c r="AA93" s="37"/>
      <x:c r="AB93" s="37"/>
      <x:c r="AC93" s="37"/>
      <x:c r="AD93" s="37"/>
      <x:c r="AE93" s="26"/>
      <x:c r="AF93" s="26"/>
    </x:row>
    <x:row r="94">
      <x:c r="A94" s="26"/>
      <x:c r="B94" s="26"/>
      <x:c r="C94" s="39"/>
      <x:c r="D94" s="26"/>
      <x:c r="E94" s="39"/>
      <x:c r="F94" s="39"/>
      <x:c r="G94" s="39"/>
      <x:c r="H94" s="39"/>
      <x:c r="I94" s="39"/>
      <x:c r="J94" s="39"/>
      <x:c r="K94" s="39"/>
      <x:c r="L94" s="39"/>
      <x:c r="M94" s="39"/>
      <x:c r="N94" s="39"/>
      <x:c r="O94" s="39"/>
      <x:c r="P94" s="39"/>
      <x:c r="Q94" s="39"/>
      <x:c r="R94" s="39"/>
      <x:c r="S94" s="39"/>
      <x:c r="T94" s="39"/>
      <x:c r="U94" s="39"/>
      <x:c r="V94" s="39"/>
      <x:c r="W94" s="39"/>
      <x:c r="X94" s="37"/>
      <x:c r="Y94" s="37"/>
      <x:c r="Z94" s="37"/>
      <x:c r="AA94" s="37"/>
      <x:c r="AB94" s="37"/>
      <x:c r="AC94" s="37"/>
      <x:c r="AD94" s="37"/>
      <x:c r="AE94" s="26"/>
      <x:c r="AF94" s="26"/>
    </x:row>
    <x:row r="95">
      <x:c r="A95" s="26"/>
      <x:c r="B95" s="26"/>
      <x:c r="C95" s="39"/>
      <x:c r="D95" s="26"/>
      <x:c r="E95" s="39"/>
      <x:c r="F95" s="39"/>
      <x:c r="G95" s="39"/>
      <x:c r="H95" s="39"/>
      <x:c r="I95" s="39"/>
      <x:c r="J95" s="39"/>
      <x:c r="K95" s="39"/>
      <x:c r="L95" s="39"/>
      <x:c r="M95" s="39"/>
      <x:c r="N95" s="39"/>
      <x:c r="O95" s="39"/>
      <x:c r="P95" s="39"/>
      <x:c r="Q95" s="39"/>
      <x:c r="R95" s="39"/>
      <x:c r="S95" s="39"/>
      <x:c r="T95" s="39"/>
      <x:c r="U95" s="39"/>
      <x:c r="V95" s="39"/>
      <x:c r="W95" s="39"/>
      <x:c r="X95" s="37"/>
      <x:c r="Y95" s="37"/>
      <x:c r="Z95" s="37"/>
      <x:c r="AA95" s="37"/>
      <x:c r="AB95" s="37"/>
      <x:c r="AC95" s="37"/>
      <x:c r="AD95" s="37"/>
      <x:c r="AE95" s="26"/>
      <x:c r="AF95" s="26"/>
    </x:row>
    <x:row r="96">
      <x:c r="A96" s="26"/>
      <x:c r="B96" s="26"/>
      <x:c r="C96" s="39"/>
      <x:c r="D96" s="26"/>
      <x:c r="E96" s="39"/>
      <x:c r="F96" s="39"/>
      <x:c r="G96" s="39"/>
      <x:c r="H96" s="39"/>
      <x:c r="I96" s="39"/>
      <x:c r="J96" s="39"/>
      <x:c r="K96" s="39"/>
      <x:c r="L96" s="39"/>
      <x:c r="M96" s="39"/>
      <x:c r="N96" s="39"/>
      <x:c r="O96" s="39"/>
      <x:c r="P96" s="39"/>
      <x:c r="Q96" s="39"/>
      <x:c r="R96" s="39"/>
      <x:c r="S96" s="39"/>
      <x:c r="T96" s="39"/>
      <x:c r="U96" s="39"/>
      <x:c r="V96" s="39"/>
      <x:c r="W96" s="39"/>
      <x:c r="X96" s="37"/>
      <x:c r="Y96" s="37"/>
      <x:c r="Z96" s="37"/>
      <x:c r="AA96" s="37"/>
      <x:c r="AB96" s="37"/>
      <x:c r="AC96" s="37"/>
      <x:c r="AD96" s="37"/>
      <x:c r="AE96" s="26"/>
      <x:c r="AF96" s="26"/>
    </x:row>
    <x:row r="97">
      <x:c r="A97" s="26"/>
      <x:c r="B97" s="26"/>
      <x:c r="C97" s="39"/>
      <x:c r="D97" s="26"/>
      <x:c r="E97" s="39"/>
      <x:c r="F97" s="39"/>
      <x:c r="G97" s="39"/>
      <x:c r="H97" s="39"/>
      <x:c r="I97" s="39"/>
      <x:c r="J97" s="39"/>
      <x:c r="K97" s="39"/>
      <x:c r="L97" s="39"/>
      <x:c r="M97" s="39"/>
      <x:c r="N97" s="39"/>
      <x:c r="O97" s="39"/>
      <x:c r="P97" s="39"/>
      <x:c r="Q97" s="39"/>
      <x:c r="R97" s="39"/>
      <x:c r="S97" s="39"/>
      <x:c r="T97" s="39"/>
      <x:c r="U97" s="39"/>
      <x:c r="V97" s="39"/>
      <x:c r="W97" s="39"/>
      <x:c r="X97" s="37"/>
      <x:c r="Y97" s="37"/>
      <x:c r="Z97" s="37"/>
      <x:c r="AA97" s="37"/>
      <x:c r="AB97" s="37"/>
      <x:c r="AC97" s="37"/>
      <x:c r="AD97" s="37"/>
      <x:c r="AE97" s="26"/>
      <x:c r="AF97" s="26"/>
    </x:row>
    <x:row r="98">
      <x:c r="A98" s="26"/>
      <x:c r="B98" s="26"/>
      <x:c r="C98" s="39"/>
      <x:c r="D98" s="26"/>
      <x:c r="E98" s="39"/>
      <x:c r="F98" s="39"/>
      <x:c r="G98" s="39"/>
      <x:c r="H98" s="39"/>
      <x:c r="I98" s="39"/>
      <x:c r="J98" s="39"/>
      <x:c r="K98" s="39"/>
      <x:c r="L98" s="39"/>
      <x:c r="M98" s="39"/>
      <x:c r="N98" s="39"/>
      <x:c r="O98" s="39"/>
      <x:c r="P98" s="39"/>
      <x:c r="Q98" s="39"/>
      <x:c r="R98" s="39"/>
      <x:c r="S98" s="39"/>
      <x:c r="T98" s="39"/>
      <x:c r="U98" s="39"/>
      <x:c r="V98" s="39"/>
      <x:c r="W98" s="39"/>
      <x:c r="X98" s="37"/>
      <x:c r="Y98" s="37"/>
      <x:c r="Z98" s="37"/>
      <x:c r="AA98" s="37"/>
      <x:c r="AB98" s="37"/>
      <x:c r="AC98" s="37"/>
      <x:c r="AD98" s="37"/>
      <x:c r="AE98" s="26"/>
      <x:c r="AF98" s="26"/>
    </x:row>
    <x:row r="99">
      <x:c r="A99" s="26"/>
      <x:c r="B99" s="26"/>
      <x:c r="C99" s="39"/>
      <x:c r="D99" s="26"/>
      <x:c r="E99" s="39"/>
      <x:c r="F99" s="39"/>
      <x:c r="G99" s="39"/>
      <x:c r="H99" s="39"/>
      <x:c r="I99" s="39"/>
      <x:c r="J99" s="39"/>
      <x:c r="K99" s="39"/>
      <x:c r="L99" s="39"/>
      <x:c r="M99" s="39"/>
      <x:c r="N99" s="39"/>
      <x:c r="O99" s="39"/>
      <x:c r="P99" s="39"/>
      <x:c r="Q99" s="39"/>
      <x:c r="R99" s="39"/>
      <x:c r="S99" s="39"/>
      <x:c r="T99" s="39"/>
      <x:c r="U99" s="39"/>
      <x:c r="V99" s="39"/>
      <x:c r="W99" s="39"/>
      <x:c r="X99" s="37"/>
      <x:c r="Y99" s="37"/>
      <x:c r="Z99" s="37"/>
      <x:c r="AA99" s="37"/>
      <x:c r="AB99" s="37"/>
      <x:c r="AC99" s="37"/>
      <x:c r="AD99" s="37"/>
      <x:c r="AE99" s="26"/>
      <x:c r="AF99" s="26"/>
    </x:row>
    <x:row r="100">
      <x:c r="A100" s="26"/>
      <x:c r="B100" s="26"/>
      <x:c r="C100" s="39"/>
      <x:c r="D100" s="26"/>
      <x:c r="E100" s="39"/>
      <x:c r="F100" s="39"/>
      <x:c r="G100" s="39"/>
      <x:c r="H100" s="39"/>
      <x:c r="I100" s="39"/>
      <x:c r="J100" s="39"/>
      <x:c r="K100" s="39"/>
      <x:c r="L100" s="39"/>
      <x:c r="M100" s="39"/>
      <x:c r="N100" s="39"/>
      <x:c r="O100" s="39"/>
      <x:c r="P100" s="39"/>
      <x:c r="Q100" s="39"/>
      <x:c r="R100" s="39"/>
      <x:c r="S100" s="39"/>
      <x:c r="T100" s="39"/>
      <x:c r="U100" s="39"/>
      <x:c r="V100" s="39"/>
      <x:c r="W100" s="39"/>
      <x:c r="X100" s="37"/>
      <x:c r="Y100" s="37"/>
      <x:c r="Z100" s="37"/>
      <x:c r="AA100" s="37"/>
      <x:c r="AB100" s="37"/>
      <x:c r="AC100" s="37"/>
      <x:c r="AD100" s="37"/>
      <x:c r="AE100" s="26"/>
      <x:c r="AF100" s="26"/>
    </x:row>
  </x:sheetData>
  <x:mergeCells>
    <x:mergeCell ref="A1:AF1"/>
    <x:mergeCell ref="A2:AF2"/>
  </x:mergeCells>
  <x:conditionalFormatting sqref="AB4:AD24">
    <x:cfRule type="dataBar" priority="1">
      <x:dataBar>
        <x:cfvo type="min"/>
        <x:cfvo type="max"/>
        <x:color rgb="FF5B9BD5"/>
      </x:dataBar>
      <x:extLst>
        <x:ext xmlns:x14="http://schemas.microsoft.com/office/spreadsheetml/2009/9/main" uri="{B025F937-C7B1-47D3-B67F-A62EFF666E3E}">
          <x14:id>{3A43B435-6DA1-98A2-BFAC-458F6EED3C11}</x14:id>
        </x:ext>
      </x:extLst>
    </x:cfRule>
  </x:conditionalFormatting>
  <x:conditionalFormatting sqref="U4:W24">
    <x:cfRule type="colorScale" priority="2">
      <x:colorScale>
        <x:cfvo type="min"/>
        <x:cfvo type="percentile" val="50"/>
        <x:cfvo type="max"/>
        <x:color rgb="FFFFC7CE"/>
        <x:color rgb="FFFFEB9C"/>
        <x:color rgb="FFC6EFCE"/>
      </x:colorScale>
    </x:cfRule>
  </x:conditionalFormatting>
  <x:pageMargins left="0.7" right="0.7" top="0.75" bottom="0.75" header="0.3" footer="0.3"/>
  <x:drawing xmlns:r="http://schemas.openxmlformats.org/officeDocument/2006/relationships" r:id="Rb86daebc918247c6"/>
  <x:tableParts count="1">
    <x:tablePart xmlns:r="http://schemas.openxmlformats.org/officeDocument/2006/relationships" r:id="Rb611cc5b692e493f"/>
  </x:tableParts>
  <x:extLst>
    <x:ext xmlns:x14="http://schemas.microsoft.com/office/spreadsheetml/2009/9/main" xmlns:xm="http://schemas.microsoft.com/office/excel/2006/main" uri="{78C0D931-6437-407d-A8EE-F0AAD7539E65}">
      <x14:conditionalFormattings>
        <x14:conditionalFormatting>
          <x14:cfRule type="dataBar" priority="1" id="{3A43B435-6DA1-98A2-BFAC-458F6EED3C11}">
            <x14:dataBar gradient="1">
              <x14:cfvo type="min"/>
              <x14:cfvo type="max"/>
              <x14:fillColor rgb="FF5B9BD5"/>
            </x14:dataBar>
          </x14:cfRule>
          <xm:sqref>AB4:AD24</xm:sqref>
        </x14:conditionalFormatting>
      </x14:conditionalFormattings>
    </x:ext>
  </x:extLst>
</x:worksheet>
</file>

<file path=xl/worksheets/sheet6.xml><?xml version="1.0" encoding="utf-8"?>
<x:worksheet xmlns:x="http://schemas.openxmlformats.org/spreadsheetml/2006/main">
  <x:sheetFormatPr defaultRowHeight="15"/>
  <x:cols>
    <x:col min="1" max="1" width="10" hidden="0" customWidth="1"/>
    <x:col min="2" max="2" width="23" hidden="0" customWidth="1"/>
    <x:col min="3" max="3" width="16" hidden="0" customWidth="1"/>
    <x:col min="4" max="4" width="30" hidden="0" customWidth="1"/>
    <x:col min="5" max="5" width="13" hidden="0" customWidth="1"/>
    <x:col min="6" max="6" width="9" hidden="0" customWidth="1"/>
    <x:col min="7" max="7" width="9"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 min="38" max="38" width="13" hidden="0" customWidth="1"/>
    <x:col min="39" max="39" width="13" hidden="0" customWidth="1"/>
    <x:col min="40" max="40" width="13" hidden="0" customWidth="1"/>
    <x:col min="41" max="41" width="13" hidden="0" customWidth="1"/>
    <x:col min="42" max="42" width="13" hidden="0" customWidth="1"/>
    <x:col min="43" max="43" width="13" hidden="0" customWidth="1"/>
    <x:col min="44" max="44" width="13" hidden="0" customWidth="1"/>
    <x:col min="45" max="45" width="13" hidden="0" customWidth="1"/>
    <x:col min="46" max="46" width="13" hidden="0" customWidth="1"/>
    <x:col min="47" max="47" width="13" hidden="0" customWidth="1"/>
    <x:col min="48" max="48" width="13" hidden="0" customWidth="1"/>
    <x:col min="49" max="49" width="13" hidden="0" customWidth="1"/>
    <x:col min="50" max="50" width="13" hidden="0" customWidth="1"/>
  </x:cols>
  <x:sheetData>
    <x:row r="1" ht="28" customHeight="1">
      <x:c r="A1" s="6" t="str">
        <x:v>RAW PROGRAM OUTPUT — ONE ROW PER INDEPENDENT MEASUREMENT</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c r="AS1" s="6"/>
      <x:c r="AT1" s="6"/>
      <x:c r="AU1" s="6"/>
      <x:c r="AV1" s="6"/>
      <x:c r="AW1" s="6"/>
      <x:c r="AX1" s="6"/>
    </x:row>
    <x:row r="2">
      <x:c r="A2" s="26" t="str">
        <x:v>Preserved technical measurements from the uploaded characterization logs. Use Master_Summary and Inclined_Tests for interpretation; use this sheet for traceability, phase, sync ratio, SNR, and repeat-level checks.</x:v>
      </x:c>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c r="AO2" s="26"/>
      <x:c r="AP2" s="26"/>
      <x:c r="AQ2" s="26"/>
      <x:c r="AR2" s="26"/>
      <x:c r="AS2" s="26"/>
      <x:c r="AT2" s="26"/>
      <x:c r="AU2" s="26"/>
      <x:c r="AV2" s="26"/>
      <x:c r="AW2" s="26"/>
      <x:c r="AX2" s="26"/>
    </x:row>
    <x:row r="3" ht="32" customHeight="1">
      <x:c r="A3" s="16" t="str">
        <x:v>Test ID</x:v>
      </x:c>
      <x:c r="B3" s="16" t="str">
        <x:v>Orientation</x:v>
      </x:c>
      <x:c r="C3" s="16" t="str">
        <x:v>Gain label</x:v>
      </x:c>
      <x:c r="D3" s="16" t="str">
        <x:v>Source file</x:v>
      </x:c>
      <x:c r="E3" s="16" t="str">
        <x:v>Mode</x:v>
      </x:c>
      <x:c r="F3" s="16" t="str">
        <x:v>Point</x:v>
      </x:c>
      <x:c r="G3" s="16" t="str">
        <x:v>Repeat</x:v>
      </x:c>
      <x:c r="H3" s="16" t="str">
        <x:v>CmdFreq_Hz</x:v>
      </x:c>
      <x:c r="I3" s="16" t="str">
        <x:v>DAC</x:v>
      </x:c>
      <x:c r="J3" s="16" t="str">
        <x:v>FFT_X_Dom_Hz</x:v>
      </x:c>
      <x:c r="K3" s="16" t="str">
        <x:v>FFT_X_Dom_A</x:v>
      </x:c>
      <x:c r="L3" s="16" t="str">
        <x:v>FFT_X_Dom_SNR</x:v>
      </x:c>
      <x:c r="M3" s="16" t="str">
        <x:v>FFT_Y_Dom_Hz</x:v>
      </x:c>
      <x:c r="N3" s="16" t="str">
        <x:v>FFT_Y_Dom_A</x:v>
      </x:c>
      <x:c r="O3" s="16" t="str">
        <x:v>FFT_Y_Dom_SNR</x:v>
      </x:c>
      <x:c r="P3" s="16" t="str">
        <x:v>FFT_Z_Dom_Hz</x:v>
      </x:c>
      <x:c r="Q3" s="16" t="str">
        <x:v>FFT_Z_Dom_A</x:v>
      </x:c>
      <x:c r="R3" s="16" t="str">
        <x:v>FFT_Z_Dom_SNR</x:v>
      </x:c>
      <x:c r="S3" s="16" t="str">
        <x:v>FFT_X_Local_Hz</x:v>
      </x:c>
      <x:c r="T3" s="16" t="str">
        <x:v>FFT_X_Local_A</x:v>
      </x:c>
      <x:c r="U3" s="16" t="str">
        <x:v>FFT_Y_Local_Hz</x:v>
      </x:c>
      <x:c r="V3" s="16" t="str">
        <x:v>FFT_Y_Local_A</x:v>
      </x:c>
      <x:c r="W3" s="16" t="str">
        <x:v>FFT_Z_Local_Hz</x:v>
      </x:c>
      <x:c r="X3" s="16" t="str">
        <x:v>FFT_Z_Local_A</x:v>
      </x:c>
      <x:c r="Y3" s="16" t="str">
        <x:v>FFT_Vector_Local_Hz</x:v>
      </x:c>
      <x:c r="Z3" s="16" t="str">
        <x:v>FFT_Vector_FreqError_Hz</x:v>
      </x:c>
      <x:c r="AA3" s="16" t="str">
        <x:v>FFT_Vector_X_A</x:v>
      </x:c>
      <x:c r="AB3" s="16" t="str">
        <x:v>FFT_Vector_Y_A</x:v>
      </x:c>
      <x:c r="AC3" s="16" t="str">
        <x:v>FFT_Vector_Z_A</x:v>
      </x:c>
      <x:c r="AD3" s="16" t="str">
        <x:v>FFT_Vector_Total_A</x:v>
      </x:c>
      <x:c r="AE3" s="16" t="str">
        <x:v>FFT_Vector_SNR</x:v>
      </x:c>
      <x:c r="AF3" s="16" t="str">
        <x:v>FFT_Vector_DomAxis</x:v>
      </x:c>
      <x:c r="AG3" s="16" t="str">
        <x:v>Quad_X_A</x:v>
      </x:c>
      <x:c r="AH3" s="16" t="str">
        <x:v>Quad_X_Phase_deg</x:v>
      </x:c>
      <x:c r="AI3" s="16" t="str">
        <x:v>Quad_X_SyncRatio</x:v>
      </x:c>
      <x:c r="AJ3" s="16" t="str">
        <x:v>Quad_X_CV_pct</x:v>
      </x:c>
      <x:c r="AK3" s="16" t="str">
        <x:v>Quad_Y_A</x:v>
      </x:c>
      <x:c r="AL3" s="16" t="str">
        <x:v>Quad_Y_Phase_deg</x:v>
      </x:c>
      <x:c r="AM3" s="16" t="str">
        <x:v>Quad_Y_SyncRatio</x:v>
      </x:c>
      <x:c r="AN3" s="16" t="str">
        <x:v>Quad_Y_CV_pct</x:v>
      </x:c>
      <x:c r="AO3" s="16" t="str">
        <x:v>Quad_Z_A</x:v>
      </x:c>
      <x:c r="AP3" s="16" t="str">
        <x:v>Quad_Z_Phase_deg</x:v>
      </x:c>
      <x:c r="AQ3" s="16" t="str">
        <x:v>Quad_Z_SyncRatio</x:v>
      </x:c>
      <x:c r="AR3" s="16" t="str">
        <x:v>Quad_Z_CV_pct</x:v>
      </x:c>
      <x:c r="AS3" s="16" t="str">
        <x:v>Quad_Total_A</x:v>
      </x:c>
      <x:c r="AT3" s="16" t="str">
        <x:v>Quad_Total_CV_pct</x:v>
      </x:c>
      <x:c r="AU3" s="16" t="str">
        <x:v>X_Fraction</x:v>
      </x:c>
      <x:c r="AV3" s="16" t="str">
        <x:v>Y_Fraction</x:v>
      </x:c>
      <x:c r="AW3" s="16" t="str">
        <x:v>Z_Fraction</x:v>
      </x:c>
      <x:c r="AX3" s="16" t="str">
        <x:v>Valid</x:v>
      </x:c>
    </x:row>
    <x:row r="4">
      <x:c r="A4" s="26" t="str">
        <x:v>K1</x:v>
      </x:c>
      <x:c r="B4" s="26" t="str">
        <x:v>Horizontal / flat</x:v>
      </x:c>
      <x:c r="C4" s="26" t="str">
        <x:v>Low</x:v>
      </x:c>
      <x:c r="D4" s="26" t="str">
        <x:v>Pasted text(20260812-094446).txt</x:v>
      </x:c>
      <x:c r="E4" s="26" t="str">
        <x:v>GAIN_SWEEP</x:v>
      </x:c>
      <x:c r="F4" s="26" t="n">
        <x:v>1</x:v>
      </x:c>
      <x:c r="G4" s="26" t="n">
        <x:v>1</x:v>
      </x:c>
      <x:c r="H4" s="26" t="n">
        <x:v>268</x:v>
      </x:c>
      <x:c r="I4" s="26" t="n">
        <x:v>1</x:v>
      </x:c>
      <x:c r="J4" s="26" t="n">
        <x:v>480.99012</x:v>
      </x:c>
      <x:c r="K4" s="26" t="n">
        <x:v>0.02546</x:v>
      </x:c>
      <x:c r="L4" s="26" t="n">
        <x:v>11.1</x:v>
      </x:c>
      <x:c r="M4" s="26" t="n">
        <x:v>480.99267</x:v>
      </x:c>
      <x:c r="N4" s="26" t="n">
        <x:v>0.04519</x:v>
      </x:c>
      <x:c r="O4" s="26" t="n">
        <x:v>13.19</x:v>
      </x:c>
      <x:c r="P4" s="26" t="n">
        <x:v>536.03852</x:v>
      </x:c>
      <x:c r="Q4" s="26" t="n">
        <x:v>0.05051</x:v>
      </x:c>
      <x:c r="R4" s="26" t="n">
        <x:v>10.77</x:v>
      </x:c>
      <x:c r="S4" s="26" t="n">
        <x:v>275.52807</x:v>
      </x:c>
      <x:c r="T4" s="26" t="n">
        <x:v>0.01093</x:v>
      </x:c>
      <x:c r="U4" s="26" t="n">
        <x:v>274.58808</x:v>
      </x:c>
      <x:c r="V4" s="26" t="n">
        <x:v>0.01761</x:v>
      </x:c>
      <x:c r="W4" s="26" t="n">
        <x:v>274.61916</x:v>
      </x:c>
      <x:c r="X4" s="26" t="n">
        <x:v>0.02691</x:v>
      </x:c>
      <x:c r="Y4" s="26" t="n">
        <x:v>275</x:v>
      </x:c>
      <x:c r="Z4" s="26" t="n">
        <x:v>7</x:v>
      </x:c>
      <x:c r="AA4" s="26" t="n">
        <x:v>0.01093</x:v>
      </x:c>
      <x:c r="AB4" s="26" t="n">
        <x:v>0.01761</x:v>
      </x:c>
      <x:c r="AC4" s="26" t="n">
        <x:v>0.02691</x:v>
      </x:c>
      <x:c r="AD4" s="26" t="n">
        <x:v>0.03397</x:v>
      </x:c>
      <x:c r="AE4" s="26" t="n">
        <x:v>6.01</x:v>
      </x:c>
      <x:c r="AF4" s="26" t="str">
        <x:v>Z</x:v>
      </x:c>
      <x:c r="AG4" s="26" t="n">
        <x:v>0.01063</x:v>
      </x:c>
      <x:c r="AH4" s="26" t="n">
        <x:v>90.17</x:v>
      </x:c>
      <x:c r="AI4" s="26" t="n">
        <x:v>0.069</x:v>
      </x:c>
      <x:c r="AJ4" s="26" t="n">
        <x:v>22.6</x:v>
      </x:c>
      <x:c r="AK4" s="26" t="n">
        <x:v>0.01242</x:v>
      </x:c>
      <x:c r="AL4" s="26" t="n">
        <x:v>105.08</x:v>
      </x:c>
      <x:c r="AM4" s="26" t="n">
        <x:v>0.054</x:v>
      </x:c>
      <x:c r="AN4" s="26" t="n">
        <x:v>44.92</x:v>
      </x:c>
      <x:c r="AO4" s="26" t="n">
        <x:v>0.02949</x:v>
      </x:c>
      <x:c r="AP4" s="26" t="n">
        <x:v>-55.53</x:v>
      </x:c>
      <x:c r="AQ4" s="26" t="n">
        <x:v>0.095</x:v>
      </x:c>
      <x:c r="AR4" s="26" t="n">
        <x:v>46.26</x:v>
      </x:c>
      <x:c r="AS4" s="26" t="n">
        <x:v>0.03458</x:v>
      </x:c>
      <x:c r="AT4" s="26" t="n">
        <x:v>35.41</x:v>
      </x:c>
      <x:c r="AU4" s="26" t="n">
        <x:v>0.3073</x:v>
      </x:c>
      <x:c r="AV4" s="26" t="n">
        <x:v>0.3592</x:v>
      </x:c>
      <x:c r="AW4" s="26" t="n">
        <x:v>0.853</x:v>
      </x:c>
      <x:c r="AX4" s="26" t="n">
        <x:v>0</x:v>
      </x:c>
    </x:row>
    <x:row r="5">
      <x:c r="A5" s="26" t="str">
        <x:v>K1</x:v>
      </x:c>
      <x:c r="B5" s="26" t="str">
        <x:v>Horizontal / flat</x:v>
      </x:c>
      <x:c r="C5" s="26" t="str">
        <x:v>Low</x:v>
      </x:c>
      <x:c r="D5" s="26" t="str">
        <x:v>Pasted text(20260812-094446).txt</x:v>
      </x:c>
      <x:c r="E5" s="26" t="str">
        <x:v>GAIN_SWEEP</x:v>
      </x:c>
      <x:c r="F5" s="26" t="n">
        <x:v>1</x:v>
      </x:c>
      <x:c r="G5" s="26" t="n">
        <x:v>2</x:v>
      </x:c>
      <x:c r="H5" s="26" t="n">
        <x:v>268</x:v>
      </x:c>
      <x:c r="I5" s="26" t="n">
        <x:v>1</x:v>
      </x:c>
      <x:c r="J5" s="26" t="n">
        <x:v>481.21089</x:v>
      </x:c>
      <x:c r="K5" s="26" t="n">
        <x:v>0.03064</x:v>
      </x:c>
      <x:c r="L5" s="26" t="n">
        <x:v>12.56</x:v>
      </x:c>
      <x:c r="M5" s="26" t="n">
        <x:v>101.58292</x:v>
      </x:c>
      <x:c r="N5" s="26" t="n">
        <x:v>0.04769</x:v>
      </x:c>
      <x:c r="O5" s="26" t="n">
        <x:v>13.4</x:v>
      </x:c>
      <x:c r="P5" s="26" t="n">
        <x:v>481.06436</x:v>
      </x:c>
      <x:c r="Q5" s="26" t="n">
        <x:v>0.04703</x:v>
      </x:c>
      <x:c r="R5" s="26" t="n">
        <x:v>10.64</x:v>
      </x:c>
      <x:c r="S5" s="26" t="n">
        <x:v>263.08782</x:v>
      </x:c>
      <x:c r="T5" s="26" t="n">
        <x:v>0.00982</x:v>
      </x:c>
      <x:c r="U5" s="26" t="n">
        <x:v>260.39549</x:v>
      </x:c>
      <x:c r="V5" s="26" t="n">
        <x:v>0.01285</x:v>
      </x:c>
      <x:c r="W5" s="26" t="n">
        <x:v>272.63281</x:v>
      </x:c>
      <x:c r="X5" s="26" t="n">
        <x:v>0.0304</x:v>
      </x:c>
      <x:c r="Y5" s="26" t="n">
        <x:v>272.7763</x:v>
      </x:c>
      <x:c r="Z5" s="26" t="n">
        <x:v>4.7763</x:v>
      </x:c>
      <x:c r="AA5" s="26" t="n">
        <x:v>0.00906</x:v>
      </x:c>
      <x:c r="AB5" s="26" t="n">
        <x:v>0.00723</x:v>
      </x:c>
      <x:c r="AC5" s="26" t="n">
        <x:v>0.03021</x:v>
      </x:c>
      <x:c r="AD5" s="26" t="n">
        <x:v>0.03236</x:v>
      </x:c>
      <x:c r="AE5" s="26" t="n">
        <x:v>6.09</x:v>
      </x:c>
      <x:c r="AF5" s="26" t="str">
        <x:v>Z</x:v>
      </x:c>
      <x:c r="AG5" s="26" t="n">
        <x:v>0.01173</x:v>
      </x:c>
      <x:c r="AH5" s="26" t="n">
        <x:v>-58.92</x:v>
      </x:c>
      <x:c r="AI5" s="26" t="n">
        <x:v>0.075</x:v>
      </x:c>
      <x:c r="AJ5" s="26" t="n">
        <x:v>60.39</x:v>
      </x:c>
      <x:c r="AK5" s="26" t="n">
        <x:v>0.01685</x:v>
      </x:c>
      <x:c r="AL5" s="26" t="n">
        <x:v>142.36</x:v>
      </x:c>
      <x:c r="AM5" s="26" t="n">
        <x:v>0.076</x:v>
      </x:c>
      <x:c r="AN5" s="26" t="n">
        <x:v>37.01</x:v>
      </x:c>
      <x:c r="AO5" s="26" t="n">
        <x:v>0.02051</x:v>
      </x:c>
      <x:c r="AP5" s="26" t="n">
        <x:v>-30.3</x:v>
      </x:c>
      <x:c r="AQ5" s="26" t="n">
        <x:v>0.064</x:v>
      </x:c>
      <x:c r="AR5" s="26" t="n">
        <x:v>54.98</x:v>
      </x:c>
      <x:c r="AS5" s="26" t="n">
        <x:v>0.02952</x:v>
      </x:c>
      <x:c r="AT5" s="26" t="n">
        <x:v>45.39</x:v>
      </x:c>
      <x:c r="AU5" s="26" t="n">
        <x:v>0.3975</x:v>
      </x:c>
      <x:c r="AV5" s="26" t="n">
        <x:v>0.5707</x:v>
      </x:c>
      <x:c r="AW5" s="26" t="n">
        <x:v>0.6947</x:v>
      </x:c>
      <x:c r="AX5" s="26" t="n">
        <x:v>0</x:v>
      </x:c>
    </x:row>
    <x:row r="6">
      <x:c r="A6" s="26" t="str">
        <x:v>K1</x:v>
      </x:c>
      <x:c r="B6" s="26" t="str">
        <x:v>Horizontal / flat</x:v>
      </x:c>
      <x:c r="C6" s="26" t="str">
        <x:v>Low</x:v>
      </x:c>
      <x:c r="D6" s="26" t="str">
        <x:v>Pasted text(20260812-094446).txt</x:v>
      </x:c>
      <x:c r="E6" s="26" t="str">
        <x:v>GAIN_SWEEP</x:v>
      </x:c>
      <x:c r="F6" s="26" t="n">
        <x:v>2</x:v>
      </x:c>
      <x:c r="G6" s="26" t="n">
        <x:v>1</x:v>
      </x:c>
      <x:c r="H6" s="26" t="n">
        <x:v>268</x:v>
      </x:c>
      <x:c r="I6" s="26" t="n">
        <x:v>2</x:v>
      </x:c>
      <x:c r="J6" s="26" t="n">
        <x:v>508.12487</x:v>
      </x:c>
      <x:c r="K6" s="26" t="n">
        <x:v>0.01957</x:v>
      </x:c>
      <x:c r="L6" s="26" t="n">
        <x:v>9.23</x:v>
      </x:c>
      <x:c r="M6" s="26" t="n">
        <x:v>720.82401</x:v>
      </x:c>
      <x:c r="N6" s="26" t="n">
        <x:v>0.04548</x:v>
      </x:c>
      <x:c r="O6" s="26" t="n">
        <x:v>12.61</x:v>
      </x:c>
      <x:c r="P6" s="26" t="n">
        <x:v>508.0586</x:v>
      </x:c>
      <x:c r="Q6" s="26" t="n">
        <x:v>0.03443</x:v>
      </x:c>
      <x:c r="R6" s="26" t="n">
        <x:v>7.36</x:v>
      </x:c>
      <x:c r="S6" s="26" t="n">
        <x:v>262.85253</x:v>
      </x:c>
      <x:c r="T6" s="26" t="n">
        <x:v>0.00688</x:v>
      </x:c>
      <x:c r="U6" s="26" t="n">
        <x:v>269.49585</x:v>
      </x:c>
      <x:c r="V6" s="26" t="n">
        <x:v>0.01665</x:v>
      </x:c>
      <x:c r="W6" s="26" t="n">
        <x:v>272.21583</x:v>
      </x:c>
      <x:c r="X6" s="26" t="n">
        <x:v>0.02028</x:v>
      </x:c>
      <x:c r="Y6" s="26" t="n">
        <x:v>271.03496</x:v>
      </x:c>
      <x:c r="Z6" s="26" t="n">
        <x:v>3.03496</x:v>
      </x:c>
      <x:c r="AA6" s="26" t="n">
        <x:v>0.00644</x:v>
      </x:c>
      <x:c r="AB6" s="26" t="n">
        <x:v>0.01653</x:v>
      </x:c>
      <x:c r="AC6" s="26" t="n">
        <x:v>0.01362</x:v>
      </x:c>
      <x:c r="AD6" s="26" t="n">
        <x:v>0.02237</x:v>
      </x:c>
      <x:c r="AE6" s="26" t="n">
        <x:v>2.78</x:v>
      </x:c>
      <x:c r="AF6" s="26" t="str">
        <x:v>Y</x:v>
      </x:c>
      <x:c r="AG6" s="26" t="n">
        <x:v>0.0145</x:v>
      </x:c>
      <x:c r="AH6" s="26" t="n">
        <x:v>-18.74</x:v>
      </x:c>
      <x:c r="AI6" s="26" t="n">
        <x:v>0.088</x:v>
      </x:c>
      <x:c r="AJ6" s="26" t="n">
        <x:v>46.97</x:v>
      </x:c>
      <x:c r="AK6" s="26" t="n">
        <x:v>0.0202</x:v>
      </x:c>
      <x:c r="AL6" s="26" t="n">
        <x:v>153.88</x:v>
      </x:c>
      <x:c r="AM6" s="26" t="n">
        <x:v>0.082</x:v>
      </x:c>
      <x:c r="AN6" s="26" t="n">
        <x:v>48.88</x:v>
      </x:c>
      <x:c r="AO6" s="26" t="n">
        <x:v>0.02545</x:v>
      </x:c>
      <x:c r="AP6" s="26" t="n">
        <x:v>143.77</x:v>
      </x:c>
      <x:c r="AQ6" s="26" t="n">
        <x:v>0.082</x:v>
      </x:c>
      <x:c r="AR6" s="26" t="n">
        <x:v>33.47</x:v>
      </x:c>
      <x:c r="AS6" s="26" t="n">
        <x:v>0.03655</x:v>
      </x:c>
      <x:c r="AT6" s="26" t="n">
        <x:v>31.15</x:v>
      </x:c>
      <x:c r="AU6" s="26" t="n">
        <x:v>0.3968</x:v>
      </x:c>
      <x:c r="AV6" s="26" t="n">
        <x:v>0.5528</x:v>
      </x:c>
      <x:c r="AW6" s="26" t="n">
        <x:v>0.6963</x:v>
      </x:c>
      <x:c r="AX6" s="26" t="n">
        <x:v>0</x:v>
      </x:c>
    </x:row>
    <x:row r="7">
      <x:c r="A7" s="26" t="str">
        <x:v>K1</x:v>
      </x:c>
      <x:c r="B7" s="26" t="str">
        <x:v>Horizontal / flat</x:v>
      </x:c>
      <x:c r="C7" s="26" t="str">
        <x:v>Low</x:v>
      </x:c>
      <x:c r="D7" s="26" t="str">
        <x:v>Pasted text(20260812-094446).txt</x:v>
      </x:c>
      <x:c r="E7" s="26" t="str">
        <x:v>GAIN_SWEEP</x:v>
      </x:c>
      <x:c r="F7" s="26" t="n">
        <x:v>2</x:v>
      </x:c>
      <x:c r="G7" s="26" t="n">
        <x:v>2</x:v>
      </x:c>
      <x:c r="H7" s="26" t="n">
        <x:v>268</x:v>
      </x:c>
      <x:c r="I7" s="26" t="n">
        <x:v>2</x:v>
      </x:c>
      <x:c r="J7" s="26" t="n">
        <x:v>481.0973</x:v>
      </x:c>
      <x:c r="K7" s="26" t="n">
        <x:v>0.02208</x:v>
      </x:c>
      <x:c r="L7" s="26" t="n">
        <x:v>10.39</x:v>
      </x:c>
      <x:c r="M7" s="26" t="n">
        <x:v>101.43889</x:v>
      </x:c>
      <x:c r="N7" s="26" t="n">
        <x:v>0.05252</x:v>
      </x:c>
      <x:c r="O7" s="26" t="n">
        <x:v>13.98</x:v>
      </x:c>
      <x:c r="P7" s="26" t="n">
        <x:v>213.67175</x:v>
      </x:c>
      <x:c r="Q7" s="26" t="n">
        <x:v>0.03287</x:v>
      </x:c>
      <x:c r="R7" s="26" t="n">
        <x:v>7.25</x:v>
      </x:c>
      <x:c r="S7" s="26" t="n">
        <x:v>272.926</x:v>
      </x:c>
      <x:c r="T7" s="26" t="n">
        <x:v>0.01777</x:v>
      </x:c>
      <x:c r="U7" s="26" t="n">
        <x:v>265.7981</x:v>
      </x:c>
      <x:c r="V7" s="26" t="n">
        <x:v>0.01937</x:v>
      </x:c>
      <x:c r="W7" s="26" t="n">
        <x:v>273.18559</x:v>
      </x:c>
      <x:c r="X7" s="26" t="n">
        <x:v>0.02726</x:v>
      </x:c>
      <x:c r="Y7" s="26" t="n">
        <x:v>273.14733</x:v>
      </x:c>
      <x:c r="Z7" s="26" t="n">
        <x:v>5.14733</x:v>
      </x:c>
      <x:c r="AA7" s="26" t="n">
        <x:v>0.01777</x:v>
      </x:c>
      <x:c r="AB7" s="26" t="n">
        <x:v>0.01159</x:v>
      </x:c>
      <x:c r="AC7" s="26" t="n">
        <x:v>0.02726</x:v>
      </x:c>
      <x:c r="AD7" s="26" t="n">
        <x:v>0.03454</x:v>
      </x:c>
      <x:c r="AE7" s="26" t="n">
        <x:v>4.57</x:v>
      </x:c>
      <x:c r="AF7" s="26" t="str">
        <x:v>Z</x:v>
      </x:c>
      <x:c r="AG7" s="26" t="n">
        <x:v>0.01184</x:v>
      </x:c>
      <x:c r="AH7" s="26" t="n">
        <x:v>-58.74</x:v>
      </x:c>
      <x:c r="AI7" s="26" t="n">
        <x:v>0.075</x:v>
      </x:c>
      <x:c r="AJ7" s="26" t="n">
        <x:v>51.13</x:v>
      </x:c>
      <x:c r="AK7" s="26" t="n">
        <x:v>0.01696</x:v>
      </x:c>
      <x:c r="AL7" s="26" t="n">
        <x:v>-66.32</x:v>
      </x:c>
      <x:c r="AM7" s="26" t="n">
        <x:v>0.069</x:v>
      </x:c>
      <x:c r="AN7" s="26" t="n">
        <x:v>52.75</x:v>
      </x:c>
      <x:c r="AO7" s="26" t="n">
        <x:v>0.02904</x:v>
      </x:c>
      <x:c r="AP7" s="26" t="n">
        <x:v>-108</x:v>
      </x:c>
      <x:c r="AQ7" s="26" t="n">
        <x:v>0.094</x:v>
      </x:c>
      <x:c r="AR7" s="26" t="n">
        <x:v>45.35</x:v>
      </x:c>
      <x:c r="AS7" s="26" t="n">
        <x:v>0.03824</x:v>
      </x:c>
      <x:c r="AT7" s="26" t="n">
        <x:v>18.86</x:v>
      </x:c>
      <x:c r="AU7" s="26" t="n">
        <x:v>0.3097</x:v>
      </x:c>
      <x:c r="AV7" s="26" t="n">
        <x:v>0.4437</x:v>
      </x:c>
      <x:c r="AW7" s="26" t="n">
        <x:v>0.7595</x:v>
      </x:c>
      <x:c r="AX7" s="26" t="n">
        <x:v>0</x:v>
      </x:c>
    </x:row>
    <x:row r="8">
      <x:c r="A8" s="26" t="str">
        <x:v>K1</x:v>
      </x:c>
      <x:c r="B8" s="26" t="str">
        <x:v>Horizontal / flat</x:v>
      </x:c>
      <x:c r="C8" s="26" t="str">
        <x:v>Low</x:v>
      </x:c>
      <x:c r="D8" s="26" t="str">
        <x:v>Pasted text(20260812-094446).txt</x:v>
      </x:c>
      <x:c r="E8" s="26" t="str">
        <x:v>GAIN_SWEEP</x:v>
      </x:c>
      <x:c r="F8" s="26" t="n">
        <x:v>3</x:v>
      </x:c>
      <x:c r="G8" s="26" t="n">
        <x:v>1</x:v>
      </x:c>
      <x:c r="H8" s="26" t="n">
        <x:v>268</x:v>
      </x:c>
      <x:c r="I8" s="26" t="n">
        <x:v>3</x:v>
      </x:c>
      <x:c r="J8" s="26" t="n">
        <x:v>480.69491</x:v>
      </x:c>
      <x:c r="K8" s="26" t="n">
        <x:v>0.0353</x:v>
      </x:c>
      <x:c r="L8" s="26" t="n">
        <x:v>13.15</x:v>
      </x:c>
      <x:c r="M8" s="26" t="n">
        <x:v>184.8276</x:v>
      </x:c>
      <x:c r="N8" s="26" t="n">
        <x:v>0.06642</x:v>
      </x:c>
      <x:c r="O8" s="26" t="n">
        <x:v>15.92</x:v>
      </x:c>
      <x:c r="P8" s="26" t="n">
        <x:v>480.82451</x:v>
      </x:c>
      <x:c r="Q8" s="26" t="n">
        <x:v>0.04677</x:v>
      </x:c>
      <x:c r="R8" s="26" t="n">
        <x:v>9.85</x:v>
      </x:c>
      <x:c r="S8" s="26" t="n">
        <x:v>271.37428</x:v>
      </x:c>
      <x:c r="T8" s="26" t="n">
        <x:v>0.0124</x:v>
      </x:c>
      <x:c r="U8" s="26" t="n">
        <x:v>274.21875</x:v>
      </x:c>
      <x:c r="V8" s="26" t="n">
        <x:v>0.01379</x:v>
      </x:c>
      <x:c r="W8" s="26" t="n">
        <x:v>275.04032</x:v>
      </x:c>
      <x:c r="X8" s="26" t="n">
        <x:v>0.02643</x:v>
      </x:c>
      <x:c r="Y8" s="26" t="n">
        <x:v>275</x:v>
      </x:c>
      <x:c r="Z8" s="26" t="n">
        <x:v>7</x:v>
      </x:c>
      <x:c r="AA8" s="26" t="n">
        <x:v>0.00961</x:v>
      </x:c>
      <x:c r="AB8" s="26" t="n">
        <x:v>0.01379</x:v>
      </x:c>
      <x:c r="AC8" s="26" t="n">
        <x:v>0.02643</x:v>
      </x:c>
      <x:c r="AD8" s="26" t="n">
        <x:v>0.03132</x:v>
      </x:c>
      <x:c r="AE8" s="26" t="n">
        <x:v>2.87</x:v>
      </x:c>
      <x:c r="AF8" s="26" t="str">
        <x:v>Z</x:v>
      </x:c>
      <x:c r="AG8" s="26" t="n">
        <x:v>0.00996</x:v>
      </x:c>
      <x:c r="AH8" s="26" t="n">
        <x:v>104.6</x:v>
      </x:c>
      <x:c r="AI8" s="26" t="n">
        <x:v>0.059</x:v>
      </x:c>
      <x:c r="AJ8" s="26" t="n">
        <x:v>49.03</x:v>
      </x:c>
      <x:c r="AK8" s="26" t="n">
        <x:v>0.02435</x:v>
      </x:c>
      <x:c r="AL8" s="26" t="n">
        <x:v>-118.2</x:v>
      </x:c>
      <x:c r="AM8" s="26" t="n">
        <x:v>0.095</x:v>
      </x:c>
      <x:c r="AN8" s="26" t="n">
        <x:v>17.42</x:v>
      </x:c>
      <x:c r="AO8" s="26" t="n">
        <x:v>0.02224</x:v>
      </x:c>
      <x:c r="AP8" s="26" t="n">
        <x:v>-175.26</x:v>
      </x:c>
      <x:c r="AQ8" s="26" t="n">
        <x:v>0.067</x:v>
      </x:c>
      <x:c r="AR8" s="26" t="n">
        <x:v>71.17</x:v>
      </x:c>
      <x:c r="AS8" s="26" t="n">
        <x:v>0.03646</x:v>
      </x:c>
      <x:c r="AT8" s="26" t="n">
        <x:v>29.29</x:v>
      </x:c>
      <x:c r="AU8" s="26" t="n">
        <x:v>0.2731</x:v>
      </x:c>
      <x:c r="AV8" s="26" t="n">
        <x:v>0.6679</x:v>
      </x:c>
      <x:c r="AW8" s="26" t="n">
        <x:v>0.6099</x:v>
      </x:c>
      <x:c r="AX8" s="26" t="n">
        <x:v>0</x:v>
      </x:c>
    </x:row>
    <x:row r="9">
      <x:c r="A9" s="26" t="str">
        <x:v>K1</x:v>
      </x:c>
      <x:c r="B9" s="26" t="str">
        <x:v>Horizontal / flat</x:v>
      </x:c>
      <x:c r="C9" s="26" t="str">
        <x:v>Low</x:v>
      </x:c>
      <x:c r="D9" s="26" t="str">
        <x:v>Pasted text(20260812-094446).txt</x:v>
      </x:c>
      <x:c r="E9" s="26" t="str">
        <x:v>GAIN_SWEEP</x:v>
      </x:c>
      <x:c r="F9" s="26" t="n">
        <x:v>3</x:v>
      </x:c>
      <x:c r="G9" s="26" t="n">
        <x:v>2</x:v>
      </x:c>
      <x:c r="H9" s="26" t="n">
        <x:v>268</x:v>
      </x:c>
      <x:c r="I9" s="26" t="n">
        <x:v>3</x:v>
      </x:c>
      <x:c r="J9" s="26" t="n">
        <x:v>480.72139</x:v>
      </x:c>
      <x:c r="K9" s="26" t="n">
        <x:v>0.03408</x:v>
      </x:c>
      <x:c r="L9" s="26" t="n">
        <x:v>12.36</x:v>
      </x:c>
      <x:c r="M9" s="26" t="n">
        <x:v>184.7628</x:v>
      </x:c>
      <x:c r="N9" s="26" t="n">
        <x:v>0.05885</x:v>
      </x:c>
      <x:c r="O9" s="26" t="n">
        <x:v>14.02</x:v>
      </x:c>
      <x:c r="P9" s="26" t="n">
        <x:v>54.84423</x:v>
      </x:c>
      <x:c r="Q9" s="26" t="n">
        <x:v>0.07901</x:v>
      </x:c>
      <x:c r="R9" s="26" t="n">
        <x:v>13.87</x:v>
      </x:c>
      <x:c r="S9" s="26" t="n">
        <x:v>275.78125</x:v>
      </x:c>
      <x:c r="T9" s="26" t="n">
        <x:v>0.00926</x:v>
      </x:c>
      <x:c r="U9" s="26" t="n">
        <x:v>269.11138</x:v>
      </x:c>
      <x:c r="V9" s="26" t="n">
        <x:v>0.01513</x:v>
      </x:c>
      <x:c r="W9" s="26" t="n">
        <x:v>271.17107</x:v>
      </x:c>
      <x:c r="X9" s="26" t="n">
        <x:v>0.02033</x:v>
      </x:c>
      <x:c r="Y9" s="26" t="n">
        <x:v>271.34753</x:v>
      </x:c>
      <x:c r="Z9" s="26" t="n">
        <x:v>3.34753</x:v>
      </x:c>
      <x:c r="AA9" s="26" t="n">
        <x:v>0.00631</x:v>
      </x:c>
      <x:c r="AB9" s="26" t="n">
        <x:v>0.01413</x:v>
      </x:c>
      <x:c r="AC9" s="26" t="n">
        <x:v>0.02033</x:v>
      </x:c>
      <x:c r="AD9" s="26" t="n">
        <x:v>0.02555</x:v>
      </x:c>
      <x:c r="AE9" s="26" t="n">
        <x:v>3.21</x:v>
      </x:c>
      <x:c r="AF9" s="26" t="str">
        <x:v>Z</x:v>
      </x:c>
      <x:c r="AG9" s="26" t="n">
        <x:v>0.01151</x:v>
      </x:c>
      <x:c r="AH9" s="26" t="n">
        <x:v>-140.87</x:v>
      </x:c>
      <x:c r="AI9" s="26" t="n">
        <x:v>0.066</x:v>
      </x:c>
      <x:c r="AJ9" s="26" t="n">
        <x:v>51.95</x:v>
      </x:c>
      <x:c r="AK9" s="26" t="n">
        <x:v>0.01582</x:v>
      </x:c>
      <x:c r="AL9" s="26" t="n">
        <x:v>-64.02</x:v>
      </x:c>
      <x:c r="AM9" s="26" t="n">
        <x:v>0.063</x:v>
      </x:c>
      <x:c r="AN9" s="26" t="n">
        <x:v>83.15</x:v>
      </x:c>
      <x:c r="AO9" s="26" t="n">
        <x:v>0.02195</x:v>
      </x:c>
      <x:c r="AP9" s="26" t="n">
        <x:v>165.23</x:v>
      </x:c>
      <x:c r="AQ9" s="26" t="n">
        <x:v>0.067</x:v>
      </x:c>
      <x:c r="AR9" s="26" t="n">
        <x:v>54.75</x:v>
      </x:c>
      <x:c r="AS9" s="26" t="n">
        <x:v>0.03196</x:v>
      </x:c>
      <x:c r="AT9" s="26" t="n">
        <x:v>39.21</x:v>
      </x:c>
      <x:c r="AU9" s="26" t="n">
        <x:v>0.3601</x:v>
      </x:c>
      <x:c r="AV9" s="26" t="n">
        <x:v>0.4951</x:v>
      </x:c>
      <x:c r="AW9" s="26" t="n">
        <x:v>0.6867</x:v>
      </x:c>
      <x:c r="AX9" s="26" t="n">
        <x:v>0</x:v>
      </x:c>
    </x:row>
    <x:row r="10">
      <x:c r="A10" s="26" t="str">
        <x:v>K1</x:v>
      </x:c>
      <x:c r="B10" s="26" t="str">
        <x:v>Horizontal / flat</x:v>
      </x:c>
      <x:c r="C10" s="26" t="str">
        <x:v>Low</x:v>
      </x:c>
      <x:c r="D10" s="26" t="str">
        <x:v>Pasted text(20260812-094446).txt</x:v>
      </x:c>
      <x:c r="E10" s="26" t="str">
        <x:v>GAIN_SWEEP</x:v>
      </x:c>
      <x:c r="F10" s="26" t="n">
        <x:v>4</x:v>
      </x:c>
      <x:c r="G10" s="26" t="n">
        <x:v>1</x:v>
      </x:c>
      <x:c r="H10" s="26" t="n">
        <x:v>268</x:v>
      </x:c>
      <x:c r="I10" s="26" t="n">
        <x:v>4</x:v>
      </x:c>
      <x:c r="J10" s="26" t="n">
        <x:v>481.03385</x:v>
      </x:c>
      <x:c r="K10" s="26" t="n">
        <x:v>0.0412</x:v>
      </x:c>
      <x:c r="L10" s="26" t="n">
        <x:v>14.32</x:v>
      </x:c>
      <x:c r="M10" s="26" t="n">
        <x:v>185.4378</x:v>
      </x:c>
      <x:c r="N10" s="26" t="n">
        <x:v>0.11632</x:v>
      </x:c>
      <x:c r="O10" s="26" t="n">
        <x:v>20.24</x:v>
      </x:c>
      <x:c r="P10" s="26" t="n">
        <x:v>481.13337</x:v>
      </x:c>
      <x:c r="Q10" s="26" t="n">
        <x:v>0.04748</x:v>
      </x:c>
      <x:c r="R10" s="26" t="n">
        <x:v>10.18</x:v>
      </x:c>
      <x:c r="S10" s="26" t="n">
        <x:v>273.76244</x:v>
      </x:c>
      <x:c r="T10" s="26" t="n">
        <x:v>0.01969</x:v>
      </x:c>
      <x:c r="U10" s="26" t="n">
        <x:v>269.932</x:v>
      </x:c>
      <x:c r="V10" s="26" t="n">
        <x:v>0.01989</x:v>
      </x:c>
      <x:c r="W10" s="26" t="n">
        <x:v>273.91012</x:v>
      </x:c>
      <x:c r="X10" s="26" t="n">
        <x:v>0.02804</x:v>
      </x:c>
      <x:c r="Y10" s="26" t="n">
        <x:v>273.79356</x:v>
      </x:c>
      <x:c r="Z10" s="26" t="n">
        <x:v>5.79356</x:v>
      </x:c>
      <x:c r="AA10" s="26" t="n">
        <x:v>0.01969</x:v>
      </x:c>
      <x:c r="AB10" s="26" t="n">
        <x:v>0.01414</x:v>
      </x:c>
      <x:c r="AC10" s="26" t="n">
        <x:v>0.02804</x:v>
      </x:c>
      <x:c r="AD10" s="26" t="n">
        <x:v>0.03706</x:v>
      </x:c>
      <x:c r="AE10" s="26" t="n">
        <x:v>5.97</x:v>
      </x:c>
      <x:c r="AF10" s="26" t="str">
        <x:v>Z</x:v>
      </x:c>
      <x:c r="AG10" s="26" t="n">
        <x:v>0.01022</x:v>
      </x:c>
      <x:c r="AH10" s="26" t="n">
        <x:v>-160.49</x:v>
      </x:c>
      <x:c r="AI10" s="26" t="n">
        <x:v>0.056</x:v>
      </x:c>
      <x:c r="AJ10" s="26" t="n">
        <x:v>26.46</x:v>
      </x:c>
      <x:c r="AK10" s="26" t="n">
        <x:v>0.02137</x:v>
      </x:c>
      <x:c r="AL10" s="26" t="n">
        <x:v>-127.27</x:v>
      </x:c>
      <x:c r="AM10" s="26" t="n">
        <x:v>0.075</x:v>
      </x:c>
      <x:c r="AN10" s="26" t="n">
        <x:v>42.98</x:v>
      </x:c>
      <x:c r="AO10" s="26" t="n">
        <x:v>0.03751</x:v>
      </x:c>
      <x:c r="AP10" s="26" t="n">
        <x:v>179.18</x:v>
      </x:c>
      <x:c r="AQ10" s="26" t="n">
        <x:v>0.117</x:v>
      </x:c>
      <x:c r="AR10" s="26" t="n">
        <x:v>56.22</x:v>
      </x:c>
      <x:c r="AS10" s="26" t="n">
        <x:v>0.04582</x:v>
      </x:c>
      <x:c r="AT10" s="26" t="n">
        <x:v>42.12</x:v>
      </x:c>
      <x:c r="AU10" s="26" t="n">
        <x:v>0.2232</x:v>
      </x:c>
      <x:c r="AV10" s="26" t="n">
        <x:v>0.4665</x:v>
      </x:c>
      <x:c r="AW10" s="26" t="n">
        <x:v>0.8186</x:v>
      </x:c>
      <x:c r="AX10" s="26" t="n">
        <x:v>0</x:v>
      </x:c>
    </x:row>
    <x:row r="11">
      <x:c r="A11" s="26" t="str">
        <x:v>K1</x:v>
      </x:c>
      <x:c r="B11" s="26" t="str">
        <x:v>Horizontal / flat</x:v>
      </x:c>
      <x:c r="C11" s="26" t="str">
        <x:v>Low</x:v>
      </x:c>
      <x:c r="D11" s="26" t="str">
        <x:v>Pasted text(20260812-094446).txt</x:v>
      </x:c>
      <x:c r="E11" s="26" t="str">
        <x:v>GAIN_SWEEP</x:v>
      </x:c>
      <x:c r="F11" s="26" t="n">
        <x:v>4</x:v>
      </x:c>
      <x:c r="G11" s="26" t="n">
        <x:v>2</x:v>
      </x:c>
      <x:c r="H11" s="26" t="n">
        <x:v>268</x:v>
      </x:c>
      <x:c r="I11" s="26" t="n">
        <x:v>4</x:v>
      </x:c>
      <x:c r="J11" s="26" t="n">
        <x:v>480.43129</x:v>
      </x:c>
      <x:c r="K11" s="26" t="n">
        <x:v>0.03908</x:v>
      </x:c>
      <x:c r="L11" s="26" t="n">
        <x:v>13.83</x:v>
      </x:c>
      <x:c r="M11" s="26" t="n">
        <x:v>184.59069</x:v>
      </x:c>
      <x:c r="N11" s="26" t="n">
        <x:v>0.1186</x:v>
      </x:c>
      <x:c r="O11" s="26" t="n">
        <x:v>20.25</x:v>
      </x:c>
      <x:c r="P11" s="26" t="n">
        <x:v>480.88938</x:v>
      </x:c>
      <x:c r="Q11" s="26" t="n">
        <x:v>0.03316</x:v>
      </x:c>
      <x:c r="R11" s="26" t="n">
        <x:v>7.26</x:v>
      </x:c>
      <x:c r="S11" s="26" t="n">
        <x:v>273.91146</x:v>
      </x:c>
      <x:c r="T11" s="26" t="n">
        <x:v>0.01098</x:v>
      </x:c>
      <x:c r="U11" s="26" t="n">
        <x:v>268.5129</x:v>
      </x:c>
      <x:c r="V11" s="26" t="n">
        <x:v>0.01952</x:v>
      </x:c>
      <x:c r="W11" s="26" t="n">
        <x:v>267.60334</x:v>
      </x:c>
      <x:c r="X11" s="26" t="n">
        <x:v>0.02249</x:v>
      </x:c>
      <x:c r="Y11" s="26" t="n">
        <x:v>268.20194</x:v>
      </x:c>
      <x:c r="Z11" s="26" t="n">
        <x:v>0.20194</x:v>
      </x:c>
      <x:c r="AA11" s="26" t="n">
        <x:v>0.00988</x:v>
      </x:c>
      <x:c r="AB11" s="26" t="n">
        <x:v>0.01952</x:v>
      </x:c>
      <x:c r="AC11" s="26" t="n">
        <x:v>0.01998</x:v>
      </x:c>
      <x:c r="AD11" s="26" t="n">
        <x:v>0.02963</x:v>
      </x:c>
      <x:c r="AE11" s="26" t="n">
        <x:v>5.67</x:v>
      </x:c>
      <x:c r="AF11" s="26" t="str">
        <x:v>Z</x:v>
      </x:c>
      <x:c r="AG11" s="26" t="n">
        <x:v>0.00961</x:v>
      </x:c>
      <x:c r="AH11" s="26" t="n">
        <x:v>164.48</x:v>
      </x:c>
      <x:c r="AI11" s="26" t="n">
        <x:v>0.052</x:v>
      </x:c>
      <x:c r="AJ11" s="26" t="n">
        <x:v>38.67</x:v>
      </x:c>
      <x:c r="AK11" s="26" t="n">
        <x:v>0.01971</x:v>
      </x:c>
      <x:c r="AL11" s="26" t="n">
        <x:v>-87.72</x:v>
      </x:c>
      <x:c r="AM11" s="26" t="n">
        <x:v>0.069</x:v>
      </x:c>
      <x:c r="AN11" s="26" t="n">
        <x:v>89.53</x:v>
      </x:c>
      <x:c r="AO11" s="26" t="n">
        <x:v>0.02584</x:v>
      </x:c>
      <x:c r="AP11" s="26" t="n">
        <x:v>144.17</x:v>
      </x:c>
      <x:c r="AQ11" s="26" t="n">
        <x:v>0.078</x:v>
      </x:c>
      <x:c r="AR11" s="26" t="n">
        <x:v>50.89</x:v>
      </x:c>
      <x:c r="AS11" s="26" t="n">
        <x:v>0.03573</x:v>
      </x:c>
      <x:c r="AT11" s="26" t="n">
        <x:v>51.45</x:v>
      </x:c>
      <x:c r="AU11" s="26" t="n">
        <x:v>0.269</x:v>
      </x:c>
      <x:c r="AV11" s="26" t="n">
        <x:v>0.5515</x:v>
      </x:c>
      <x:c r="AW11" s="26" t="n">
        <x:v>0.7233</x:v>
      </x:c>
      <x:c r="AX11" s="26" t="n">
        <x:v>0</x:v>
      </x:c>
    </x:row>
    <x:row r="12">
      <x:c r="A12" s="26" t="str">
        <x:v>K1</x:v>
      </x:c>
      <x:c r="B12" s="26" t="str">
        <x:v>Horizontal / flat</x:v>
      </x:c>
      <x:c r="C12" s="26" t="str">
        <x:v>Low</x:v>
      </x:c>
      <x:c r="D12" s="26" t="str">
        <x:v>Pasted text(20260812-094446).txt</x:v>
      </x:c>
      <x:c r="E12" s="26" t="str">
        <x:v>GAIN_SWEEP</x:v>
      </x:c>
      <x:c r="F12" s="26" t="n">
        <x:v>5</x:v>
      </x:c>
      <x:c r="G12" s="26" t="n">
        <x:v>1</x:v>
      </x:c>
      <x:c r="H12" s="26" t="n">
        <x:v>268</x:v>
      </x:c>
      <x:c r="I12" s="26" t="n">
        <x:v>5</x:v>
      </x:c>
      <x:c r="J12" s="26" t="n">
        <x:v>480.87026</x:v>
      </x:c>
      <x:c r="K12" s="26" t="n">
        <x:v>0.03205</x:v>
      </x:c>
      <x:c r="L12" s="26" t="n">
        <x:v>11.87</x:v>
      </x:c>
      <x:c r="M12" s="26" t="n">
        <x:v>184.85482</x:v>
      </x:c>
      <x:c r="N12" s="26" t="n">
        <x:v>0.06684</x:v>
      </x:c>
      <x:c r="O12" s="26" t="n">
        <x:v>15.57</x:v>
      </x:c>
      <x:c r="P12" s="26" t="n">
        <x:v>268.20852</x:v>
      </x:c>
      <x:c r="Q12" s="26" t="n">
        <x:v>0.03825</x:v>
      </x:c>
      <x:c r="R12" s="26" t="n">
        <x:v>8.56</x:v>
      </x:c>
      <x:c r="S12" s="26" t="n">
        <x:v>275.59376</x:v>
      </x:c>
      <x:c r="T12" s="26" t="n">
        <x:v>0.01252</x:v>
      </x:c>
      <x:c r="U12" s="26" t="n">
        <x:v>267.97797</x:v>
      </x:c>
      <x:c r="V12" s="26" t="n">
        <x:v>0.01669</x:v>
      </x:c>
      <x:c r="W12" s="26" t="n">
        <x:v>268.20852</x:v>
      </x:c>
      <x:c r="X12" s="26" t="n">
        <x:v>0.03825</x:v>
      </x:c>
      <x:c r="Y12" s="26" t="n">
        <x:v>268.20625</x:v>
      </x:c>
      <x:c r="Z12" s="26" t="n">
        <x:v>0.20625</x:v>
      </x:c>
      <x:c r="AA12" s="26" t="n">
        <x:v>0.00904</x:v>
      </x:c>
      <x:c r="AB12" s="26" t="n">
        <x:v>0.01669</x:v>
      </x:c>
      <x:c r="AC12" s="26" t="n">
        <x:v>0.03825</x:v>
      </x:c>
      <x:c r="AD12" s="26" t="n">
        <x:v>0.0427</x:v>
      </x:c>
      <x:c r="AE12" s="26" t="n">
        <x:v>5.89</x:v>
      </x:c>
      <x:c r="AF12" s="26" t="str">
        <x:v>Z</x:v>
      </x:c>
      <x:c r="AG12" s="26" t="n">
        <x:v>0.01188</x:v>
      </x:c>
      <x:c r="AH12" s="26" t="n">
        <x:v>162.04</x:v>
      </x:c>
      <x:c r="AI12" s="26" t="n">
        <x:v>0.068</x:v>
      </x:c>
      <x:c r="AJ12" s="26" t="n">
        <x:v>53.93</x:v>
      </x:c>
      <x:c r="AK12" s="26" t="n">
        <x:v>0.02228</x:v>
      </x:c>
      <x:c r="AL12" s="26" t="n">
        <x:v>-115.85</x:v>
      </x:c>
      <x:c r="AM12" s="26" t="n">
        <x:v>0.082</x:v>
      </x:c>
      <x:c r="AN12" s="26" t="n">
        <x:v>58.33</x:v>
      </x:c>
      <x:c r="AO12" s="26" t="n">
        <x:v>0.04925</x:v>
      </x:c>
      <x:c r="AP12" s="26" t="n">
        <x:v>164.58</x:v>
      </x:c>
      <x:c r="AQ12" s="26" t="n">
        <x:v>0.151</x:v>
      </x:c>
      <x:c r="AR12" s="26" t="n">
        <x:v>20.24</x:v>
      </x:c>
      <x:c r="AS12" s="26" t="n">
        <x:v>0.05693</x:v>
      </x:c>
      <x:c r="AT12" s="26" t="n">
        <x:v>16.42</x:v>
      </x:c>
      <x:c r="AU12" s="26" t="n">
        <x:v>0.2086</x:v>
      </x:c>
      <x:c r="AV12" s="26" t="n">
        <x:v>0.3915</x:v>
      </x:c>
      <x:c r="AW12" s="26" t="n">
        <x:v>0.8651</x:v>
      </x:c>
      <x:c r="AX12" s="26" t="n">
        <x:v>1</x:v>
      </x:c>
    </x:row>
    <x:row r="13">
      <x:c r="A13" s="26" t="str">
        <x:v>K1</x:v>
      </x:c>
      <x:c r="B13" s="26" t="str">
        <x:v>Horizontal / flat</x:v>
      </x:c>
      <x:c r="C13" s="26" t="str">
        <x:v>Low</x:v>
      </x:c>
      <x:c r="D13" s="26" t="str">
        <x:v>Pasted text(20260812-094446).txt</x:v>
      </x:c>
      <x:c r="E13" s="26" t="str">
        <x:v>GAIN_SWEEP</x:v>
      </x:c>
      <x:c r="F13" s="26" t="n">
        <x:v>5</x:v>
      </x:c>
      <x:c r="G13" s="26" t="n">
        <x:v>2</x:v>
      </x:c>
      <x:c r="H13" s="26" t="n">
        <x:v>268</x:v>
      </x:c>
      <x:c r="I13" s="26" t="n">
        <x:v>5</x:v>
      </x:c>
      <x:c r="J13" s="26" t="n">
        <x:v>480.85206</x:v>
      </x:c>
      <x:c r="K13" s="26" t="n">
        <x:v>0.03573</x:v>
      </x:c>
      <x:c r="L13" s="26" t="n">
        <x:v>13.78</x:v>
      </x:c>
      <x:c r="M13" s="26" t="n">
        <x:v>185.03881</x:v>
      </x:c>
      <x:c r="N13" s="26" t="n">
        <x:v>0.06901</x:v>
      </x:c>
      <x:c r="O13" s="26" t="n">
        <x:v>15.74</x:v>
      </x:c>
      <x:c r="P13" s="26" t="n">
        <x:v>268.10642</x:v>
      </x:c>
      <x:c r="Q13" s="26" t="n">
        <x:v>0.05183</x:v>
      </x:c>
      <x:c r="R13" s="26" t="n">
        <x:v>11.2</x:v>
      </x:c>
      <x:c r="S13" s="26" t="n">
        <x:v>265.2941</x:v>
      </x:c>
      <x:c r="T13" s="26" t="n">
        <x:v>0.01191</x:v>
      </x:c>
      <x:c r="U13" s="26" t="n">
        <x:v>267.39203</x:v>
      </x:c>
      <x:c r="V13" s="26" t="n">
        <x:v>0.0136</x:v>
      </x:c>
      <x:c r="W13" s="26" t="n">
        <x:v>268.10642</x:v>
      </x:c>
      <x:c r="X13" s="26" t="n">
        <x:v>0.05183</x:v>
      </x:c>
      <x:c r="Y13" s="26" t="n">
        <x:v>268.07785</x:v>
      </x:c>
      <x:c r="Z13" s="26" t="n">
        <x:v>0.07785</x:v>
      </x:c>
      <x:c r="AA13" s="26" t="n">
        <x:v>0.00631</x:v>
      </x:c>
      <x:c r="AB13" s="26" t="n">
        <x:v>0.0093</x:v>
      </x:c>
      <x:c r="AC13" s="26" t="n">
        <x:v>0.05183</x:v>
      </x:c>
      <x:c r="AD13" s="26" t="n">
        <x:v>0.05303</x:v>
      </x:c>
      <x:c r="AE13" s="26" t="n">
        <x:v>10.29</x:v>
      </x:c>
      <x:c r="AF13" s="26" t="str">
        <x:v>Z</x:v>
      </x:c>
      <x:c r="AG13" s="26" t="n">
        <x:v>0.01269</x:v>
      </x:c>
      <x:c r="AH13" s="26" t="n">
        <x:v>8.19</x:v>
      </x:c>
      <x:c r="AI13" s="26" t="n">
        <x:v>0.077</x:v>
      </x:c>
      <x:c r="AJ13" s="26" t="n">
        <x:v>94.23</x:v>
      </x:c>
      <x:c r="AK13" s="26" t="n">
        <x:v>0.0236</x:v>
      </x:c>
      <x:c r="AL13" s="26" t="n">
        <x:v>-133.21</x:v>
      </x:c>
      <x:c r="AM13" s="26" t="n">
        <x:v>0.09</x:v>
      </x:c>
      <x:c r="AN13" s="26" t="n">
        <x:v>12.24</x:v>
      </x:c>
      <x:c r="AO13" s="26" t="n">
        <x:v>0.03989</x:v>
      </x:c>
      <x:c r="AP13" s="26" t="n">
        <x:v>141.75</x:v>
      </x:c>
      <x:c r="AQ13" s="26" t="n">
        <x:v>0.127</x:v>
      </x:c>
      <x:c r="AR13" s="26" t="n">
        <x:v>33.13</x:v>
      </x:c>
      <x:c r="AS13" s="26" t="n">
        <x:v>0.0497</x:v>
      </x:c>
      <x:c r="AT13" s="26" t="n">
        <x:v>22.47</x:v>
      </x:c>
      <x:c r="AU13" s="26" t="n">
        <x:v>0.2554</x:v>
      </x:c>
      <x:c r="AV13" s="26" t="n">
        <x:v>0.4749</x:v>
      </x:c>
      <x:c r="AW13" s="26" t="n">
        <x:v>0.8026</x:v>
      </x:c>
      <x:c r="AX13" s="26" t="n">
        <x:v>1</x:v>
      </x:c>
    </x:row>
    <x:row r="14">
      <x:c r="A14" s="26" t="str">
        <x:v>K1</x:v>
      </x:c>
      <x:c r="B14" s="26" t="str">
        <x:v>Horizontal / flat</x:v>
      </x:c>
      <x:c r="C14" s="26" t="str">
        <x:v>Low</x:v>
      </x:c>
      <x:c r="D14" s="26" t="str">
        <x:v>Pasted text(20260812-094446).txt</x:v>
      </x:c>
      <x:c r="E14" s="26" t="str">
        <x:v>GAIN_SWEEP</x:v>
      </x:c>
      <x:c r="F14" s="26" t="n">
        <x:v>6</x:v>
      </x:c>
      <x:c r="G14" s="26" t="n">
        <x:v>1</x:v>
      </x:c>
      <x:c r="H14" s="26" t="n">
        <x:v>268</x:v>
      </x:c>
      <x:c r="I14" s="26" t="n">
        <x:v>6</x:v>
      </x:c>
      <x:c r="J14" s="26" t="n">
        <x:v>480.94715</x:v>
      </x:c>
      <x:c r="K14" s="26" t="n">
        <x:v>0.03363</x:v>
      </x:c>
      <x:c r="L14" s="26" t="n">
        <x:v>12.46</x:v>
      </x:c>
      <x:c r="M14" s="26" t="n">
        <x:v>480.82247</x:v>
      </x:c>
      <x:c r="N14" s="26" t="n">
        <x:v>0.04386</x:v>
      </x:c>
      <x:c r="O14" s="26" t="n">
        <x:v>12.08</x:v>
      </x:c>
      <x:c r="P14" s="26" t="n">
        <x:v>268.32243</x:v>
      </x:c>
      <x:c r="Q14" s="26" t="n">
        <x:v>0.05432</x:v>
      </x:c>
      <x:c r="R14" s="26" t="n">
        <x:v>11.37</x:v>
      </x:c>
      <x:c r="S14" s="26" t="n">
        <x:v>267.33775</x:v>
      </x:c>
      <x:c r="T14" s="26" t="n">
        <x:v>0.01329</x:v>
      </x:c>
      <x:c r="U14" s="26" t="n">
        <x:v>275.78125</x:v>
      </x:c>
      <x:c r="V14" s="26" t="n">
        <x:v>0.01635</x:v>
      </x:c>
      <x:c r="W14" s="26" t="n">
        <x:v>268.32243</x:v>
      </x:c>
      <x:c r="X14" s="26" t="n">
        <x:v>0.05432</x:v>
      </x:c>
      <x:c r="Y14" s="26" t="n">
        <x:v>268.30181</x:v>
      </x:c>
      <x:c r="Z14" s="26" t="n">
        <x:v>0.30181</x:v>
      </x:c>
      <x:c r="AA14" s="26" t="n">
        <x:v>0.011</x:v>
      </x:c>
      <x:c r="AB14" s="26" t="n">
        <x:v>0.01247</x:v>
      </x:c>
      <x:c r="AC14" s="26" t="n">
        <x:v>0.05432</x:v>
      </x:c>
      <x:c r="AD14" s="26" t="n">
        <x:v>0.05681</x:v>
      </x:c>
      <x:c r="AE14" s="26" t="n">
        <x:v>8.12</x:v>
      </x:c>
      <x:c r="AF14" s="26" t="str">
        <x:v>Z</x:v>
      </x:c>
      <x:c r="AG14" s="26" t="n">
        <x:v>0.0117</x:v>
      </x:c>
      <x:c r="AH14" s="26" t="n">
        <x:v>-21.16</x:v>
      </x:c>
      <x:c r="AI14" s="26" t="n">
        <x:v>0.068</x:v>
      </x:c>
      <x:c r="AJ14" s="26" t="n">
        <x:v>43.84</x:v>
      </x:c>
      <x:c r="AK14" s="26" t="n">
        <x:v>0.03344</x:v>
      </x:c>
      <x:c r="AL14" s="26" t="n">
        <x:v>-160.96</x:v>
      </x:c>
      <x:c r="AM14" s="26" t="n">
        <x:v>0.129</x:v>
      </x:c>
      <x:c r="AN14" s="26" t="n">
        <x:v>58.55</x:v>
      </x:c>
      <x:c r="AO14" s="26" t="n">
        <x:v>0.04559</x:v>
      </x:c>
      <x:c r="AP14" s="26" t="n">
        <x:v>167.32</x:v>
      </x:c>
      <x:c r="AQ14" s="26" t="n">
        <x:v>0.142</x:v>
      </x:c>
      <x:c r="AR14" s="26" t="n">
        <x:v>29</x:v>
      </x:c>
      <x:c r="AS14" s="26" t="n">
        <x:v>0.05957</x:v>
      </x:c>
      <x:c r="AT14" s="26" t="n">
        <x:v>29.86</x:v>
      </x:c>
      <x:c r="AU14" s="26" t="n">
        <x:v>0.1965</x:v>
      </x:c>
      <x:c r="AV14" s="26" t="n">
        <x:v>0.5614</x:v>
      </x:c>
      <x:c r="AW14" s="26" t="n">
        <x:v>0.7653</x:v>
      </x:c>
      <x:c r="AX14" s="26" t="n">
        <x:v>1</x:v>
      </x:c>
    </x:row>
    <x:row r="15">
      <x:c r="A15" s="26" t="str">
        <x:v>K1</x:v>
      </x:c>
      <x:c r="B15" s="26" t="str">
        <x:v>Horizontal / flat</x:v>
      </x:c>
      <x:c r="C15" s="26" t="str">
        <x:v>Low</x:v>
      </x:c>
      <x:c r="D15" s="26" t="str">
        <x:v>Pasted text(20260812-094446).txt</x:v>
      </x:c>
      <x:c r="E15" s="26" t="str">
        <x:v>GAIN_SWEEP</x:v>
      </x:c>
      <x:c r="F15" s="26" t="n">
        <x:v>6</x:v>
      </x:c>
      <x:c r="G15" s="26" t="n">
        <x:v>2</x:v>
      </x:c>
      <x:c r="H15" s="26" t="n">
        <x:v>268</x:v>
      </x:c>
      <x:c r="I15" s="26" t="n">
        <x:v>6</x:v>
      </x:c>
      <x:c r="J15" s="26" t="n">
        <x:v>480.95089</x:v>
      </x:c>
      <x:c r="K15" s="26" t="n">
        <x:v>0.03276</x:v>
      </x:c>
      <x:c r="L15" s="26" t="n">
        <x:v>13.08</x:v>
      </x:c>
      <x:c r="M15" s="26" t="n">
        <x:v>480.92943</x:v>
      </x:c>
      <x:c r="N15" s="26" t="n">
        <x:v>0.04593</x:v>
      </x:c>
      <x:c r="O15" s="26" t="n">
        <x:v>12.37</x:v>
      </x:c>
      <x:c r="P15" s="26" t="n">
        <x:v>481.09802</x:v>
      </x:c>
      <x:c r="Q15" s="26" t="n">
        <x:v>0.04592</x:v>
      </x:c>
      <x:c r="R15" s="26" t="n">
        <x:v>9.96</x:v>
      </x:c>
      <x:c r="S15" s="26" t="n">
        <x:v>272.35875</x:v>
      </x:c>
      <x:c r="T15" s="26" t="n">
        <x:v>0.01429</x:v>
      </x:c>
      <x:c r="U15" s="26" t="n">
        <x:v>268.65631</x:v>
      </x:c>
      <x:c r="V15" s="26" t="n">
        <x:v>0.02401</x:v>
      </x:c>
      <x:c r="W15" s="26" t="n">
        <x:v>267.97082</x:v>
      </x:c>
      <x:c r="X15" s="26" t="n">
        <x:v>0.04055</x:v>
      </x:c>
      <x:c r="Y15" s="26" t="n">
        <x:v>268.17021</x:v>
      </x:c>
      <x:c r="Z15" s="26" t="n">
        <x:v>0.17021</x:v>
      </x:c>
      <x:c r="AA15" s="26" t="n">
        <x:v>0.00491</x:v>
      </x:c>
      <x:c r="AB15" s="26" t="n">
        <x:v>0.02401</x:v>
      </x:c>
      <x:c r="AC15" s="26" t="n">
        <x:v>0.04055</x:v>
      </x:c>
      <x:c r="AD15" s="26" t="n">
        <x:v>0.04738</x:v>
      </x:c>
      <x:c r="AE15" s="26" t="n">
        <x:v>8.53</x:v>
      </x:c>
      <x:c r="AF15" s="26" t="str">
        <x:v>Z</x:v>
      </x:c>
      <x:c r="AG15" s="26" t="n">
        <x:v>0.00785</x:v>
      </x:c>
      <x:c r="AH15" s="26" t="n">
        <x:v>-20.44</x:v>
      </x:c>
      <x:c r="AI15" s="26" t="n">
        <x:v>0.044</x:v>
      </x:c>
      <x:c r="AJ15" s="26" t="n">
        <x:v>52.14</x:v>
      </x:c>
      <x:c r="AK15" s="26" t="n">
        <x:v>0.02371</x:v>
      </x:c>
      <x:c r="AL15" s="26" t="n">
        <x:v>-140.77</x:v>
      </x:c>
      <x:c r="AM15" s="26" t="n">
        <x:v>0.095</x:v>
      </x:c>
      <x:c r="AN15" s="26" t="n">
        <x:v>29.66</x:v>
      </x:c>
      <x:c r="AO15" s="26" t="n">
        <x:v>0.03609</x:v>
      </x:c>
      <x:c r="AP15" s="26" t="n">
        <x:v>162.02</x:v>
      </x:c>
      <x:c r="AQ15" s="26" t="n">
        <x:v>0.11</x:v>
      </x:c>
      <x:c r="AR15" s="26" t="n">
        <x:v>34.84</x:v>
      </x:c>
      <x:c r="AS15" s="26" t="n">
        <x:v>0.04461</x:v>
      </x:c>
      <x:c r="AT15" s="26" t="n">
        <x:v>26.99</x:v>
      </x:c>
      <x:c r="AU15" s="26" t="n">
        <x:v>0.176</x:v>
      </x:c>
      <x:c r="AV15" s="26" t="n">
        <x:v>0.5315</x:v>
      </x:c>
      <x:c r="AW15" s="26" t="n">
        <x:v>0.8091</x:v>
      </x:c>
      <x:c r="AX15" s="26" t="n">
        <x:v>1</x:v>
      </x:c>
    </x:row>
    <x:row r="16">
      <x:c r="A16" s="26" t="str">
        <x:v>K1</x:v>
      </x:c>
      <x:c r="B16" s="26" t="str">
        <x:v>Horizontal / flat</x:v>
      </x:c>
      <x:c r="C16" s="26" t="str">
        <x:v>Low</x:v>
      </x:c>
      <x:c r="D16" s="26" t="str">
        <x:v>Pasted text(20260812-094446).txt</x:v>
      </x:c>
      <x:c r="E16" s="26" t="str">
        <x:v>GAIN_SWEEP</x:v>
      </x:c>
      <x:c r="F16" s="26" t="n">
        <x:v>7</x:v>
      </x:c>
      <x:c r="G16" s="26" t="n">
        <x:v>1</x:v>
      </x:c>
      <x:c r="H16" s="26" t="n">
        <x:v>268</x:v>
      </x:c>
      <x:c r="I16" s="26" t="n">
        <x:v>7</x:v>
      </x:c>
      <x:c r="J16" s="26" t="n">
        <x:v>748.57766</x:v>
      </x:c>
      <x:c r="K16" s="26" t="n">
        <x:v>0.0202</x:v>
      </x:c>
      <x:c r="L16" s="26" t="n">
        <x:v>8.18</x:v>
      </x:c>
      <x:c r="M16" s="26" t="n">
        <x:v>101.22292</x:v>
      </x:c>
      <x:c r="N16" s="26" t="n">
        <x:v>0.0372</x:v>
      </x:c>
      <x:c r="O16" s="26" t="n">
        <x:v>10.85</x:v>
      </x:c>
      <x:c r="P16" s="26" t="n">
        <x:v>267.99073</x:v>
      </x:c>
      <x:c r="Q16" s="26" t="n">
        <x:v>0.05274</x:v>
      </x:c>
      <x:c r="R16" s="26" t="n">
        <x:v>11.98</x:v>
      </x:c>
      <x:c r="S16" s="26" t="n">
        <x:v>260.15625</x:v>
      </x:c>
      <x:c r="T16" s="26" t="n">
        <x:v>0.00961</x:v>
      </x:c>
      <x:c r="U16" s="26" t="n">
        <x:v>268.27272</x:v>
      </x:c>
      <x:c r="V16" s="26" t="n">
        <x:v>0.02071</x:v>
      </x:c>
      <x:c r="W16" s="26" t="n">
        <x:v>267.99073</x:v>
      </x:c>
      <x:c r="X16" s="26" t="n">
        <x:v>0.05274</x:v>
      </x:c>
      <x:c r="Y16" s="26" t="n">
        <x:v>268.01771</x:v>
      </x:c>
      <x:c r="Z16" s="26" t="n">
        <x:v>0.01771</x:v>
      </x:c>
      <x:c r="AA16" s="26" t="n">
        <x:v>0.00706</x:v>
      </x:c>
      <x:c r="AB16" s="26" t="n">
        <x:v>0.02071</x:v>
      </x:c>
      <x:c r="AC16" s="26" t="n">
        <x:v>0.05274</x:v>
      </x:c>
      <x:c r="AD16" s="26" t="n">
        <x:v>0.0571</x:v>
      </x:c>
      <x:c r="AE16" s="26" t="n">
        <x:v>8.98</x:v>
      </x:c>
      <x:c r="AF16" s="26" t="str">
        <x:v>Z</x:v>
      </x:c>
      <x:c r="AG16" s="26" t="n">
        <x:v>0.00919</x:v>
      </x:c>
      <x:c r="AH16" s="26" t="n">
        <x:v>-88.09</x:v>
      </x:c>
      <x:c r="AI16" s="26" t="n">
        <x:v>0.054</x:v>
      </x:c>
      <x:c r="AJ16" s="26" t="n">
        <x:v>55</x:v>
      </x:c>
      <x:c r="AK16" s="26" t="n">
        <x:v>0.02182</x:v>
      </x:c>
      <x:c r="AL16" s="26" t="n">
        <x:v>-147.48</x:v>
      </x:c>
      <x:c r="AM16" s="26" t="n">
        <x:v>0.088</x:v>
      </x:c>
      <x:c r="AN16" s="26" t="n">
        <x:v>57.25</x:v>
      </x:c>
      <x:c r="AO16" s="26" t="n">
        <x:v>0.05749</x:v>
      </x:c>
      <x:c r="AP16" s="26" t="n">
        <x:v>175.71</x:v>
      </x:c>
      <x:c r="AQ16" s="26" t="n">
        <x:v>0.185</x:v>
      </x:c>
      <x:c r="AR16" s="26" t="n">
        <x:v>16.56</x:v>
      </x:c>
      <x:c r="AS16" s="26" t="n">
        <x:v>0.06296</x:v>
      </x:c>
      <x:c r="AT16" s="26" t="n">
        <x:v>19.35</x:v>
      </x:c>
      <x:c r="AU16" s="26" t="n">
        <x:v>0.146</x:v>
      </x:c>
      <x:c r="AV16" s="26" t="n">
        <x:v>0.3465</x:v>
      </x:c>
      <x:c r="AW16" s="26" t="n">
        <x:v>0.9131</x:v>
      </x:c>
      <x:c r="AX16" s="26" t="n">
        <x:v>1</x:v>
      </x:c>
    </x:row>
    <x:row r="17">
      <x:c r="A17" s="26" t="str">
        <x:v>K1</x:v>
      </x:c>
      <x:c r="B17" s="26" t="str">
        <x:v>Horizontal / flat</x:v>
      </x:c>
      <x:c r="C17" s="26" t="str">
        <x:v>Low</x:v>
      </x:c>
      <x:c r="D17" s="26" t="str">
        <x:v>Pasted text(20260812-094446).txt</x:v>
      </x:c>
      <x:c r="E17" s="26" t="str">
        <x:v>GAIN_SWEEP</x:v>
      </x:c>
      <x:c r="F17" s="26" t="n">
        <x:v>7</x:v>
      </x:c>
      <x:c r="G17" s="26" t="n">
        <x:v>2</x:v>
      </x:c>
      <x:c r="H17" s="26" t="n">
        <x:v>268</x:v>
      </x:c>
      <x:c r="I17" s="26" t="n">
        <x:v>7</x:v>
      </x:c>
      <x:c r="J17" s="26" t="n">
        <x:v>748.68258</x:v>
      </x:c>
      <x:c r="K17" s="26" t="n">
        <x:v>0.02498</x:v>
      </x:c>
      <x:c r="L17" s="26" t="n">
        <x:v>10.51</x:v>
      </x:c>
      <x:c r="M17" s="26" t="n">
        <x:v>185.67112</x:v>
      </x:c>
      <x:c r="N17" s="26" t="n">
        <x:v>0.04797</x:v>
      </x:c>
      <x:c r="O17" s="26" t="n">
        <x:v>12.66</x:v>
      </x:c>
      <x:c r="P17" s="26" t="n">
        <x:v>268.18538</x:v>
      </x:c>
      <x:c r="Q17" s="26" t="n">
        <x:v>0.04943</x:v>
      </x:c>
      <x:c r="R17" s="26" t="n">
        <x:v>10.71</x:v>
      </x:c>
      <x:c r="S17" s="26" t="n">
        <x:v>266.36658</x:v>
      </x:c>
      <x:c r="T17" s="26" t="n">
        <x:v>0.00906</x:v>
      </x:c>
      <x:c r="U17" s="26" t="n">
        <x:v>267.87352</x:v>
      </x:c>
      <x:c r="V17" s="26" t="n">
        <x:v>0.02406</x:v>
      </x:c>
      <x:c r="W17" s="26" t="n">
        <x:v>268.18538</x:v>
      </x:c>
      <x:c r="X17" s="26" t="n">
        <x:v>0.04943</x:v>
      </x:c>
      <x:c r="Y17" s="26" t="n">
        <x:v>268.12994</x:v>
      </x:c>
      <x:c r="Z17" s="26" t="n">
        <x:v>0.12994</x:v>
      </x:c>
      <x:c r="AA17" s="26" t="n">
        <x:v>0.00582</x:v>
      </x:c>
      <x:c r="AB17" s="26" t="n">
        <x:v>0.02315</x:v>
      </x:c>
      <x:c r="AC17" s="26" t="n">
        <x:v>0.04943</x:v>
      </x:c>
      <x:c r="AD17" s="26" t="n">
        <x:v>0.05489</x:v>
      </x:c>
      <x:c r="AE17" s="26" t="n">
        <x:v>7.88</x:v>
      </x:c>
      <x:c r="AF17" s="26" t="str">
        <x:v>Z</x:v>
      </x:c>
      <x:c r="AG17" s="26" t="n">
        <x:v>0.00786</x:v>
      </x:c>
      <x:c r="AH17" s="26" t="n">
        <x:v>-101.63</x:v>
      </x:c>
      <x:c r="AI17" s="26" t="n">
        <x:v>0.047</x:v>
      </x:c>
      <x:c r="AJ17" s="26" t="n">
        <x:v>52.66</x:v>
      </x:c>
      <x:c r="AK17" s="26" t="n">
        <x:v>0.01965</x:v>
      </x:c>
      <x:c r="AL17" s="26" t="n">
        <x:v>-124.7</x:v>
      </x:c>
      <x:c r="AM17" s="26" t="n">
        <x:v>0.079</x:v>
      </x:c>
      <x:c r="AN17" s="26" t="n">
        <x:v>28.98</x:v>
      </x:c>
      <x:c r="AO17" s="26" t="n">
        <x:v>0.04754</x:v>
      </x:c>
      <x:c r="AP17" s="26" t="n">
        <x:v>154.42</x:v>
      </x:c>
      <x:c r="AQ17" s="26" t="n">
        <x:v>0.151</x:v>
      </x:c>
      <x:c r="AR17" s="26" t="n">
        <x:v>32.19</x:v>
      </x:c>
      <x:c r="AS17" s="26" t="n">
        <x:v>0.05318</x:v>
      </x:c>
      <x:c r="AT17" s="26" t="n">
        <x:v>21.75</x:v>
      </x:c>
      <x:c r="AU17" s="26" t="n">
        <x:v>0.1479</x:v>
      </x:c>
      <x:c r="AV17" s="26" t="n">
        <x:v>0.3696</x:v>
      </x:c>
      <x:c r="AW17" s="26" t="n">
        <x:v>0.8939</x:v>
      </x:c>
      <x:c r="AX17" s="26" t="n">
        <x:v>1</x:v>
      </x:c>
    </x:row>
    <x:row r="18">
      <x:c r="A18" s="26" t="str">
        <x:v>K1</x:v>
      </x:c>
      <x:c r="B18" s="26" t="str">
        <x:v>Horizontal / flat</x:v>
      </x:c>
      <x:c r="C18" s="26" t="str">
        <x:v>Low</x:v>
      </x:c>
      <x:c r="D18" s="26" t="str">
        <x:v>Pasted text(20260812-094446).txt</x:v>
      </x:c>
      <x:c r="E18" s="26" t="str">
        <x:v>GAIN_SWEEP</x:v>
      </x:c>
      <x:c r="F18" s="26" t="n">
        <x:v>8</x:v>
      </x:c>
      <x:c r="G18" s="26" t="n">
        <x:v>1</x:v>
      </x:c>
      <x:c r="H18" s="26" t="n">
        <x:v>268</x:v>
      </x:c>
      <x:c r="I18" s="26" t="n">
        <x:v>8</x:v>
      </x:c>
      <x:c r="J18" s="26" t="n">
        <x:v>481.0019</x:v>
      </x:c>
      <x:c r="K18" s="26" t="n">
        <x:v>0.02233</x:v>
      </x:c>
      <x:c r="L18" s="26" t="n">
        <x:v>9.76</x:v>
      </x:c>
      <x:c r="M18" s="26" t="n">
        <x:v>185.33704</x:v>
      </x:c>
      <x:c r="N18" s="26" t="n">
        <x:v>0.06241</x:v>
      </x:c>
      <x:c r="O18" s="26" t="n">
        <x:v>15.04</x:v>
      </x:c>
      <x:c r="P18" s="26" t="n">
        <x:v>268.29967</x:v>
      </x:c>
      <x:c r="Q18" s="26" t="n">
        <x:v>0.0621</x:v>
      </x:c>
      <x:c r="R18" s="26" t="n">
        <x:v>12.72</x:v>
      </x:c>
      <x:c r="S18" s="26" t="n">
        <x:v>267.16044</x:v>
      </x:c>
      <x:c r="T18" s="26" t="n">
        <x:v>0.01369</x:v>
      </x:c>
      <x:c r="U18" s="26" t="n">
        <x:v>267.80741</x:v>
      </x:c>
      <x:c r="V18" s="26" t="n">
        <x:v>0.02955</x:v>
      </x:c>
      <x:c r="W18" s="26" t="n">
        <x:v>268.29967</x:v>
      </x:c>
      <x:c r="X18" s="26" t="n">
        <x:v>0.0621</x:v>
      </x:c>
      <x:c r="Y18" s="26" t="n">
        <x:v>268.20053</x:v>
      </x:c>
      <x:c r="Z18" s="26" t="n">
        <x:v>0.20053</x:v>
      </x:c>
      <x:c r="AA18" s="26" t="n">
        <x:v>0.00899</x:v>
      </x:c>
      <x:c r="AB18" s="26" t="n">
        <x:v>0.02731</x:v>
      </x:c>
      <x:c r="AC18" s="26" t="n">
        <x:v>0.0621</x:v>
      </x:c>
      <x:c r="AD18" s="26" t="n">
        <x:v>0.06843</x:v>
      </x:c>
      <x:c r="AE18" s="26" t="n">
        <x:v>10.7</x:v>
      </x:c>
      <x:c r="AF18" s="26" t="str">
        <x:v>Z</x:v>
      </x:c>
      <x:c r="AG18" s="26" t="n">
        <x:v>0.01072</x:v>
      </x:c>
      <x:c r="AH18" s="26" t="n">
        <x:v>-50.54</x:v>
      </x:c>
      <x:c r="AI18" s="26" t="n">
        <x:v>0.064</x:v>
      </x:c>
      <x:c r="AJ18" s="26" t="n">
        <x:v>51.9</x:v>
      </x:c>
      <x:c r="AK18" s="26" t="n">
        <x:v>0.03141</x:v>
      </x:c>
      <x:c r="AL18" s="26" t="n">
        <x:v>-127.7</x:v>
      </x:c>
      <x:c r="AM18" s="26" t="n">
        <x:v>0.119</x:v>
      </x:c>
      <x:c r="AN18" s="26" t="n">
        <x:v>22.34</x:v>
      </x:c>
      <x:c r="AO18" s="26" t="n">
        <x:v>0.07036</x:v>
      </x:c>
      <x:c r="AP18" s="26" t="n">
        <x:v>162.74</x:v>
      </x:c>
      <x:c r="AQ18" s="26" t="n">
        <x:v>0.208</x:v>
      </x:c>
      <x:c r="AR18" s="26" t="n">
        <x:v>24.1</x:v>
      </x:c>
      <x:c r="AS18" s="26" t="n">
        <x:v>0.07858</x:v>
      </x:c>
      <x:c r="AT18" s="26" t="n">
        <x:v>18.62</x:v>
      </x:c>
      <x:c r="AU18" s="26" t="n">
        <x:v>0.1364</x:v>
      </x:c>
      <x:c r="AV18" s="26" t="n">
        <x:v>0.3997</x:v>
      </x:c>
      <x:c r="AW18" s="26" t="n">
        <x:v>0.8954</x:v>
      </x:c>
      <x:c r="AX18" s="26" t="n">
        <x:v>1</x:v>
      </x:c>
    </x:row>
    <x:row r="19">
      <x:c r="A19" s="26" t="str">
        <x:v>K1</x:v>
      </x:c>
      <x:c r="B19" s="26" t="str">
        <x:v>Horizontal / flat</x:v>
      </x:c>
      <x:c r="C19" s="26" t="str">
        <x:v>Low</x:v>
      </x:c>
      <x:c r="D19" s="26" t="str">
        <x:v>Pasted text(20260812-094446).txt</x:v>
      </x:c>
      <x:c r="E19" s="26" t="str">
        <x:v>GAIN_SWEEP</x:v>
      </x:c>
      <x:c r="F19" s="26" t="n">
        <x:v>8</x:v>
      </x:c>
      <x:c r="G19" s="26" t="n">
        <x:v>2</x:v>
      </x:c>
      <x:c r="H19" s="26" t="n">
        <x:v>268</x:v>
      </x:c>
      <x:c r="I19" s="26" t="n">
        <x:v>8</x:v>
      </x:c>
      <x:c r="J19" s="26" t="n">
        <x:v>480.87002</x:v>
      </x:c>
      <x:c r="K19" s="26" t="n">
        <x:v>0.02372</x:v>
      </x:c>
      <x:c r="L19" s="26" t="n">
        <x:v>9.9</x:v>
      </x:c>
      <x:c r="M19" s="26" t="n">
        <x:v>185.48036</x:v>
      </x:c>
      <x:c r="N19" s="26" t="n">
        <x:v>0.06674</x:v>
      </x:c>
      <x:c r="O19" s="26" t="n">
        <x:v>15.34</x:v>
      </x:c>
      <x:c r="P19" s="26" t="n">
        <x:v>268.02127</x:v>
      </x:c>
      <x:c r="Q19" s="26" t="n">
        <x:v>0.06698</x:v>
      </x:c>
      <x:c r="R19" s="26" t="n">
        <x:v>13.34</x:v>
      </x:c>
      <x:c r="S19" s="26" t="n">
        <x:v>270.33967</x:v>
      </x:c>
      <x:c r="T19" s="26" t="n">
        <x:v>0.01061</x:v>
      </x:c>
      <x:c r="U19" s="26" t="n">
        <x:v>267.75936</x:v>
      </x:c>
      <x:c r="V19" s="26" t="n">
        <x:v>0.03043</x:v>
      </x:c>
      <x:c r="W19" s="26" t="n">
        <x:v>268.02127</x:v>
      </x:c>
      <x:c r="X19" s="26" t="n">
        <x:v>0.06698</x:v>
      </x:c>
      <x:c r="Y19" s="26" t="n">
        <x:v>267.98328</x:v>
      </x:c>
      <x:c r="Z19" s="26" t="n">
        <x:v>-0.01672</x:v>
      </x:c>
      <x:c r="AA19" s="26" t="n">
        <x:v>0.00903</x:v>
      </x:c>
      <x:c r="AB19" s="26" t="n">
        <x:v>0.02781</x:v>
      </x:c>
      <x:c r="AC19" s="26" t="n">
        <x:v>0.06698</x:v>
      </x:c>
      <x:c r="AD19" s="26" t="n">
        <x:v>0.07309</x:v>
      </x:c>
      <x:c r="AE19" s="26" t="n">
        <x:v>10.08</x:v>
      </x:c>
      <x:c r="AF19" s="26" t="str">
        <x:v>Z</x:v>
      </x:c>
      <x:c r="AG19" s="26" t="n">
        <x:v>0.00883</x:v>
      </x:c>
      <x:c r="AH19" s="26" t="n">
        <x:v>-159.76</x:v>
      </x:c>
      <x:c r="AI19" s="26" t="n">
        <x:v>0.052</x:v>
      </x:c>
      <x:c r="AJ19" s="26" t="n">
        <x:v>48.99</x:v>
      </x:c>
      <x:c r="AK19" s="26" t="n">
        <x:v>0.0361</x:v>
      </x:c>
      <x:c r="AL19" s="26" t="n">
        <x:v>-137.09</x:v>
      </x:c>
      <x:c r="AM19" s="26" t="n">
        <x:v>0.139</x:v>
      </x:c>
      <x:c r="AN19" s="26" t="n">
        <x:v>22.31</x:v>
      </x:c>
      <x:c r="AO19" s="26" t="n">
        <x:v>0.07695</x:v>
      </x:c>
      <x:c r="AP19" s="26" t="n">
        <x:v>157.02</x:v>
      </x:c>
      <x:c r="AQ19" s="26" t="n">
        <x:v>0.231</x:v>
      </x:c>
      <x:c r="AR19" s="26" t="n">
        <x:v>27.87</x:v>
      </x:c>
      <x:c r="AS19" s="26" t="n">
        <x:v>0.08607</x:v>
      </x:c>
      <x:c r="AT19" s="26" t="n">
        <x:v>23.56</x:v>
      </x:c>
      <x:c r="AU19" s="26" t="n">
        <x:v>0.1025</x:v>
      </x:c>
      <x:c r="AV19" s="26" t="n">
        <x:v>0.4194</x:v>
      </x:c>
      <x:c r="AW19" s="26" t="n">
        <x:v>0.894</x:v>
      </x:c>
      <x:c r="AX19" s="26" t="n">
        <x:v>1</x:v>
      </x:c>
    </x:row>
    <x:row r="20">
      <x:c r="A20" s="26" t="str">
        <x:v>K1</x:v>
      </x:c>
      <x:c r="B20" s="26" t="str">
        <x:v>Horizontal / flat</x:v>
      </x:c>
      <x:c r="C20" s="26" t="str">
        <x:v>Low</x:v>
      </x:c>
      <x:c r="D20" s="26" t="str">
        <x:v>Pasted text(20260812-094446).txt</x:v>
      </x:c>
      <x:c r="E20" s="26" t="str">
        <x:v>GAIN_SWEEP</x:v>
      </x:c>
      <x:c r="F20" s="26" t="n">
        <x:v>9</x:v>
      </x:c>
      <x:c r="G20" s="26" t="n">
        <x:v>1</x:v>
      </x:c>
      <x:c r="H20" s="26" t="n">
        <x:v>268</x:v>
      </x:c>
      <x:c r="I20" s="26" t="n">
        <x:v>9</x:v>
      </x:c>
      <x:c r="J20" s="26" t="n">
        <x:v>565.83133</x:v>
      </x:c>
      <x:c r="K20" s="26" t="n">
        <x:v>0.0293</x:v>
      </x:c>
      <x:c r="L20" s="26" t="n">
        <x:v>12.51</x:v>
      </x:c>
      <x:c r="M20" s="26" t="n">
        <x:v>186.37932</x:v>
      </x:c>
      <x:c r="N20" s="26" t="n">
        <x:v>0.07029</x:v>
      </x:c>
      <x:c r="O20" s="26" t="n">
        <x:v>15.8</x:v>
      </x:c>
      <x:c r="P20" s="26" t="n">
        <x:v>268.15954</x:v>
      </x:c>
      <x:c r="Q20" s="26" t="n">
        <x:v>0.07015</x:v>
      </x:c>
      <x:c r="R20" s="26" t="n">
        <x:v>13.75</x:v>
      </x:c>
      <x:c r="S20" s="26" t="n">
        <x:v>269.86843</x:v>
      </x:c>
      <x:c r="T20" s="26" t="n">
        <x:v>0.00876</x:v>
      </x:c>
      <x:c r="U20" s="26" t="n">
        <x:v>268.46486</x:v>
      </x:c>
      <x:c r="V20" s="26" t="n">
        <x:v>0.03111</x:v>
      </x:c>
      <x:c r="W20" s="26" t="n">
        <x:v>268.15954</x:v>
      </x:c>
      <x:c r="X20" s="26" t="n">
        <x:v>0.07015</x:v>
      </x:c>
      <x:c r="Y20" s="26" t="n">
        <x:v>268.21548</x:v>
      </x:c>
      <x:c r="Z20" s="26" t="n">
        <x:v>0.21548</x:v>
      </x:c>
      <x:c r="AA20" s="26" t="n">
        <x:v>0.00747</x:v>
      </x:c>
      <x:c r="AB20" s="26" t="n">
        <x:v>0.03111</x:v>
      </x:c>
      <x:c r="AC20" s="26" t="n">
        <x:v>0.07015</x:v>
      </x:c>
      <x:c r="AD20" s="26" t="n">
        <x:v>0.07711</x:v>
      </x:c>
      <x:c r="AE20" s="26" t="n">
        <x:v>13.2</x:v>
      </x:c>
      <x:c r="AF20" s="26" t="str">
        <x:v>Z</x:v>
      </x:c>
      <x:c r="AG20" s="26" t="n">
        <x:v>0.01596</x:v>
      </x:c>
      <x:c r="AH20" s="26" t="n">
        <x:v>-104.57</x:v>
      </x:c>
      <x:c r="AI20" s="26" t="n">
        <x:v>0.092</x:v>
      </x:c>
      <x:c r="AJ20" s="26" t="n">
        <x:v>34.78</x:v>
      </x:c>
      <x:c r="AK20" s="26" t="n">
        <x:v>0.03718</x:v>
      </x:c>
      <x:c r="AL20" s="26" t="n">
        <x:v>-127.82</x:v>
      </x:c>
      <x:c r="AM20" s="26" t="n">
        <x:v>0.139</x:v>
      </x:c>
      <x:c r="AN20" s="26" t="n">
        <x:v>24.42</x:v>
      </x:c>
      <x:c r="AO20" s="26" t="n">
        <x:v>0.0953</x:v>
      </x:c>
      <x:c r="AP20" s="26" t="n">
        <x:v>169.48</x:v>
      </x:c>
      <x:c r="AQ20" s="26" t="n">
        <x:v>0.27</x:v>
      </x:c>
      <x:c r="AR20" s="26" t="n">
        <x:v>23.73</x:v>
      </x:c>
      <x:c r="AS20" s="26" t="n">
        <x:v>0.10437</x:v>
      </x:c>
      <x:c r="AT20" s="26" t="n">
        <x:v>19.37</x:v>
      </x:c>
      <x:c r="AU20" s="26" t="n">
        <x:v>0.1529</x:v>
      </x:c>
      <x:c r="AV20" s="26" t="n">
        <x:v>0.3562</x:v>
      </x:c>
      <x:c r="AW20" s="26" t="n">
        <x:v>0.9131</x:v>
      </x:c>
      <x:c r="AX20" s="26" t="n">
        <x:v>1</x:v>
      </x:c>
    </x:row>
    <x:row r="21">
      <x:c r="A21" s="26" t="str">
        <x:v>K1</x:v>
      </x:c>
      <x:c r="B21" s="26" t="str">
        <x:v>Horizontal / flat</x:v>
      </x:c>
      <x:c r="C21" s="26" t="str">
        <x:v>Low</x:v>
      </x:c>
      <x:c r="D21" s="26" t="str">
        <x:v>Pasted text(20260812-094446).txt</x:v>
      </x:c>
      <x:c r="E21" s="26" t="str">
        <x:v>GAIN_SWEEP</x:v>
      </x:c>
      <x:c r="F21" s="26" t="n">
        <x:v>9</x:v>
      </x:c>
      <x:c r="G21" s="26" t="n">
        <x:v>2</x:v>
      </x:c>
      <x:c r="H21" s="26" t="n">
        <x:v>268</x:v>
      </x:c>
      <x:c r="I21" s="26" t="n">
        <x:v>9</x:v>
      </x:c>
      <x:c r="J21" s="26" t="n">
        <x:v>564.82749</x:v>
      </x:c>
      <x:c r="K21" s="26" t="n">
        <x:v>0.03034</x:v>
      </x:c>
      <x:c r="L21" s="26" t="n">
        <x:v>11.88</x:v>
      </x:c>
      <x:c r="M21" s="26" t="n">
        <x:v>185.63175</x:v>
      </x:c>
      <x:c r="N21" s="26" t="n">
        <x:v>0.07384</x:v>
      </x:c>
      <x:c r="O21" s="26" t="n">
        <x:v>16.46</x:v>
      </x:c>
      <x:c r="P21" s="26" t="n">
        <x:v>268.03783</x:v>
      </x:c>
      <x:c r="Q21" s="26" t="n">
        <x:v>0.05916</x:v>
      </x:c>
      <x:c r="R21" s="26" t="n">
        <x:v>12.09</x:v>
      </x:c>
      <x:c r="S21" s="26" t="n">
        <x:v>268.81206</x:v>
      </x:c>
      <x:c r="T21" s="26" t="n">
        <x:v>0.0118</x:v>
      </x:c>
      <x:c r="U21" s="26" t="n">
        <x:v>268.21289</x:v>
      </x:c>
      <x:c r="V21" s="26" t="n">
        <x:v>0.0355</x:v>
      </x:c>
      <x:c r="W21" s="26" t="n">
        <x:v>268.03783</x:v>
      </x:c>
      <x:c r="X21" s="26" t="n">
        <x:v>0.05916</x:v>
      </x:c>
      <x:c r="Y21" s="26" t="n">
        <x:v>268.10373</x:v>
      </x:c>
      <x:c r="Z21" s="26" t="n">
        <x:v>0.10373</x:v>
      </x:c>
      <x:c r="AA21" s="26" t="n">
        <x:v>0.0118</x:v>
      </x:c>
      <x:c r="AB21" s="26" t="n">
        <x:v>0.0355</x:v>
      </x:c>
      <x:c r="AC21" s="26" t="n">
        <x:v>0.05916</x:v>
      </x:c>
      <x:c r="AD21" s="26" t="n">
        <x:v>0.07</x:v>
      </x:c>
      <x:c r="AE21" s="26" t="n">
        <x:v>11.41</x:v>
      </x:c>
      <x:c r="AF21" s="26" t="str">
        <x:v>Z</x:v>
      </x:c>
      <x:c r="AG21" s="26" t="n">
        <x:v>0.00838</x:v>
      </x:c>
      <x:c r="AH21" s="26" t="n">
        <x:v>-41.34</x:v>
      </x:c>
      <x:c r="AI21" s="26" t="n">
        <x:v>0.05</x:v>
      </x:c>
      <x:c r="AJ21" s="26" t="n">
        <x:v>27.9</x:v>
      </x:c>
      <x:c r="AK21" s="26" t="n">
        <x:v>0.03576</x:v>
      </x:c>
      <x:c r="AL21" s="26" t="n">
        <x:v>-116.38</x:v>
      </x:c>
      <x:c r="AM21" s="26" t="n">
        <x:v>0.131</x:v>
      </x:c>
      <x:c r="AN21" s="26" t="n">
        <x:v>34.31</x:v>
      </x:c>
      <x:c r="AO21" s="26" t="n">
        <x:v>0.07853</x:v>
      </x:c>
      <x:c r="AP21" s="26" t="n">
        <x:v>166.42</x:v>
      </x:c>
      <x:c r="AQ21" s="26" t="n">
        <x:v>0.23</x:v>
      </x:c>
      <x:c r="AR21" s="26" t="n">
        <x:v>13.29</x:v>
      </x:c>
      <x:c r="AS21" s="26" t="n">
        <x:v>0.08756</x:v>
      </x:c>
      <x:c r="AT21" s="26" t="n">
        <x:v>9.94</x:v>
      </x:c>
      <x:c r="AU21" s="26" t="n">
        <x:v>0.0957</x:v>
      </x:c>
      <x:c r="AV21" s="26" t="n">
        <x:v>0.4084</x:v>
      </x:c>
      <x:c r="AW21" s="26" t="n">
        <x:v>0.8968</x:v>
      </x:c>
      <x:c r="AX21" s="26" t="n">
        <x:v>1</x:v>
      </x:c>
    </x:row>
    <x:row r="22">
      <x:c r="A22" s="26" t="str">
        <x:v>K1</x:v>
      </x:c>
      <x:c r="B22" s="26" t="str">
        <x:v>Horizontal / flat</x:v>
      </x:c>
      <x:c r="C22" s="26" t="str">
        <x:v>Low</x:v>
      </x:c>
      <x:c r="D22" s="26" t="str">
        <x:v>Pasted text(20260812-094446).txt</x:v>
      </x:c>
      <x:c r="E22" s="26" t="str">
        <x:v>GAIN_SWEEP</x:v>
      </x:c>
      <x:c r="F22" s="26" t="n">
        <x:v>10</x:v>
      </x:c>
      <x:c r="G22" s="26" t="n">
        <x:v>1</x:v>
      </x:c>
      <x:c r="H22" s="26" t="n">
        <x:v>268</x:v>
      </x:c>
      <x:c r="I22" s="26" t="n">
        <x:v>10</x:v>
      </x:c>
      <x:c r="J22" s="26" t="n">
        <x:v>748.46946</x:v>
      </x:c>
      <x:c r="K22" s="26" t="n">
        <x:v>0.02705</x:v>
      </x:c>
      <x:c r="L22" s="26" t="n">
        <x:v>10.87</x:v>
      </x:c>
      <x:c r="M22" s="26" t="n">
        <x:v>184.61484</x:v>
      </x:c>
      <x:c r="N22" s="26" t="n">
        <x:v>0.09896</x:v>
      </x:c>
      <x:c r="O22" s="26" t="n">
        <x:v>18.86</x:v>
      </x:c>
      <x:c r="P22" s="26" t="n">
        <x:v>267.85722</x:v>
      </x:c>
      <x:c r="Q22" s="26" t="n">
        <x:v>0.07364</x:v>
      </x:c>
      <x:c r="R22" s="26" t="n">
        <x:v>14.56</x:v>
      </x:c>
      <x:c r="S22" s="26" t="n">
        <x:v>273.24764</x:v>
      </x:c>
      <x:c r="T22" s="26" t="n">
        <x:v>0.01284</x:v>
      </x:c>
      <x:c r="U22" s="26" t="n">
        <x:v>268.19342</x:v>
      </x:c>
      <x:c r="V22" s="26" t="n">
        <x:v>0.03581</x:v>
      </x:c>
      <x:c r="W22" s="26" t="n">
        <x:v>267.85722</x:v>
      </x:c>
      <x:c r="X22" s="26" t="n">
        <x:v>0.07364</x:v>
      </x:c>
      <x:c r="Y22" s="26" t="n">
        <x:v>267.92796</x:v>
      </x:c>
      <x:c r="Z22" s="26" t="n">
        <x:v>-0.07204</x:v>
      </x:c>
      <x:c r="AA22" s="26" t="n">
        <x:v>0.00818</x:v>
      </x:c>
      <x:c r="AB22" s="26" t="n">
        <x:v>0.03141</x:v>
      </x:c>
      <x:c r="AC22" s="26" t="n">
        <x:v>0.07364</x:v>
      </x:c>
      <x:c r="AD22" s="26" t="n">
        <x:v>0.08047</x:v>
      </x:c>
      <x:c r="AE22" s="26" t="n">
        <x:v>12.69</x:v>
      </x:c>
      <x:c r="AF22" s="26" t="str">
        <x:v>Z</x:v>
      </x:c>
      <x:c r="AG22" s="26" t="n">
        <x:v>0.01305</x:v>
      </x:c>
      <x:c r="AH22" s="26" t="n">
        <x:v>-158.45</x:v>
      </x:c>
      <x:c r="AI22" s="26" t="n">
        <x:v>0.079</x:v>
      </x:c>
      <x:c r="AJ22" s="26" t="n">
        <x:v>74.22</x:v>
      </x:c>
      <x:c r="AK22" s="26" t="n">
        <x:v>0.043</x:v>
      </x:c>
      <x:c r="AL22" s="26" t="n">
        <x:v>-124.5</x:v>
      </x:c>
      <x:c r="AM22" s="26" t="n">
        <x:v>0.152</x:v>
      </x:c>
      <x:c r="AN22" s="26" t="n">
        <x:v>31.31</x:v>
      </x:c>
      <x:c r="AO22" s="26" t="n">
        <x:v>0.09238</x:v>
      </x:c>
      <x:c r="AP22" s="26" t="n">
        <x:v>162.81</x:v>
      </x:c>
      <x:c r="AQ22" s="26" t="n">
        <x:v>0.282</x:v>
      </x:c>
      <x:c r="AR22" s="26" t="n">
        <x:v>19.36</x:v>
      </x:c>
      <x:c r="AS22" s="26" t="n">
        <x:v>0.10351</x:v>
      </x:c>
      <x:c r="AT22" s="26" t="n">
        <x:v>19.12</x:v>
      </x:c>
      <x:c r="AU22" s="26" t="n">
        <x:v>0.126</x:v>
      </x:c>
      <x:c r="AV22" s="26" t="n">
        <x:v>0.4154</x:v>
      </x:c>
      <x:c r="AW22" s="26" t="n">
        <x:v>0.8924</x:v>
      </x:c>
      <x:c r="AX22" s="26" t="n">
        <x:v>1</x:v>
      </x:c>
    </x:row>
    <x:row r="23">
      <x:c r="A23" s="26" t="str">
        <x:v>K1</x:v>
      </x:c>
      <x:c r="B23" s="26" t="str">
        <x:v>Horizontal / flat</x:v>
      </x:c>
      <x:c r="C23" s="26" t="str">
        <x:v>Low</x:v>
      </x:c>
      <x:c r="D23" s="26" t="str">
        <x:v>Pasted text(20260812-094446).txt</x:v>
      </x:c>
      <x:c r="E23" s="26" t="str">
        <x:v>GAIN_SWEEP</x:v>
      </x:c>
      <x:c r="F23" s="26" t="n">
        <x:v>10</x:v>
      </x:c>
      <x:c r="G23" s="26" t="n">
        <x:v>2</x:v>
      </x:c>
      <x:c r="H23" s="26" t="n">
        <x:v>268</x:v>
      </x:c>
      <x:c r="I23" s="26" t="n">
        <x:v>10</x:v>
      </x:c>
      <x:c r="J23" s="26" t="n">
        <x:v>480.86153</x:v>
      </x:c>
      <x:c r="K23" s="26" t="n">
        <x:v>0.02125</x:v>
      </x:c>
      <x:c r="L23" s="26" t="n">
        <x:v>8.68</x:v>
      </x:c>
      <x:c r="M23" s="26" t="n">
        <x:v>185.05963</x:v>
      </x:c>
      <x:c r="N23" s="26" t="n">
        <x:v>0.0817</x:v>
      </x:c>
      <x:c r="O23" s="26" t="n">
        <x:v>16.88</x:v>
      </x:c>
      <x:c r="P23" s="26" t="n">
        <x:v>268.11593</x:v>
      </x:c>
      <x:c r="Q23" s="26" t="n">
        <x:v>0.07178</x:v>
      </x:c>
      <x:c r="R23" s="26" t="n">
        <x:v>13.81</x:v>
      </x:c>
      <x:c r="S23" s="26" t="n">
        <x:v>273.24565</x:v>
      </x:c>
      <x:c r="T23" s="26" t="n">
        <x:v>0.01084</x:v>
      </x:c>
      <x:c r="U23" s="26" t="n">
        <x:v>267.86683</x:v>
      </x:c>
      <x:c r="V23" s="26" t="n">
        <x:v>0.03216</x:v>
      </x:c>
      <x:c r="W23" s="26" t="n">
        <x:v>268.11593</x:v>
      </x:c>
      <x:c r="X23" s="26" t="n">
        <x:v>0.07178</x:v>
      </x:c>
      <x:c r="Y23" s="26" t="n">
        <x:v>268.07366</x:v>
      </x:c>
      <x:c r="Z23" s="26" t="n">
        <x:v>0.07366</x:v>
      </x:c>
      <x:c r="AA23" s="26" t="n">
        <x:v>0.00445</x:v>
      </x:c>
      <x:c r="AB23" s="26" t="n">
        <x:v>0.03038</x:v>
      </x:c>
      <x:c r="AC23" s="26" t="n">
        <x:v>0.07178</x:v>
      </x:c>
      <x:c r="AD23" s="26" t="n">
        <x:v>0.07807</x:v>
      </x:c>
      <x:c r="AE23" s="26" t="n">
        <x:v>10.58</x:v>
      </x:c>
      <x:c r="AF23" s="26" t="str">
        <x:v>Z</x:v>
      </x:c>
      <x:c r="AG23" s="26" t="n">
        <x:v>0.00938</x:v>
      </x:c>
      <x:c r="AH23" s="26" t="n">
        <x:v>-125.44</x:v>
      </x:c>
      <x:c r="AI23" s="26" t="n">
        <x:v>0.055</x:v>
      </x:c>
      <x:c r="AJ23" s="26" t="n">
        <x:v>52.53</x:v>
      </x:c>
      <x:c r="AK23" s="26" t="n">
        <x:v>0.04621</x:v>
      </x:c>
      <x:c r="AL23" s="26" t="n">
        <x:v>-135.06</x:v>
      </x:c>
      <x:c r="AM23" s="26" t="n">
        <x:v>0.163</x:v>
      </x:c>
      <x:c r="AN23" s="26" t="n">
        <x:v>21.63</x:v>
      </x:c>
      <x:c r="AO23" s="26" t="n">
        <x:v>0.10337</x:v>
      </x:c>
      <x:c r="AP23" s="26" t="n">
        <x:v>170.28</x:v>
      </x:c>
      <x:c r="AQ23" s="26" t="n">
        <x:v>0.303</x:v>
      </x:c>
      <x:c r="AR23" s="26" t="n">
        <x:v>15.37</x:v>
      </x:c>
      <x:c r="AS23" s="26" t="n">
        <x:v>0.11455</x:v>
      </x:c>
      <x:c r="AT23" s="26" t="n">
        <x:v>9.07</x:v>
      </x:c>
      <x:c r="AU23" s="26" t="n">
        <x:v>0.0819</x:v>
      </x:c>
      <x:c r="AV23" s="26" t="n">
        <x:v>0.4034</x:v>
      </x:c>
      <x:c r="AW23" s="26" t="n">
        <x:v>0.9023</x:v>
      </x:c>
      <x:c r="AX23" s="26" t="n">
        <x:v>1</x:v>
      </x:c>
    </x:row>
    <x:row r="24">
      <x:c r="A24" s="26" t="str">
        <x:v>K1</x:v>
      </x:c>
      <x:c r="B24" s="26" t="str">
        <x:v>Horizontal / flat</x:v>
      </x:c>
      <x:c r="C24" s="26" t="str">
        <x:v>Low</x:v>
      </x:c>
      <x:c r="D24" s="26" t="str">
        <x:v>Pasted text(20260812-094446).txt</x:v>
      </x:c>
      <x:c r="E24" s="26" t="str">
        <x:v>GAIN_SWEEP</x:v>
      </x:c>
      <x:c r="F24" s="26" t="n">
        <x:v>11</x:v>
      </x:c>
      <x:c r="G24" s="26" t="n">
        <x:v>1</x:v>
      </x:c>
      <x:c r="H24" s="26" t="n">
        <x:v>268</x:v>
      </x:c>
      <x:c r="I24" s="26" t="n">
        <x:v>11</x:v>
      </x:c>
      <x:c r="J24" s="26" t="n">
        <x:v>396.86128</x:v>
      </x:c>
      <x:c r="K24" s="26" t="n">
        <x:v>0.0221</x:v>
      </x:c>
      <x:c r="L24" s="26" t="n">
        <x:v>9.75</x:v>
      </x:c>
      <x:c r="M24" s="26" t="n">
        <x:v>185.40518</x:v>
      </x:c>
      <x:c r="N24" s="26" t="n">
        <x:v>0.06923</x:v>
      </x:c>
      <x:c r="O24" s="26" t="n">
        <x:v>15.66</x:v>
      </x:c>
      <x:c r="P24" s="26" t="n">
        <x:v>267.70242</x:v>
      </x:c>
      <x:c r="Q24" s="26" t="n">
        <x:v>0.09125</x:v>
      </x:c>
      <x:c r="R24" s="26" t="n">
        <x:v>16.08</x:v>
      </x:c>
      <x:c r="S24" s="26" t="n">
        <x:v>275.02415</x:v>
      </x:c>
      <x:c r="T24" s="26" t="n">
        <x:v>0.01264</x:v>
      </x:c>
      <x:c r="U24" s="26" t="n">
        <x:v>268.37191</x:v>
      </x:c>
      <x:c r="V24" s="26" t="n">
        <x:v>0.0443</x:v>
      </x:c>
      <x:c r="W24" s="26" t="n">
        <x:v>267.70242</x:v>
      </x:c>
      <x:c r="X24" s="26" t="n">
        <x:v>0.09125</x:v>
      </x:c>
      <x:c r="Y24" s="26" t="n">
        <x:v>267.8153</x:v>
      </x:c>
      <x:c r="Z24" s="26" t="n">
        <x:v>-0.1847</x:v>
      </x:c>
      <x:c r="AA24" s="26" t="n">
        <x:v>0.00967</x:v>
      </x:c>
      <x:c r="AB24" s="26" t="n">
        <x:v>0.03535</x:v>
      </x:c>
      <x:c r="AC24" s="26" t="n">
        <x:v>0.09125</x:v>
      </x:c>
      <x:c r="AD24" s="26" t="n">
        <x:v>0.09833</x:v>
      </x:c>
      <x:c r="AE24" s="26" t="n">
        <x:v>13.16</x:v>
      </x:c>
      <x:c r="AF24" s="26" t="str">
        <x:v>Z</x:v>
      </x:c>
      <x:c r="AG24" s="26" t="n">
        <x:v>0.0165</x:v>
      </x:c>
      <x:c r="AH24" s="26" t="n">
        <x:v>-132.43</x:v>
      </x:c>
      <x:c r="AI24" s="26" t="n">
        <x:v>0.097</x:v>
      </x:c>
      <x:c r="AJ24" s="26" t="n">
        <x:v>59.73</x:v>
      </x:c>
      <x:c r="AK24" s="26" t="n">
        <x:v>0.04361</x:v>
      </x:c>
      <x:c r="AL24" s="26" t="n">
        <x:v>-123.59</x:v>
      </x:c>
      <x:c r="AM24" s="26" t="n">
        <x:v>0.16</x:v>
      </x:c>
      <x:c r="AN24" s="26" t="n">
        <x:v>20.41</x:v>
      </x:c>
      <x:c r="AO24" s="26" t="n">
        <x:v>0.09608</x:v>
      </x:c>
      <x:c r="AP24" s="26" t="n">
        <x:v>167.26</x:v>
      </x:c>
      <x:c r="AQ24" s="26" t="n">
        <x:v>0.287</x:v>
      </x:c>
      <x:c r="AR24" s="26" t="n">
        <x:v>9.23</x:v>
      </x:c>
      <x:c r="AS24" s="26" t="n">
        <x:v>0.10735</x:v>
      </x:c>
      <x:c r="AT24" s="26" t="n">
        <x:v>9.63</x:v>
      </x:c>
      <x:c r="AU24" s="26" t="n">
        <x:v>0.1537</x:v>
      </x:c>
      <x:c r="AV24" s="26" t="n">
        <x:v>0.4062</x:v>
      </x:c>
      <x:c r="AW24" s="26" t="n">
        <x:v>0.895</x:v>
      </x:c>
      <x:c r="AX24" s="26" t="n">
        <x:v>1</x:v>
      </x:c>
    </x:row>
    <x:row r="25">
      <x:c r="A25" s="26" t="str">
        <x:v>K1</x:v>
      </x:c>
      <x:c r="B25" s="26" t="str">
        <x:v>Horizontal / flat</x:v>
      </x:c>
      <x:c r="C25" s="26" t="str">
        <x:v>Low</x:v>
      </x:c>
      <x:c r="D25" s="26" t="str">
        <x:v>Pasted text(20260812-094446).txt</x:v>
      </x:c>
      <x:c r="E25" s="26" t="str">
        <x:v>GAIN_SWEEP</x:v>
      </x:c>
      <x:c r="F25" s="26" t="n">
        <x:v>11</x:v>
      </x:c>
      <x:c r="G25" s="26" t="n">
        <x:v>2</x:v>
      </x:c>
      <x:c r="H25" s="26" t="n">
        <x:v>268</x:v>
      </x:c>
      <x:c r="I25" s="26" t="n">
        <x:v>11</x:v>
      </x:c>
      <x:c r="J25" s="26" t="n">
        <x:v>748.63117</x:v>
      </x:c>
      <x:c r="K25" s="26" t="n">
        <x:v>0.02499</x:v>
      </x:c>
      <x:c r="L25" s="26" t="n">
        <x:v>10.67</x:v>
      </x:c>
      <x:c r="M25" s="26" t="n">
        <x:v>185.11741</x:v>
      </x:c>
      <x:c r="N25" s="26" t="n">
        <x:v>0.06947</x:v>
      </x:c>
      <x:c r="O25" s="26" t="n">
        <x:v>15.46</x:v>
      </x:c>
      <x:c r="P25" s="26" t="n">
        <x:v>267.9467</x:v>
      </x:c>
      <x:c r="Q25" s="26" t="n">
        <x:v>0.08577</x:v>
      </x:c>
      <x:c r="R25" s="26" t="n">
        <x:v>14.95</x:v>
      </x:c>
      <x:c r="S25" s="26" t="n">
        <x:v>274.98607</x:v>
      </x:c>
      <x:c r="T25" s="26" t="n">
        <x:v>0.01073</x:v>
      </x:c>
      <x:c r="U25" s="26" t="n">
        <x:v>267.96153</x:v>
      </x:c>
      <x:c r="V25" s="26" t="n">
        <x:v>0.04558</x:v>
      </x:c>
      <x:c r="W25" s="26" t="n">
        <x:v>267.9467</x:v>
      </x:c>
      <x:c r="X25" s="26" t="n">
        <x:v>0.08577</x:v>
      </x:c>
      <x:c r="Y25" s="26" t="n">
        <x:v>267.94004</x:v>
      </x:c>
      <x:c r="Z25" s="26" t="n">
        <x:v>-0.05996</x:v>
      </x:c>
      <x:c r="AA25" s="26" t="n">
        <x:v>0.01027</x:v>
      </x:c>
      <x:c r="AB25" s="26" t="n">
        <x:v>0.04558</x:v>
      </x:c>
      <x:c r="AC25" s="26" t="n">
        <x:v>0.08577</x:v>
      </x:c>
      <x:c r="AD25" s="26" t="n">
        <x:v>0.09767</x:v>
      </x:c>
      <x:c r="AE25" s="26" t="n">
        <x:v>14.31</x:v>
      </x:c>
      <x:c r="AF25" s="26" t="str">
        <x:v>Z</x:v>
      </x:c>
      <x:c r="AG25" s="26" t="n">
        <x:v>0.00942</x:v>
      </x:c>
      <x:c r="AH25" s="26" t="n">
        <x:v>127.16</x:v>
      </x:c>
      <x:c r="AI25" s="26" t="n">
        <x:v>0.055</x:v>
      </x:c>
      <x:c r="AJ25" s="26" t="n">
        <x:v>79.93</x:v>
      </x:c>
      <x:c r="AK25" s="26" t="n">
        <x:v>0.041</x:v>
      </x:c>
      <x:c r="AL25" s="26" t="n">
        <x:v>-119.83</x:v>
      </x:c>
      <x:c r="AM25" s="26" t="n">
        <x:v>0.152</x:v>
      </x:c>
      <x:c r="AN25" s="26" t="n">
        <x:v>27.45</x:v>
      </x:c>
      <x:c r="AO25" s="26" t="n">
        <x:v>0.09165</x:v>
      </x:c>
      <x:c r="AP25" s="26" t="n">
        <x:v>164.8</x:v>
      </x:c>
      <x:c r="AQ25" s="26" t="n">
        <x:v>0.27</x:v>
      </x:c>
      <x:c r="AR25" s="26" t="n">
        <x:v>7.73</x:v>
      </x:c>
      <x:c r="AS25" s="26" t="n">
        <x:v>0.10139</x:v>
      </x:c>
      <x:c r="AT25" s="26" t="n">
        <x:v>9.74</x:v>
      </x:c>
      <x:c r="AU25" s="26" t="n">
        <x:v>0.0929</x:v>
      </x:c>
      <x:c r="AV25" s="26" t="n">
        <x:v>0.4044</x:v>
      </x:c>
      <x:c r="AW25" s="26" t="n">
        <x:v>0.904</x:v>
      </x:c>
      <x:c r="AX25" s="26" t="n">
        <x:v>1</x:v>
      </x:c>
    </x:row>
    <x:row r="26">
      <x:c r="A26" s="26" t="str">
        <x:v>K1</x:v>
      </x:c>
      <x:c r="B26" s="26" t="str">
        <x:v>Horizontal / flat</x:v>
      </x:c>
      <x:c r="C26" s="26" t="str">
        <x:v>Low</x:v>
      </x:c>
      <x:c r="D26" s="26" t="str">
        <x:v>Pasted text(20260812-094446).txt</x:v>
      </x:c>
      <x:c r="E26" s="26" t="str">
        <x:v>GAIN_SWEEP</x:v>
      </x:c>
      <x:c r="F26" s="26" t="n">
        <x:v>12</x:v>
      </x:c>
      <x:c r="G26" s="26" t="n">
        <x:v>1</x:v>
      </x:c>
      <x:c r="H26" s="26" t="n">
        <x:v>268</x:v>
      </x:c>
      <x:c r="I26" s="26" t="n">
        <x:v>12</x:v>
      </x:c>
      <x:c r="J26" s="26" t="n">
        <x:v>748.4125</x:v>
      </x:c>
      <x:c r="K26" s="26" t="n">
        <x:v>0.02163</x:v>
      </x:c>
      <x:c r="L26" s="26" t="n">
        <x:v>9.78</x:v>
      </x:c>
      <x:c r="M26" s="26" t="n">
        <x:v>185.25549</x:v>
      </x:c>
      <x:c r="N26" s="26" t="n">
        <x:v>0.07593</x:v>
      </x:c>
      <x:c r="O26" s="26" t="n">
        <x:v>16.7</x:v>
      </x:c>
      <x:c r="P26" s="26" t="n">
        <x:v>267.8805</x:v>
      </x:c>
      <x:c r="Q26" s="26" t="n">
        <x:v>0.0823</x:v>
      </x:c>
      <x:c r="R26" s="26" t="n">
        <x:v>14.95</x:v>
      </x:c>
      <x:c r="S26" s="26" t="n">
        <x:v>275.15441</x:v>
      </x:c>
      <x:c r="T26" s="26" t="n">
        <x:v>0.00877</x:v>
      </x:c>
      <x:c r="U26" s="26" t="n">
        <x:v>267.91261</x:v>
      </x:c>
      <x:c r="V26" s="26" t="n">
        <x:v>0.03816</x:v>
      </x:c>
      <x:c r="W26" s="26" t="n">
        <x:v>267.8805</x:v>
      </x:c>
      <x:c r="X26" s="26" t="n">
        <x:v>0.0823</x:v>
      </x:c>
      <x:c r="Y26" s="26" t="n">
        <x:v>267.88565</x:v>
      </x:c>
      <x:c r="Z26" s="26" t="n">
        <x:v>-0.11435</x:v>
      </x:c>
      <x:c r="AA26" s="26" t="n">
        <x:v>0.008</x:v>
      </x:c>
      <x:c r="AB26" s="26" t="n">
        <x:v>0.03816</x:v>
      </x:c>
      <x:c r="AC26" s="26" t="n">
        <x:v>0.0823</x:v>
      </x:c>
      <x:c r="AD26" s="26" t="n">
        <x:v>0.09107</x:v>
      </x:c>
      <x:c r="AE26" s="26" t="n">
        <x:v>13.52</x:v>
      </x:c>
      <x:c r="AF26" s="26" t="str">
        <x:v>Z</x:v>
      </x:c>
      <x:c r="AG26" s="26" t="n">
        <x:v>0.01486</x:v>
      </x:c>
      <x:c r="AH26" s="26" t="n">
        <x:v>-99.82</x:v>
      </x:c>
      <x:c r="AI26" s="26" t="n">
        <x:v>0.08</x:v>
      </x:c>
      <x:c r="AJ26" s="26" t="n">
        <x:v>65.21</x:v>
      </x:c>
      <x:c r="AK26" s="26" t="n">
        <x:v>0.05366</x:v>
      </x:c>
      <x:c r="AL26" s="26" t="n">
        <x:v>-125.56</x:v>
      </x:c>
      <x:c r="AM26" s="26" t="n">
        <x:v>0.2</x:v>
      </x:c>
      <x:c r="AN26" s="26" t="n">
        <x:v>27.59</x:v>
      </x:c>
      <x:c r="AO26" s="26" t="n">
        <x:v>0.10928</x:v>
      </x:c>
      <x:c r="AP26" s="26" t="n">
        <x:v>168.95</x:v>
      </x:c>
      <x:c r="AQ26" s="26" t="n">
        <x:v>0.317</x:v>
      </x:c>
      <x:c r="AR26" s="26" t="n">
        <x:v>16.36</x:v>
      </x:c>
      <x:c r="AS26" s="26" t="n">
        <x:v>0.12356</x:v>
      </x:c>
      <x:c r="AT26" s="26" t="n">
        <x:v>15.2</x:v>
      </x:c>
      <x:c r="AU26" s="26" t="n">
        <x:v>0.1203</x:v>
      </x:c>
      <x:c r="AV26" s="26" t="n">
        <x:v>0.4343</x:v>
      </x:c>
      <x:c r="AW26" s="26" t="n">
        <x:v>0.8845</x:v>
      </x:c>
      <x:c r="AX26" s="26" t="n">
        <x:v>1</x:v>
      </x:c>
    </x:row>
    <x:row r="27">
      <x:c r="A27" s="26" t="str">
        <x:v>K1</x:v>
      </x:c>
      <x:c r="B27" s="26" t="str">
        <x:v>Horizontal / flat</x:v>
      </x:c>
      <x:c r="C27" s="26" t="str">
        <x:v>Low</x:v>
      </x:c>
      <x:c r="D27" s="26" t="str">
        <x:v>Pasted text(20260812-094446).txt</x:v>
      </x:c>
      <x:c r="E27" s="26" t="str">
        <x:v>GAIN_SWEEP</x:v>
      </x:c>
      <x:c r="F27" s="26" t="n">
        <x:v>12</x:v>
      </x:c>
      <x:c r="G27" s="26" t="n">
        <x:v>2</x:v>
      </x:c>
      <x:c r="H27" s="26" t="n">
        <x:v>268</x:v>
      </x:c>
      <x:c r="I27" s="26" t="n">
        <x:v>12</x:v>
      </x:c>
      <x:c r="J27" s="26" t="n">
        <x:v>748.49453</x:v>
      </x:c>
      <x:c r="K27" s="26" t="n">
        <x:v>0.01878</x:v>
      </x:c>
      <x:c r="L27" s="26" t="n">
        <x:v>8.31</x:v>
      </x:c>
      <x:c r="M27" s="26" t="n">
        <x:v>185.42074</x:v>
      </x:c>
      <x:c r="N27" s="26" t="n">
        <x:v>0.0774</x:v>
      </x:c>
      <x:c r="O27" s="26" t="n">
        <x:v>16.72</x:v>
      </x:c>
      <x:c r="P27" s="26" t="n">
        <x:v>268.04832</x:v>
      </x:c>
      <x:c r="Q27" s="26" t="n">
        <x:v>0.08782</x:v>
      </x:c>
      <x:c r="R27" s="26" t="n">
        <x:v>15.54</x:v>
      </x:c>
      <x:c r="S27" s="26" t="n">
        <x:v>268.12051</x:v>
      </x:c>
      <x:c r="T27" s="26" t="n">
        <x:v>0.00763</x:v>
      </x:c>
      <x:c r="U27" s="26" t="n">
        <x:v>267.79303</x:v>
      </x:c>
      <x:c r="V27" s="26" t="n">
        <x:v>0.03664</x:v>
      </x:c>
      <x:c r="W27" s="26" t="n">
        <x:v>268.04832</x:v>
      </x:c>
      <x:c r="X27" s="26" t="n">
        <x:v>0.08782</x:v>
      </x:c>
      <x:c r="Y27" s="26" t="n">
        <x:v>268.01207</x:v>
      </x:c>
      <x:c r="Z27" s="26" t="n">
        <x:v>0.01207</x:v>
      </x:c>
      <x:c r="AA27" s="26" t="n">
        <x:v>0.00763</x:v>
      </x:c>
      <x:c r="AB27" s="26" t="n">
        <x:v>0.0332</x:v>
      </x:c>
      <x:c r="AC27" s="26" t="n">
        <x:v>0.08782</x:v>
      </x:c>
      <x:c r="AD27" s="26" t="n">
        <x:v>0.0942</x:v>
      </x:c>
      <x:c r="AE27" s="26" t="n">
        <x:v>11.91</x:v>
      </x:c>
      <x:c r="AF27" s="26" t="str">
        <x:v>Z</x:v>
      </x:c>
      <x:c r="AG27" s="26" t="n">
        <x:v>0.01239</x:v>
      </x:c>
      <x:c r="AH27" s="26" t="n">
        <x:v>-62.25</x:v>
      </x:c>
      <x:c r="AI27" s="26" t="n">
        <x:v>0.072</x:v>
      </x:c>
      <x:c r="AJ27" s="26" t="n">
        <x:v>54.43</x:v>
      </x:c>
      <x:c r="AK27" s="26" t="n">
        <x:v>0.05691</x:v>
      </x:c>
      <x:c r="AL27" s="26" t="n">
        <x:v>-129.95</x:v>
      </x:c>
      <x:c r="AM27" s="26" t="n">
        <x:v>0.209</x:v>
      </x:c>
      <x:c r="AN27" s="26" t="n">
        <x:v>35.53</x:v>
      </x:c>
      <x:c r="AO27" s="26" t="n">
        <x:v>0.10956</x:v>
      </x:c>
      <x:c r="AP27" s="26" t="n">
        <x:v>157.94</x:v>
      </x:c>
      <x:c r="AQ27" s="26" t="n">
        <x:v>0.316</x:v>
      </x:c>
      <x:c r="AR27" s="26" t="n">
        <x:v>14.64</x:v>
      </x:c>
      <x:c r="AS27" s="26" t="n">
        <x:v>0.12481</x:v>
      </x:c>
      <x:c r="AT27" s="26" t="n">
        <x:v>17.59</x:v>
      </x:c>
      <x:c r="AU27" s="26" t="n">
        <x:v>0.0993</x:v>
      </x:c>
      <x:c r="AV27" s="26" t="n">
        <x:v>0.456</x:v>
      </x:c>
      <x:c r="AW27" s="26" t="n">
        <x:v>0.8777</x:v>
      </x:c>
      <x:c r="AX27" s="26" t="n">
        <x:v>1</x:v>
      </x:c>
    </x:row>
    <x:row r="28">
      <x:c r="A28" s="26" t="str">
        <x:v>K1</x:v>
      </x:c>
      <x:c r="B28" s="26" t="str">
        <x:v>Horizontal / flat</x:v>
      </x:c>
      <x:c r="C28" s="26" t="str">
        <x:v>Low</x:v>
      </x:c>
      <x:c r="D28" s="26" t="str">
        <x:v>Pasted text(20260812-094446).txt</x:v>
      </x:c>
      <x:c r="E28" s="26" t="str">
        <x:v>GAIN_SWEEP</x:v>
      </x:c>
      <x:c r="F28" s="26" t="n">
        <x:v>13</x:v>
      </x:c>
      <x:c r="G28" s="26" t="n">
        <x:v>1</x:v>
      </x:c>
      <x:c r="H28" s="26" t="n">
        <x:v>268</x:v>
      </x:c>
      <x:c r="I28" s="26" t="n">
        <x:v>13</x:v>
      </x:c>
      <x:c r="J28" s="26" t="n">
        <x:v>748.39769</x:v>
      </x:c>
      <x:c r="K28" s="26" t="n">
        <x:v>0.02283</x:v>
      </x:c>
      <x:c r="L28" s="26" t="n">
        <x:v>9.37</x:v>
      </x:c>
      <x:c r="M28" s="26" t="n">
        <x:v>268.04397</x:v>
      </x:c>
      <x:c r="N28" s="26" t="n">
        <x:v>0.05487</x:v>
      </x:c>
      <x:c r="O28" s="26" t="n">
        <x:v>13.69</x:v>
      </x:c>
      <x:c r="P28" s="26" t="n">
        <x:v>268.09509</x:v>
      </x:c>
      <x:c r="Q28" s="26" t="n">
        <x:v>0.102</x:v>
      </x:c>
      <x:c r="R28" s="26" t="n">
        <x:v>16.69</x:v>
      </x:c>
      <x:c r="S28" s="26" t="n">
        <x:v>273.28764</x:v>
      </x:c>
      <x:c r="T28" s="26" t="n">
        <x:v>0.01292</x:v>
      </x:c>
      <x:c r="U28" s="26" t="n">
        <x:v>268.04397</x:v>
      </x:c>
      <x:c r="V28" s="26" t="n">
        <x:v>0.05487</x:v>
      </x:c>
      <x:c r="W28" s="26" t="n">
        <x:v>268.09509</x:v>
      </x:c>
      <x:c r="X28" s="26" t="n">
        <x:v>0.102</x:v>
      </x:c>
      <x:c r="Y28" s="26" t="n">
        <x:v>268.08807</x:v>
      </x:c>
      <x:c r="Z28" s="26" t="n">
        <x:v>0.08807</x:v>
      </x:c>
      <x:c r="AA28" s="26" t="n">
        <x:v>0.00659</x:v>
      </x:c>
      <x:c r="AB28" s="26" t="n">
        <x:v>0.05487</x:v>
      </x:c>
      <x:c r="AC28" s="26" t="n">
        <x:v>0.102</x:v>
      </x:c>
      <x:c r="AD28" s="26" t="n">
        <x:v>0.11601</x:v>
      </x:c>
      <x:c r="AE28" s="26" t="n">
        <x:v>15.58</x:v>
      </x:c>
      <x:c r="AF28" s="26" t="str">
        <x:v>Z</x:v>
      </x:c>
      <x:c r="AG28" s="26" t="n">
        <x:v>0.01385</x:v>
      </x:c>
      <x:c r="AH28" s="26" t="n">
        <x:v>-117.31</x:v>
      </x:c>
      <x:c r="AI28" s="26" t="n">
        <x:v>0.085</x:v>
      </x:c>
      <x:c r="AJ28" s="26" t="n">
        <x:v>48.63</x:v>
      </x:c>
      <x:c r="AK28" s="26" t="n">
        <x:v>0.06581</x:v>
      </x:c>
      <x:c r="AL28" s="26" t="n">
        <x:v>-123.32</x:v>
      </x:c>
      <x:c r="AM28" s="26" t="n">
        <x:v>0.249</x:v>
      </x:c>
      <x:c r="AN28" s="26" t="n">
        <x:v>25.11</x:v>
      </x:c>
      <x:c r="AO28" s="26" t="n">
        <x:v>0.13079</x:v>
      </x:c>
      <x:c r="AP28" s="26" t="n">
        <x:v>168.05</x:v>
      </x:c>
      <x:c r="AQ28" s="26" t="n">
        <x:v>0.381</x:v>
      </x:c>
      <x:c r="AR28" s="26" t="n">
        <x:v>19.81</x:v>
      </x:c>
      <x:c r="AS28" s="26" t="n">
        <x:v>0.14765</x:v>
      </x:c>
      <x:c r="AT28" s="26" t="n">
        <x:v>18.86</x:v>
      </x:c>
      <x:c r="AU28" s="26" t="n">
        <x:v>0.0938</x:v>
      </x:c>
      <x:c r="AV28" s="26" t="n">
        <x:v>0.4457</x:v>
      </x:c>
      <x:c r="AW28" s="26" t="n">
        <x:v>0.8858</x:v>
      </x:c>
      <x:c r="AX28" s="26" t="n">
        <x:v>1</x:v>
      </x:c>
    </x:row>
    <x:row r="29">
      <x:c r="A29" s="26" t="str">
        <x:v>K1</x:v>
      </x:c>
      <x:c r="B29" s="26" t="str">
        <x:v>Horizontal / flat</x:v>
      </x:c>
      <x:c r="C29" s="26" t="str">
        <x:v>Low</x:v>
      </x:c>
      <x:c r="D29" s="26" t="str">
        <x:v>Pasted text(20260812-094446).txt</x:v>
      </x:c>
      <x:c r="E29" s="26" t="str">
        <x:v>GAIN_SWEEP</x:v>
      </x:c>
      <x:c r="F29" s="26" t="n">
        <x:v>13</x:v>
      </x:c>
      <x:c r="G29" s="26" t="n">
        <x:v>2</x:v>
      </x:c>
      <x:c r="H29" s="26" t="n">
        <x:v>268</x:v>
      </x:c>
      <x:c r="I29" s="26" t="n">
        <x:v>13</x:v>
      </x:c>
      <x:c r="J29" s="26" t="n">
        <x:v>749.9962</x:v>
      </x:c>
      <x:c r="K29" s="26" t="n">
        <x:v>0.01975</x:v>
      </x:c>
      <x:c r="L29" s="26" t="n">
        <x:v>8.87</x:v>
      </x:c>
      <x:c r="M29" s="26" t="n">
        <x:v>267.6731</x:v>
      </x:c>
      <x:c r="N29" s="26" t="n">
        <x:v>0.05018</x:v>
      </x:c>
      <x:c r="O29" s="26" t="n">
        <x:v>13.09</x:v>
      </x:c>
      <x:c r="P29" s="26" t="n">
        <x:v>268.10497</x:v>
      </x:c>
      <x:c r="Q29" s="26" t="n">
        <x:v>0.09645</x:v>
      </x:c>
      <x:c r="R29" s="26" t="n">
        <x:v>16.67</x:v>
      </x:c>
      <x:c r="S29" s="26" t="n">
        <x:v>268.45484</x:v>
      </x:c>
      <x:c r="T29" s="26" t="n">
        <x:v>0.01362</x:v>
      </x:c>
      <x:c r="U29" s="26" t="n">
        <x:v>267.6731</x:v>
      </x:c>
      <x:c r="V29" s="26" t="n">
        <x:v>0.05018</x:v>
      </x:c>
      <x:c r="W29" s="26" t="n">
        <x:v>268.10497</x:v>
      </x:c>
      <x:c r="X29" s="26" t="n">
        <x:v>0.09645</x:v>
      </x:c>
      <x:c r="Y29" s="26" t="n">
        <x:v>268.02049</x:v>
      </x:c>
      <x:c r="Z29" s="26" t="n">
        <x:v>0.02049</x:v>
      </x:c>
      <x:c r="AA29" s="26" t="n">
        <x:v>0.01362</x:v>
      </x:c>
      <x:c r="AB29" s="26" t="n">
        <x:v>0.0413</x:v>
      </x:c>
      <x:c r="AC29" s="26" t="n">
        <x:v>0.09645</x:v>
      </x:c>
      <x:c r="AD29" s="26" t="n">
        <x:v>0.1058</x:v>
      </x:c>
      <x:c r="AE29" s="26" t="n">
        <x:v>16.05</x:v>
      </x:c>
      <x:c r="AF29" s="26" t="str">
        <x:v>Z</x:v>
      </x:c>
      <x:c r="AG29" s="26" t="n">
        <x:v>0.01593</x:v>
      </x:c>
      <x:c r="AH29" s="26" t="n">
        <x:v>-104.93</x:v>
      </x:c>
      <x:c r="AI29" s="26" t="n">
        <x:v>0.095</x:v>
      </x:c>
      <x:c r="AJ29" s="26" t="n">
        <x:v>53.96</x:v>
      </x:c>
      <x:c r="AK29" s="26" t="n">
        <x:v>0.0526</x:v>
      </x:c>
      <x:c r="AL29" s="26" t="n">
        <x:v>-119.94</x:v>
      </x:c>
      <x:c r="AM29" s="26" t="n">
        <x:v>0.199</x:v>
      </x:c>
      <x:c r="AN29" s="26" t="n">
        <x:v>36.12</x:v>
      </x:c>
      <x:c r="AO29" s="26" t="n">
        <x:v>0.12529</x:v>
      </x:c>
      <x:c r="AP29" s="26" t="n">
        <x:v>163.52</x:v>
      </x:c>
      <x:c r="AQ29" s="26" t="n">
        <x:v>0.368</x:v>
      </x:c>
      <x:c r="AR29" s="26" t="n">
        <x:v>18.32</x:v>
      </x:c>
      <x:c r="AS29" s="26" t="n">
        <x:v>0.13786</x:v>
      </x:c>
      <x:c r="AT29" s="26" t="n">
        <x:v>17.79</x:v>
      </x:c>
      <x:c r="AU29" s="26" t="n">
        <x:v>0.1156</x:v>
      </x:c>
      <x:c r="AV29" s="26" t="n">
        <x:v>0.3815</x:v>
      </x:c>
      <x:c r="AW29" s="26" t="n">
        <x:v>0.9088</x:v>
      </x:c>
      <x:c r="AX29" s="26" t="n">
        <x:v>1</x:v>
      </x:c>
    </x:row>
    <x:row r="30">
      <x:c r="A30" s="26" t="str">
        <x:v>K1</x:v>
      </x:c>
      <x:c r="B30" s="26" t="str">
        <x:v>Horizontal / flat</x:v>
      </x:c>
      <x:c r="C30" s="26" t="str">
        <x:v>Low</x:v>
      </x:c>
      <x:c r="D30" s="26" t="str">
        <x:v>Pasted text(20260812-094446).txt</x:v>
      </x:c>
      <x:c r="E30" s="26" t="str">
        <x:v>GAIN_SWEEP</x:v>
      </x:c>
      <x:c r="F30" s="26" t="n">
        <x:v>14</x:v>
      </x:c>
      <x:c r="G30" s="26" t="n">
        <x:v>1</x:v>
      </x:c>
      <x:c r="H30" s="26" t="n">
        <x:v>268</x:v>
      </x:c>
      <x:c r="I30" s="26" t="n">
        <x:v>14</x:v>
      </x:c>
      <x:c r="J30" s="26" t="n">
        <x:v>748.6673</x:v>
      </x:c>
      <x:c r="K30" s="26" t="n">
        <x:v>0.01899</x:v>
      </x:c>
      <x:c r="L30" s="26" t="n">
        <x:v>8.73</x:v>
      </x:c>
      <x:c r="M30" s="26" t="n">
        <x:v>185.12358</x:v>
      </x:c>
      <x:c r="N30" s="26" t="n">
        <x:v>0.05732</x:v>
      </x:c>
      <x:c r="O30" s="26" t="n">
        <x:v>13.97</x:v>
      </x:c>
      <x:c r="P30" s="26" t="n">
        <x:v>267.97653</x:v>
      </x:c>
      <x:c r="Q30" s="26" t="n">
        <x:v>0.10088</x:v>
      </x:c>
      <x:c r="R30" s="26" t="n">
        <x:v>16.95</x:v>
      </x:c>
      <x:c r="S30" s="26" t="n">
        <x:v>273.17446</x:v>
      </x:c>
      <x:c r="T30" s="26" t="n">
        <x:v>0.00965</x:v>
      </x:c>
      <x:c r="U30" s="26" t="n">
        <x:v>268.00551</x:v>
      </x:c>
      <x:c r="V30" s="26" t="n">
        <x:v>0.04934</x:v>
      </x:c>
      <x:c r="W30" s="26" t="n">
        <x:v>267.97653</x:v>
      </x:c>
      <x:c r="X30" s="26" t="n">
        <x:v>0.10088</x:v>
      </x:c>
      <x:c r="Y30" s="26" t="n">
        <x:v>267.98363</x:v>
      </x:c>
      <x:c r="Z30" s="26" t="n">
        <x:v>-0.01637</x:v>
      </x:c>
      <x:c r="AA30" s="26" t="n">
        <x:v>0.00864</x:v>
      </x:c>
      <x:c r="AB30" s="26" t="n">
        <x:v>0.04934</x:v>
      </x:c>
      <x:c r="AC30" s="26" t="n">
        <x:v>0.10088</x:v>
      </x:c>
      <x:c r="AD30" s="26" t="n">
        <x:v>0.11263</x:v>
      </x:c>
      <x:c r="AE30" s="26" t="n">
        <x:v>13.64</x:v>
      </x:c>
      <x:c r="AF30" s="26" t="str">
        <x:v>Z</x:v>
      </x:c>
      <x:c r="AG30" s="26" t="n">
        <x:v>0.0118</x:v>
      </x:c>
      <x:c r="AH30" s="26" t="n">
        <x:v>-63.82</x:v>
      </x:c>
      <x:c r="AI30" s="26" t="n">
        <x:v>0.072</x:v>
      </x:c>
      <x:c r="AJ30" s="26" t="n">
        <x:v>66.77</x:v>
      </x:c>
      <x:c r="AK30" s="26" t="n">
        <x:v>0.0586</x:v>
      </x:c>
      <x:c r="AL30" s="26" t="n">
        <x:v>-128.49</x:v>
      </x:c>
      <x:c r="AM30" s="26" t="n">
        <x:v>0.212</x:v>
      </x:c>
      <x:c r="AN30" s="26" t="n">
        <x:v>27.65</x:v>
      </x:c>
      <x:c r="AO30" s="26" t="n">
        <x:v>0.11696</x:v>
      </x:c>
      <x:c r="AP30" s="26" t="n">
        <x:v>162.95</x:v>
      </x:c>
      <x:c r="AQ30" s="26" t="n">
        <x:v>0.335</x:v>
      </x:c>
      <x:c r="AR30" s="26" t="n">
        <x:v>18.7</x:v>
      </x:c>
      <x:c r="AS30" s="26" t="n">
        <x:v>0.13207</x:v>
      </x:c>
      <x:c r="AT30" s="26" t="n">
        <x:v>18.01</x:v>
      </x:c>
      <x:c r="AU30" s="26" t="n">
        <x:v>0.0893</x:v>
      </x:c>
      <x:c r="AV30" s="26" t="n">
        <x:v>0.4437</x:v>
      </x:c>
      <x:c r="AW30" s="26" t="n">
        <x:v>0.8856</x:v>
      </x:c>
      <x:c r="AX30" s="26" t="n">
        <x:v>1</x:v>
      </x:c>
    </x:row>
    <x:row r="31">
      <x:c r="A31" s="26" t="str">
        <x:v>K1</x:v>
      </x:c>
      <x:c r="B31" s="26" t="str">
        <x:v>Horizontal / flat</x:v>
      </x:c>
      <x:c r="C31" s="26" t="str">
        <x:v>Low</x:v>
      </x:c>
      <x:c r="D31" s="26" t="str">
        <x:v>Pasted text(20260812-094446).txt</x:v>
      </x:c>
      <x:c r="E31" s="26" t="str">
        <x:v>GAIN_SWEEP</x:v>
      </x:c>
      <x:c r="F31" s="26" t="n">
        <x:v>14</x:v>
      </x:c>
      <x:c r="G31" s="26" t="n">
        <x:v>2</x:v>
      </x:c>
      <x:c r="H31" s="26" t="n">
        <x:v>268</x:v>
      </x:c>
      <x:c r="I31" s="26" t="n">
        <x:v>14</x:v>
      </x:c>
      <x:c r="J31" s="26" t="n">
        <x:v>748.72697</x:v>
      </x:c>
      <x:c r="K31" s="26" t="n">
        <x:v>0.01882</x:v>
      </x:c>
      <x:c r="L31" s="26" t="n">
        <x:v>9.03</x:v>
      </x:c>
      <x:c r="M31" s="26" t="n">
        <x:v>185.15524</x:v>
      </x:c>
      <x:c r="N31" s="26" t="n">
        <x:v>0.05725</x:v>
      </x:c>
      <x:c r="O31" s="26" t="n">
        <x:v>13.95</x:v>
      </x:c>
      <x:c r="P31" s="26" t="n">
        <x:v>268.00797</x:v>
      </x:c>
      <x:c r="Q31" s="26" t="n">
        <x:v>0.10805</x:v>
      </x:c>
      <x:c r="R31" s="26" t="n">
        <x:v>17.58</x:v>
      </x:c>
      <x:c r="S31" s="26" t="n">
        <x:v>271.93776</x:v>
      </x:c>
      <x:c r="T31" s="26" t="n">
        <x:v>0.0114</x:v>
      </x:c>
      <x:c r="U31" s="26" t="n">
        <x:v>267.79164</x:v>
      </x:c>
      <x:c r="V31" s="26" t="n">
        <x:v>0.04972</x:v>
      </x:c>
      <x:c r="W31" s="26" t="n">
        <x:v>268.00797</x:v>
      </x:c>
      <x:c r="X31" s="26" t="n">
        <x:v>0.10805</x:v>
      </x:c>
      <x:c r="Y31" s="26" t="n">
        <x:v>267.97173</x:v>
      </x:c>
      <x:c r="Z31" s="26" t="n">
        <x:v>-0.02827</x:v>
      </x:c>
      <x:c r="AA31" s="26" t="n">
        <x:v>0.0083</x:v>
      </x:c>
      <x:c r="AB31" s="26" t="n">
        <x:v>0.04487</x:v>
      </x:c>
      <x:c r="AC31" s="26" t="n">
        <x:v>0.10805</x:v>
      </x:c>
      <x:c r="AD31" s="26" t="n">
        <x:v>0.11729</x:v>
      </x:c>
      <x:c r="AE31" s="26" t="n">
        <x:v>14.65</x:v>
      </x:c>
      <x:c r="AF31" s="26" t="str">
        <x:v>Z</x:v>
      </x:c>
      <x:c r="AG31" s="26" t="n">
        <x:v>0.00898</x:v>
      </x:c>
      <x:c r="AH31" s="26" t="n">
        <x:v>-79.8</x:v>
      </x:c>
      <x:c r="AI31" s="26" t="n">
        <x:v>0.053</x:v>
      </x:c>
      <x:c r="AJ31" s="26" t="n">
        <x:v>57.63</x:v>
      </x:c>
      <x:c r="AK31" s="26" t="n">
        <x:v>0.0719</x:v>
      </x:c>
      <x:c r="AL31" s="26" t="n">
        <x:v>-123.56</x:v>
      </x:c>
      <x:c r="AM31" s="26" t="n">
        <x:v>0.262</x:v>
      </x:c>
      <x:c r="AN31" s="26" t="n">
        <x:v>9.71</x:v>
      </x:c>
      <x:c r="AO31" s="26" t="n">
        <x:v>0.14492</x:v>
      </x:c>
      <x:c r="AP31" s="26" t="n">
        <x:v>170.39</x:v>
      </x:c>
      <x:c r="AQ31" s="26" t="n">
        <x:v>0.421</x:v>
      </x:c>
      <x:c r="AR31" s="26" t="n">
        <x:v>11.09</x:v>
      </x:c>
      <x:c r="AS31" s="26" t="n">
        <x:v>0.16225</x:v>
      </x:c>
      <x:c r="AT31" s="26" t="n">
        <x:v>9.58</x:v>
      </x:c>
      <x:c r="AU31" s="26" t="n">
        <x:v>0.0553</x:v>
      </x:c>
      <x:c r="AV31" s="26" t="n">
        <x:v>0.4431</x:v>
      </x:c>
      <x:c r="AW31" s="26" t="n">
        <x:v>0.8932</x:v>
      </x:c>
      <x:c r="AX31" s="26" t="n">
        <x:v>1</x:v>
      </x:c>
    </x:row>
    <x:row r="32">
      <x:c r="A32" s="26" t="str">
        <x:v>K1</x:v>
      </x:c>
      <x:c r="B32" s="26" t="str">
        <x:v>Horizontal / flat</x:v>
      </x:c>
      <x:c r="C32" s="26" t="str">
        <x:v>Low</x:v>
      </x:c>
      <x:c r="D32" s="26" t="str">
        <x:v>Pasted text(20260812-094446).txt</x:v>
      </x:c>
      <x:c r="E32" s="26" t="str">
        <x:v>GAIN_SWEEP</x:v>
      </x:c>
      <x:c r="F32" s="26" t="n">
        <x:v>15</x:v>
      </x:c>
      <x:c r="G32" s="26" t="n">
        <x:v>1</x:v>
      </x:c>
      <x:c r="H32" s="26" t="n">
        <x:v>268</x:v>
      </x:c>
      <x:c r="I32" s="26" t="n">
        <x:v>15</x:v>
      </x:c>
      <x:c r="J32" s="26" t="n">
        <x:v>748.41864</x:v>
      </x:c>
      <x:c r="K32" s="26" t="n">
        <x:v>0.02213</x:v>
      </x:c>
      <x:c r="L32" s="26" t="n">
        <x:v>10.05</x:v>
      </x:c>
      <x:c r="M32" s="26" t="n">
        <x:v>184.60656</x:v>
      </x:c>
      <x:c r="N32" s="26" t="n">
        <x:v>0.08318</x:v>
      </x:c>
      <x:c r="O32" s="26" t="n">
        <x:v>17.25</x:v>
      </x:c>
      <x:c r="P32" s="26" t="n">
        <x:v>268.01557</x:v>
      </x:c>
      <x:c r="Q32" s="26" t="n">
        <x:v>0.13102</x:v>
      </x:c>
      <x:c r="R32" s="26" t="n">
        <x:v>19.35</x:v>
      </x:c>
      <x:c r="S32" s="26" t="n">
        <x:v>273.3103</x:v>
      </x:c>
      <x:c r="T32" s="26" t="n">
        <x:v>0.0118</x:v>
      </x:c>
      <x:c r="U32" s="26" t="n">
        <x:v>268.0841</x:v>
      </x:c>
      <x:c r="V32" s="26" t="n">
        <x:v>0.06089</x:v>
      </x:c>
      <x:c r="W32" s="26" t="n">
        <x:v>268.01557</x:v>
      </x:c>
      <x:c r="X32" s="26" t="n">
        <x:v>0.13102</x:v>
      </x:c>
      <x:c r="Y32" s="26" t="n">
        <x:v>268.02982</x:v>
      </x:c>
      <x:c r="Z32" s="26" t="n">
        <x:v>0.02982</x:v>
      </x:c>
      <x:c r="AA32" s="26" t="n">
        <x:v>0.00809</x:v>
      </x:c>
      <x:c r="AB32" s="26" t="n">
        <x:v>0.06089</x:v>
      </x:c>
      <x:c r="AC32" s="26" t="n">
        <x:v>0.13102</x:v>
      </x:c>
      <x:c r="AD32" s="26" t="n">
        <x:v>0.14471</x:v>
      </x:c>
      <x:c r="AE32" s="26" t="n">
        <x:v>19.07</x:v>
      </x:c>
      <x:c r="AF32" s="26" t="str">
        <x:v>Z</x:v>
      </x:c>
      <x:c r="AG32" s="26" t="n">
        <x:v>0.00722</x:v>
      </x:c>
      <x:c r="AH32" s="26" t="n">
        <x:v>-49.6</x:v>
      </x:c>
      <x:c r="AI32" s="26" t="n">
        <x:v>0.044</x:v>
      </x:c>
      <x:c r="AJ32" s="26" t="n">
        <x:v>45.98</x:v>
      </x:c>
      <x:c r="AK32" s="26" t="n">
        <x:v>0.06432</x:v>
      </x:c>
      <x:c r="AL32" s="26" t="n">
        <x:v>-127.74</x:v>
      </x:c>
      <x:c r="AM32" s="26" t="n">
        <x:v>0.222</x:v>
      </x:c>
      <x:c r="AN32" s="26" t="n">
        <x:v>25.27</x:v>
      </x:c>
      <x:c r="AO32" s="26" t="n">
        <x:v>0.14326</x:v>
      </x:c>
      <x:c r="AP32" s="26" t="n">
        <x:v>163.71</x:v>
      </x:c>
      <x:c r="AQ32" s="26" t="n">
        <x:v>0.407</x:v>
      </x:c>
      <x:c r="AR32" s="26" t="n">
        <x:v>9.04</x:v>
      </x:c>
      <x:c r="AS32" s="26" t="n">
        <x:v>0.15784</x:v>
      </x:c>
      <x:c r="AT32" s="26" t="n">
        <x:v>8.84</x:v>
      </x:c>
      <x:c r="AU32" s="26" t="n">
        <x:v>0.0458</x:v>
      </x:c>
      <x:c r="AV32" s="26" t="n">
        <x:v>0.4075</x:v>
      </x:c>
      <x:c r="AW32" s="26" t="n">
        <x:v>0.9077</x:v>
      </x:c>
      <x:c r="AX32" s="26" t="n">
        <x:v>1</x:v>
      </x:c>
    </x:row>
    <x:row r="33">
      <x:c r="A33" s="26" t="str">
        <x:v>K1</x:v>
      </x:c>
      <x:c r="B33" s="26" t="str">
        <x:v>Horizontal / flat</x:v>
      </x:c>
      <x:c r="C33" s="26" t="str">
        <x:v>Low</x:v>
      </x:c>
      <x:c r="D33" s="26" t="str">
        <x:v>Pasted text(20260812-094446).txt</x:v>
      </x:c>
      <x:c r="E33" s="26" t="str">
        <x:v>GAIN_SWEEP</x:v>
      </x:c>
      <x:c r="F33" s="26" t="n">
        <x:v>15</x:v>
      </x:c>
      <x:c r="G33" s="26" t="n">
        <x:v>2</x:v>
      </x:c>
      <x:c r="H33" s="26" t="n">
        <x:v>268</x:v>
      </x:c>
      <x:c r="I33" s="26" t="n">
        <x:v>15</x:v>
      </x:c>
      <x:c r="J33" s="26" t="n">
        <x:v>396.83776</x:v>
      </x:c>
      <x:c r="K33" s="26" t="n">
        <x:v>0.01789</x:v>
      </x:c>
      <x:c r="L33" s="26" t="n">
        <x:v>7.93</x:v>
      </x:c>
      <x:c r="M33" s="26" t="n">
        <x:v>185.00525</x:v>
      </x:c>
      <x:c r="N33" s="26" t="n">
        <x:v>0.07722</x:v>
      </x:c>
      <x:c r="O33" s="26" t="n">
        <x:v>16.37</x:v>
      </x:c>
      <x:c r="P33" s="26" t="n">
        <x:v>268.05573</x:v>
      </x:c>
      <x:c r="Q33" s="26" t="n">
        <x:v>0.128</x:v>
      </x:c>
      <x:c r="R33" s="26" t="n">
        <x:v>18.55</x:v>
      </x:c>
      <x:c r="S33" s="26" t="n">
        <x:v>267.45214</x:v>
      </x:c>
      <x:c r="T33" s="26" t="n">
        <x:v>0.0117</x:v>
      </x:c>
      <x:c r="U33" s="26" t="n">
        <x:v>268.30946</x:v>
      </x:c>
      <x:c r="V33" s="26" t="n">
        <x:v>0.05975</x:v>
      </x:c>
      <x:c r="W33" s="26" t="n">
        <x:v>268.05573</x:v>
      </x:c>
      <x:c r="X33" s="26" t="n">
        <x:v>0.128</x:v>
      </x:c>
      <x:c r="Y33" s="26" t="n">
        <x:v>268.099</x:v>
      </x:c>
      <x:c r="Z33" s="26" t="n">
        <x:v>0.099</x:v>
      </x:c>
      <x:c r="AA33" s="26" t="n">
        <x:v>0.0098</x:v>
      </x:c>
      <x:c r="AB33" s="26" t="n">
        <x:v>0.05975</x:v>
      </x:c>
      <x:c r="AC33" s="26" t="n">
        <x:v>0.128</x:v>
      </x:c>
      <x:c r="AD33" s="26" t="n">
        <x:v>0.1416</x:v>
      </x:c>
      <x:c r="AE33" s="26" t="n">
        <x:v>17.08</x:v>
      </x:c>
      <x:c r="AF33" s="26" t="str">
        <x:v>Z</x:v>
      </x:c>
      <x:c r="AG33" s="26" t="n">
        <x:v>0.01778</x:v>
      </x:c>
      <x:c r="AH33" s="26" t="n">
        <x:v>-139.53</x:v>
      </x:c>
      <x:c r="AI33" s="26" t="n">
        <x:v>0.11</x:v>
      </x:c>
      <x:c r="AJ33" s="26" t="n">
        <x:v>17.82</x:v>
      </x:c>
      <x:c r="AK33" s="26" t="n">
        <x:v>0.0674</x:v>
      </x:c>
      <x:c r="AL33" s="26" t="n">
        <x:v>-132.62</x:v>
      </x:c>
      <x:c r="AM33" s="26" t="n">
        <x:v>0.23</x:v>
      </x:c>
      <x:c r="AN33" s="26" t="n">
        <x:v>24.01</x:v>
      </x:c>
      <x:c r="AO33" s="26" t="n">
        <x:v>0.1468</x:v>
      </x:c>
      <x:c r="AP33" s="26" t="n">
        <x:v>166.72</x:v>
      </x:c>
      <x:c r="AQ33" s="26" t="n">
        <x:v>0.416</x:v>
      </x:c>
      <x:c r="AR33" s="26" t="n">
        <x:v>10.12</x:v>
      </x:c>
      <x:c r="AS33" s="26" t="n">
        <x:v>0.16289</x:v>
      </x:c>
      <x:c r="AT33" s="26" t="n">
        <x:v>11.27</x:v>
      </x:c>
      <x:c r="AU33" s="26" t="n">
        <x:v>0.1091</x:v>
      </x:c>
      <x:c r="AV33" s="26" t="n">
        <x:v>0.4138</x:v>
      </x:c>
      <x:c r="AW33" s="26" t="n">
        <x:v>0.9012</x:v>
      </x:c>
      <x:c r="AX33" s="26" t="n">
        <x:v>1</x:v>
      </x:c>
    </x:row>
    <x:row r="34">
      <x:c r="A34" s="26" t="str">
        <x:v>K2</x:v>
      </x:c>
      <x:c r="B34" s="26" t="str">
        <x:v>Horizontal / flat</x:v>
      </x:c>
      <x:c r="C34" s="26" t="str">
        <x:v>Low–medium</x:v>
      </x:c>
      <x:c r="D34" s="26" t="str">
        <x:v>Pasted text (2)(2).txt</x:v>
      </x:c>
      <x:c r="E34" s="26" t="str">
        <x:v>GAIN_SWEEP</x:v>
      </x:c>
      <x:c r="F34" s="26" t="n">
        <x:v>1</x:v>
      </x:c>
      <x:c r="G34" s="26" t="n">
        <x:v>1</x:v>
      </x:c>
      <x:c r="H34" s="26" t="n">
        <x:v>268</x:v>
      </x:c>
      <x:c r="I34" s="26" t="n">
        <x:v>1</x:v>
      </x:c>
      <x:c r="J34" s="26" t="n">
        <x:v>480.41431</x:v>
      </x:c>
      <x:c r="K34" s="26" t="n">
        <x:v>0.05656</x:v>
      </x:c>
      <x:c r="L34" s="26" t="n">
        <x:v>17</x:v>
      </x:c>
      <x:c r="M34" s="26" t="n">
        <x:v>508.1262</x:v>
      </x:c>
      <x:c r="N34" s="26" t="n">
        <x:v>0.09528</x:v>
      </x:c>
      <x:c r="O34" s="26" t="n">
        <x:v>17.82</x:v>
      </x:c>
      <x:c r="P34" s="26" t="n">
        <x:v>535.98221</x:v>
      </x:c>
      <x:c r="Q34" s="26" t="n">
        <x:v>0.09736</x:v>
      </x:c>
      <x:c r="R34" s="26" t="n">
        <x:v>16.27</x:v>
      </x:c>
      <x:c r="S34" s="26" t="n">
        <x:v>267.82821</x:v>
      </x:c>
      <x:c r="T34" s="26" t="n">
        <x:v>0.01006</x:v>
      </x:c>
      <x:c r="U34" s="26" t="n">
        <x:v>267.99752</x:v>
      </x:c>
      <x:c r="V34" s="26" t="n">
        <x:v>0.01993</x:v>
      </x:c>
      <x:c r="W34" s="26" t="n">
        <x:v>275.78125</x:v>
      </x:c>
      <x:c r="X34" s="26" t="n">
        <x:v>0.01805</x:v>
      </x:c>
      <x:c r="Y34" s="26" t="n">
        <x:v>267.31131</x:v>
      </x:c>
      <x:c r="Z34" s="26" t="n">
        <x:v>-0.68869</x:v>
      </x:c>
      <x:c r="AA34" s="26" t="n">
        <x:v>0.01006</x:v>
      </x:c>
      <x:c r="AB34" s="26" t="n">
        <x:v>0.01975</x:v>
      </x:c>
      <x:c r="AC34" s="26" t="n">
        <x:v>0.01636</x:v>
      </x:c>
      <x:c r="AD34" s="26" t="n">
        <x:v>0.02755</x:v>
      </x:c>
      <x:c r="AE34" s="26" t="n">
        <x:v>2.58</x:v>
      </x:c>
      <x:c r="AF34" s="26" t="str">
        <x:v>Y</x:v>
      </x:c>
      <x:c r="AG34" s="26" t="n">
        <x:v>0.00795</x:v>
      </x:c>
      <x:c r="AH34" s="26" t="n">
        <x:v>-2.95</x:v>
      </x:c>
      <x:c r="AI34" s="26" t="n">
        <x:v>0.039</x:v>
      </x:c>
      <x:c r="AJ34" s="26" t="n">
        <x:v>73.82</x:v>
      </x:c>
      <x:c r="AK34" s="26" t="n">
        <x:v>0.01349</x:v>
      </x:c>
      <x:c r="AL34" s="26" t="n">
        <x:v>96</x:v>
      </x:c>
      <x:c r="AM34" s="26" t="n">
        <x:v>0.042</x:v>
      </x:c>
      <x:c r="AN34" s="26" t="n">
        <x:v>73.29</x:v>
      </x:c>
      <x:c r="AO34" s="26" t="n">
        <x:v>0.02566</x:v>
      </x:c>
      <x:c r="AP34" s="26" t="n">
        <x:v>-107.36</x:v>
      </x:c>
      <x:c r="AQ34" s="26" t="n">
        <x:v>0.073</x:v>
      </x:c>
      <x:c r="AR34" s="26" t="n">
        <x:v>49.26</x:v>
      </x:c>
      <x:c r="AS34" s="26" t="n">
        <x:v>0.03182</x:v>
      </x:c>
      <x:c r="AT34" s="26" t="n">
        <x:v>39.18</x:v>
      </x:c>
      <x:c r="AU34" s="26" t="n">
        <x:v>0.25</x:v>
      </x:c>
      <x:c r="AV34" s="26" t="n">
        <x:v>0.4238</x:v>
      </x:c>
      <x:c r="AW34" s="26" t="n">
        <x:v>0.8063</x:v>
      </x:c>
      <x:c r="AX34" s="26" t="n">
        <x:v>0</x:v>
      </x:c>
    </x:row>
    <x:row r="35">
      <x:c r="A35" s="26" t="str">
        <x:v>K2</x:v>
      </x:c>
      <x:c r="B35" s="26" t="str">
        <x:v>Horizontal / flat</x:v>
      </x:c>
      <x:c r="C35" s="26" t="str">
        <x:v>Low–medium</x:v>
      </x:c>
      <x:c r="D35" s="26" t="str">
        <x:v>Pasted text (2)(2).txt</x:v>
      </x:c>
      <x:c r="E35" s="26" t="str">
        <x:v>GAIN_SWEEP</x:v>
      </x:c>
      <x:c r="F35" s="26" t="n">
        <x:v>1</x:v>
      </x:c>
      <x:c r="G35" s="26" t="n">
        <x:v>2</x:v>
      </x:c>
      <x:c r="H35" s="26" t="n">
        <x:v>268</x:v>
      </x:c>
      <x:c r="I35" s="26" t="n">
        <x:v>1</x:v>
      </x:c>
      <x:c r="J35" s="26" t="n">
        <x:v>480.08454</x:v>
      </x:c>
      <x:c r="K35" s="26" t="n">
        <x:v>0.06301</x:v>
      </x:c>
      <x:c r="L35" s="26" t="n">
        <x:v>17.23</x:v>
      </x:c>
      <x:c r="M35" s="26" t="n">
        <x:v>508.03272</x:v>
      </x:c>
      <x:c r="N35" s="26" t="n">
        <x:v>0.09858</x:v>
      </x:c>
      <x:c r="O35" s="26" t="n">
        <x:v>17.89</x:v>
      </x:c>
      <x:c r="P35" s="26" t="n">
        <x:v>535.91992</x:v>
      </x:c>
      <x:c r="Q35" s="26" t="n">
        <x:v>0.09504</x:v>
      </x:c>
      <x:c r="R35" s="26" t="n">
        <x:v>15.99</x:v>
      </x:c>
      <x:c r="S35" s="26" t="n">
        <x:v>274.21875</x:v>
      </x:c>
      <x:c r="T35" s="26" t="n">
        <x:v>0.00976</x:v>
      </x:c>
      <x:c r="U35" s="26" t="n">
        <x:v>272.59217</x:v>
      </x:c>
      <x:c r="V35" s="26" t="n">
        <x:v>0.01281</x:v>
      </x:c>
      <x:c r="W35" s="26" t="n">
        <x:v>275.78125</x:v>
      </x:c>
      <x:c r="X35" s="26" t="n">
        <x:v>0.01897</x:v>
      </x:c>
      <x:c r="Y35" s="26" t="n">
        <x:v>275</x:v>
      </x:c>
      <x:c r="Z35" s="26" t="n">
        <x:v>7</x:v>
      </x:c>
      <x:c r="AA35" s="26" t="n">
        <x:v>0.00976</x:v>
      </x:c>
      <x:c r="AB35" s="26" t="n">
        <x:v>0.0123</x:v>
      </x:c>
      <x:c r="AC35" s="26" t="n">
        <x:v>0.01897</x:v>
      </x:c>
      <x:c r="AD35" s="26" t="n">
        <x:v>0.02463</x:v>
      </x:c>
      <x:c r="AE35" s="26" t="n">
        <x:v>2.86</x:v>
      </x:c>
      <x:c r="AF35" s="26" t="str">
        <x:v>Z</x:v>
      </x:c>
      <x:c r="AG35" s="26" t="n">
        <x:v>0.01142</x:v>
      </x:c>
      <x:c r="AH35" s="26" t="n">
        <x:v>125.84</x:v>
      </x:c>
      <x:c r="AI35" s="26" t="n">
        <x:v>0.059</x:v>
      </x:c>
      <x:c r="AJ35" s="26" t="n">
        <x:v>28.99</x:v>
      </x:c>
      <x:c r="AK35" s="26" t="n">
        <x:v>0.01245</x:v>
      </x:c>
      <x:c r="AL35" s="26" t="n">
        <x:v>-75.98</x:v>
      </x:c>
      <x:c r="AM35" s="26" t="n">
        <x:v>0.038</x:v>
      </x:c>
      <x:c r="AN35" s="26" t="n">
        <x:v>30.47</x:v>
      </x:c>
      <x:c r="AO35" s="26" t="n">
        <x:v>0.02138</x:v>
      </x:c>
      <x:c r="AP35" s="26" t="n">
        <x:v>-86.1</x:v>
      </x:c>
      <x:c r="AQ35" s="26" t="n">
        <x:v>0.059</x:v>
      </x:c>
      <x:c r="AR35" s="26" t="n">
        <x:v>45.69</x:v>
      </x:c>
      <x:c r="AS35" s="26" t="n">
        <x:v>0.0281</x:v>
      </x:c>
      <x:c r="AT35" s="26" t="n">
        <x:v>27.91</x:v>
      </x:c>
      <x:c r="AU35" s="26" t="n">
        <x:v>0.4062</x:v>
      </x:c>
      <x:c r="AV35" s="26" t="n">
        <x:v>0.443</x:v>
      </x:c>
      <x:c r="AW35" s="26" t="n">
        <x:v>0.7607</x:v>
      </x:c>
      <x:c r="AX35" s="26" t="n">
        <x:v>0</x:v>
      </x:c>
    </x:row>
    <x:row r="36">
      <x:c r="A36" s="26" t="str">
        <x:v>K2</x:v>
      </x:c>
      <x:c r="B36" s="26" t="str">
        <x:v>Horizontal / flat</x:v>
      </x:c>
      <x:c r="C36" s="26" t="str">
        <x:v>Low–medium</x:v>
      </x:c>
      <x:c r="D36" s="26" t="str">
        <x:v>Pasted text (2)(2).txt</x:v>
      </x:c>
      <x:c r="E36" s="26" t="str">
        <x:v>GAIN_SWEEP</x:v>
      </x:c>
      <x:c r="F36" s="26" t="n">
        <x:v>2</x:v>
      </x:c>
      <x:c r="G36" s="26" t="n">
        <x:v>1</x:v>
      </x:c>
      <x:c r="H36" s="26" t="n">
        <x:v>268</x:v>
      </x:c>
      <x:c r="I36" s="26" t="n">
        <x:v>2</x:v>
      </x:c>
      <x:c r="J36" s="26" t="n">
        <x:v>508.13829</x:v>
      </x:c>
      <x:c r="K36" s="26" t="n">
        <x:v>0.05417</x:v>
      </x:c>
      <x:c r="L36" s="26" t="n">
        <x:v>16.04</x:v>
      </x:c>
      <x:c r="M36" s="26" t="n">
        <x:v>720.65834</x:v>
      </x:c>
      <x:c r="N36" s="26" t="n">
        <x:v>0.10099</x:v>
      </x:c>
      <x:c r="O36" s="26" t="n">
        <x:v>16.7</x:v>
      </x:c>
      <x:c r="P36" s="26" t="n">
        <x:v>508.07315</x:v>
      </x:c>
      <x:c r="Q36" s="26" t="n">
        <x:v>0.0698</x:v>
      </x:c>
      <x:c r="R36" s="26" t="n">
        <x:v>13.13</x:v>
      </x:c>
      <x:c r="S36" s="26" t="n">
        <x:v>275.09769</x:v>
      </x:c>
      <x:c r="T36" s="26" t="n">
        <x:v>0.01262</x:v>
      </x:c>
      <x:c r="U36" s="26" t="n">
        <x:v>268.68173</x:v>
      </x:c>
      <x:c r="V36" s="26" t="n">
        <x:v>0.02836</x:v>
      </x:c>
      <x:c r="W36" s="26" t="n">
        <x:v>267.78344</x:v>
      </x:c>
      <x:c r="X36" s="26" t="n">
        <x:v>0.01928</x:v>
      </x:c>
      <x:c r="Y36" s="26" t="n">
        <x:v>268.5906</x:v>
      </x:c>
      <x:c r="Z36" s="26" t="n">
        <x:v>0.5906</x:v>
      </x:c>
      <x:c r="AA36" s="26" t="n">
        <x:v>0.0084</x:v>
      </x:c>
      <x:c r="AB36" s="26" t="n">
        <x:v>0.02836</x:v>
      </x:c>
      <x:c r="AC36" s="26" t="n">
        <x:v>0.01898</x:v>
      </x:c>
      <x:c r="AD36" s="26" t="n">
        <x:v>0.03515</x:v>
      </x:c>
      <x:c r="AE36" s="26" t="n">
        <x:v>6.07</x:v>
      </x:c>
      <x:c r="AF36" s="26" t="str">
        <x:v>Y</x:v>
      </x:c>
      <x:c r="AG36" s="26" t="n">
        <x:v>0.00852</x:v>
      </x:c>
      <x:c r="AH36" s="26" t="n">
        <x:v>103.22</x:v>
      </x:c>
      <x:c r="AI36" s="26" t="n">
        <x:v>0.044</x:v>
      </x:c>
      <x:c r="AJ36" s="26" t="n">
        <x:v>64.58</x:v>
      </x:c>
      <x:c r="AK36" s="26" t="n">
        <x:v>0.02876</x:v>
      </x:c>
      <x:c r="AL36" s="26" t="n">
        <x:v>-141.73</x:v>
      </x:c>
      <x:c r="AM36" s="26" t="n">
        <x:v>0.076</x:v>
      </x:c>
      <x:c r="AN36" s="26" t="n">
        <x:v>38.92</x:v>
      </x:c>
      <x:c r="AO36" s="26" t="n">
        <x:v>0.0249</x:v>
      </x:c>
      <x:c r="AP36" s="26" t="n">
        <x:v>120.27</x:v>
      </x:c>
      <x:c r="AQ36" s="26" t="n">
        <x:v>0.074</x:v>
      </x:c>
      <x:c r="AR36" s="26" t="n">
        <x:v>56.09</x:v>
      </x:c>
      <x:c r="AS36" s="26" t="n">
        <x:v>0.04115</x:v>
      </x:c>
      <x:c r="AT36" s="26" t="n">
        <x:v>28.02</x:v>
      </x:c>
      <x:c r="AU36" s="26" t="n">
        <x:v>0.207</x:v>
      </x:c>
      <x:c r="AV36" s="26" t="n">
        <x:v>0.6989</x:v>
      </x:c>
      <x:c r="AW36" s="26" t="n">
        <x:v>0.605</x:v>
      </x:c>
      <x:c r="AX36" s="26" t="n">
        <x:v>1</x:v>
      </x:c>
    </x:row>
    <x:row r="37">
      <x:c r="A37" s="26" t="str">
        <x:v>K2</x:v>
      </x:c>
      <x:c r="B37" s="26" t="str">
        <x:v>Horizontal / flat</x:v>
      </x:c>
      <x:c r="C37" s="26" t="str">
        <x:v>Low–medium</x:v>
      </x:c>
      <x:c r="D37" s="26" t="str">
        <x:v>Pasted text (2)(2).txt</x:v>
      </x:c>
      <x:c r="E37" s="26" t="str">
        <x:v>GAIN_SWEEP</x:v>
      </x:c>
      <x:c r="F37" s="26" t="n">
        <x:v>2</x:v>
      </x:c>
      <x:c r="G37" s="26" t="n">
        <x:v>2</x:v>
      </x:c>
      <x:c r="H37" s="26" t="n">
        <x:v>268</x:v>
      </x:c>
      <x:c r="I37" s="26" t="n">
        <x:v>2</x:v>
      </x:c>
      <x:c r="J37" s="26" t="n">
        <x:v>508.20903</x:v>
      </x:c>
      <x:c r="K37" s="26" t="n">
        <x:v>0.05451</x:v>
      </x:c>
      <x:c r="L37" s="26" t="n">
        <x:v>16.31</x:v>
      </x:c>
      <x:c r="M37" s="26" t="n">
        <x:v>740.63739</x:v>
      </x:c>
      <x:c r="N37" s="26" t="n">
        <x:v>0.10278</x:v>
      </x:c>
      <x:c r="O37" s="26" t="n">
        <x:v>17.11</x:v>
      </x:c>
      <x:c r="P37" s="26" t="n">
        <x:v>508.16904</x:v>
      </x:c>
      <x:c r="Q37" s="26" t="n">
        <x:v>0.07501</x:v>
      </x:c>
      <x:c r="R37" s="26" t="n">
        <x:v>13.69</x:v>
      </x:c>
      <x:c r="S37" s="26" t="n">
        <x:v>270.1576</x:v>
      </x:c>
      <x:c r="T37" s="26" t="n">
        <x:v>0.01212</x:v>
      </x:c>
      <x:c r="U37" s="26" t="n">
        <x:v>268.7571</x:v>
      </x:c>
      <x:c r="V37" s="26" t="n">
        <x:v>0.03241</x:v>
      </x:c>
      <x:c r="W37" s="26" t="n">
        <x:v>267.50259</x:v>
      </x:c>
      <x:c r="X37" s="26" t="n">
        <x:v>0.01995</x:v>
      </x:c>
      <x:c r="Y37" s="26" t="n">
        <x:v>268.70612</x:v>
      </x:c>
      <x:c r="Z37" s="26" t="n">
        <x:v>0.70612</x:v>
      </x:c>
      <x:c r="AA37" s="26" t="n">
        <x:v>0.00915</x:v>
      </x:c>
      <x:c r="AB37" s="26" t="n">
        <x:v>0.03241</x:v>
      </x:c>
      <x:c r="AC37" s="26" t="n">
        <x:v>0.01802</x:v>
      </x:c>
      <x:c r="AD37" s="26" t="n">
        <x:v>0.0382</x:v>
      </x:c>
      <x:c r="AE37" s="26" t="n">
        <x:v>6.47</x:v>
      </x:c>
      <x:c r="AF37" s="26" t="str">
        <x:v>Y</x:v>
      </x:c>
      <x:c r="AG37" s="26" t="n">
        <x:v>0.0132</x:v>
      </x:c>
      <x:c r="AH37" s="26" t="n">
        <x:v>68</x:v>
      </x:c>
      <x:c r="AI37" s="26" t="n">
        <x:v>0.062</x:v>
      </x:c>
      <x:c r="AJ37" s="26" t="n">
        <x:v>72.34</x:v>
      </x:c>
      <x:c r="AK37" s="26" t="n">
        <x:v>0.03917</x:v>
      </x:c>
      <x:c r="AL37" s="26" t="n">
        <x:v>-102.25</x:v>
      </x:c>
      <x:c r="AM37" s="26" t="n">
        <x:v>0.103</x:v>
      </x:c>
      <x:c r="AN37" s="26" t="n">
        <x:v>63.25</x:v>
      </x:c>
      <x:c r="AO37" s="26" t="n">
        <x:v>0.03306</x:v>
      </x:c>
      <x:c r="AP37" s="26" t="n">
        <x:v>172.29</x:v>
      </x:c>
      <x:c r="AQ37" s="26" t="n">
        <x:v>0.091</x:v>
      </x:c>
      <x:c r="AR37" s="26" t="n">
        <x:v>47.5</x:v>
      </x:c>
      <x:c r="AS37" s="26" t="n">
        <x:v>0.05569</x:v>
      </x:c>
      <x:c r="AT37" s="26" t="n">
        <x:v>43.14</x:v>
      </x:c>
      <x:c r="AU37" s="26" t="n">
        <x:v>0.237</x:v>
      </x:c>
      <x:c r="AV37" s="26" t="n">
        <x:v>0.7035</x:v>
      </x:c>
      <x:c r="AW37" s="26" t="n">
        <x:v>0.5936</x:v>
      </x:c>
      <x:c r="AX37" s="26" t="n">
        <x:v>1</x:v>
      </x:c>
    </x:row>
    <x:row r="38">
      <x:c r="A38" s="26" t="str">
        <x:v>K2</x:v>
      </x:c>
      <x:c r="B38" s="26" t="str">
        <x:v>Horizontal / flat</x:v>
      </x:c>
      <x:c r="C38" s="26" t="str">
        <x:v>Low–medium</x:v>
      </x:c>
      <x:c r="D38" s="26" t="str">
        <x:v>Pasted text (2)(2).txt</x:v>
      </x:c>
      <x:c r="E38" s="26" t="str">
        <x:v>GAIN_SWEEP</x:v>
      </x:c>
      <x:c r="F38" s="26" t="n">
        <x:v>3</x:v>
      </x:c>
      <x:c r="G38" s="26" t="n">
        <x:v>1</x:v>
      </x:c>
      <x:c r="H38" s="26" t="n">
        <x:v>268</x:v>
      </x:c>
      <x:c r="I38" s="26" t="n">
        <x:v>3</x:v>
      </x:c>
      <x:c r="J38" s="26" t="n">
        <x:v>480.3548</x:v>
      </x:c>
      <x:c r="K38" s="26" t="n">
        <x:v>0.06764</x:v>
      </x:c>
      <x:c r="L38" s="26" t="n">
        <x:v>17.46</x:v>
      </x:c>
      <x:c r="M38" s="26" t="n">
        <x:v>184.55673</x:v>
      </x:c>
      <x:c r="N38" s="26" t="n">
        <x:v>0.15423</x:v>
      </x:c>
      <x:c r="O38" s="26" t="n">
        <x:v>20.43</x:v>
      </x:c>
      <x:c r="P38" s="26" t="n">
        <x:v>480.21529</x:v>
      </x:c>
      <x:c r="Q38" s="26" t="n">
        <x:v>0.07582</x:v>
      </x:c>
      <x:c r="R38" s="26" t="n">
        <x:v>13.83</x:v>
      </x:c>
      <x:c r="S38" s="26" t="n">
        <x:v>273.93955</x:v>
      </x:c>
      <x:c r="T38" s="26" t="n">
        <x:v>0.01003</x:v>
      </x:c>
      <x:c r="U38" s="26" t="n">
        <x:v>268.6128</x:v>
      </x:c>
      <x:c r="V38" s="26" t="n">
        <x:v>0.03175</x:v>
      </x:c>
      <x:c r="W38" s="26" t="n">
        <x:v>268.3821</x:v>
      </x:c>
      <x:c r="X38" s="26" t="n">
        <x:v>0.03576</x:v>
      </x:c>
      <x:c r="Y38" s="26" t="n">
        <x:v>268.478</x:v>
      </x:c>
      <x:c r="Z38" s="26" t="n">
        <x:v>0.478</x:v>
      </x:c>
      <x:c r="AA38" s="26" t="n">
        <x:v>0.00715</x:v>
      </x:c>
      <x:c r="AB38" s="26" t="n">
        <x:v>0.03175</x:v>
      </x:c>
      <x:c r="AC38" s="26" t="n">
        <x:v>0.03576</x:v>
      </x:c>
      <x:c r="AD38" s="26" t="n">
        <x:v>0.04835</x:v>
      </x:c>
      <x:c r="AE38" s="26" t="n">
        <x:v>9.53</x:v>
      </x:c>
      <x:c r="AF38" s="26" t="str">
        <x:v>Z</x:v>
      </x:c>
      <x:c r="AG38" s="26" t="n">
        <x:v>0.01269</x:v>
      </x:c>
      <x:c r="AH38" s="26" t="n">
        <x:v>98.68</x:v>
      </x:c>
      <x:c r="AI38" s="26" t="n">
        <x:v>0.054</x:v>
      </x:c>
      <x:c r="AJ38" s="26" t="n">
        <x:v>35.35</x:v>
      </x:c>
      <x:c r="AK38" s="26" t="n">
        <x:v>0.01918</x:v>
      </x:c>
      <x:c r="AL38" s="26" t="n">
        <x:v>-106.08</x:v>
      </x:c>
      <x:c r="AM38" s="26" t="n">
        <x:v>0.047</x:v>
      </x:c>
      <x:c r="AN38" s="26" t="n">
        <x:v>85.77</x:v>
      </x:c>
      <x:c r="AO38" s="26" t="n">
        <x:v>0.0548</x:v>
      </x:c>
      <x:c r="AP38" s="26" t="n">
        <x:v>175.73</x:v>
      </x:c>
      <x:c r="AQ38" s="26" t="n">
        <x:v>0.147</x:v>
      </x:c>
      <x:c r="AR38" s="26" t="n">
        <x:v>13.43</x:v>
      </x:c>
      <x:c r="AS38" s="26" t="n">
        <x:v>0.06143</x:v>
      </x:c>
      <x:c r="AT38" s="26" t="n">
        <x:v>10.7</x:v>
      </x:c>
      <x:c r="AU38" s="26" t="n">
        <x:v>0.2066</x:v>
      </x:c>
      <x:c r="AV38" s="26" t="n">
        <x:v>0.3123</x:v>
      </x:c>
      <x:c r="AW38" s="26" t="n">
        <x:v>0.8921</x:v>
      </x:c>
      <x:c r="AX38" s="26" t="n">
        <x:v>1</x:v>
      </x:c>
    </x:row>
    <x:row r="39">
      <x:c r="A39" s="26" t="str">
        <x:v>K2</x:v>
      </x:c>
      <x:c r="B39" s="26" t="str">
        <x:v>Horizontal / flat</x:v>
      </x:c>
      <x:c r="C39" s="26" t="str">
        <x:v>Low–medium</x:v>
      </x:c>
      <x:c r="D39" s="26" t="str">
        <x:v>Pasted text (2)(2).txt</x:v>
      </x:c>
      <x:c r="E39" s="26" t="str">
        <x:v>GAIN_SWEEP</x:v>
      </x:c>
      <x:c r="F39" s="26" t="n">
        <x:v>3</x:v>
      </x:c>
      <x:c r="G39" s="26" t="n">
        <x:v>2</x:v>
      </x:c>
      <x:c r="H39" s="26" t="n">
        <x:v>268</x:v>
      </x:c>
      <x:c r="I39" s="26" t="n">
        <x:v>3</x:v>
      </x:c>
      <x:c r="J39" s="26" t="n">
        <x:v>480.71409</x:v>
      </x:c>
      <x:c r="K39" s="26" t="n">
        <x:v>0.06691</x:v>
      </x:c>
      <x:c r="L39" s="26" t="n">
        <x:v>17.14</x:v>
      </x:c>
      <x:c r="M39" s="26" t="n">
        <x:v>184.87183</x:v>
      </x:c>
      <x:c r="N39" s="26" t="n">
        <x:v>0.12826</x:v>
      </x:c>
      <x:c r="O39" s="26" t="n">
        <x:v>19.26</x:v>
      </x:c>
      <x:c r="P39" s="26" t="n">
        <x:v>480.64519</x:v>
      </x:c>
      <x:c r="Q39" s="26" t="n">
        <x:v>0.08994</x:v>
      </x:c>
      <x:c r="R39" s="26" t="n">
        <x:v>15.18</x:v>
      </x:c>
      <x:c r="S39" s="26" t="n">
        <x:v>274.73527</x:v>
      </x:c>
      <x:c r="T39" s="26" t="n">
        <x:v>0.01129</x:v>
      </x:c>
      <x:c r="U39" s="26" t="n">
        <x:v>268.41537</x:v>
      </x:c>
      <x:c r="V39" s="26" t="n">
        <x:v>0.03792</x:v>
      </x:c>
      <x:c r="W39" s="26" t="n">
        <x:v>268.52127</x:v>
      </x:c>
      <x:c r="X39" s="26" t="n">
        <x:v>0.03963</x:v>
      </x:c>
      <x:c r="Y39" s="26" t="n">
        <x:v>268.45738</x:v>
      </x:c>
      <x:c r="Z39" s="26" t="n">
        <x:v>0.45738</x:v>
      </x:c>
      <x:c r="AA39" s="26" t="n">
        <x:v>0.00448</x:v>
      </x:c>
      <x:c r="AB39" s="26" t="n">
        <x:v>0.03792</x:v>
      </x:c>
      <x:c r="AC39" s="26" t="n">
        <x:v>0.03963</x:v>
      </x:c>
      <x:c r="AD39" s="26" t="n">
        <x:v>0.05503</x:v>
      </x:c>
      <x:c r="AE39" s="26" t="n">
        <x:v>7.56</x:v>
      </x:c>
      <x:c r="AF39" s="26" t="str">
        <x:v>Z</x:v>
      </x:c>
      <x:c r="AG39" s="26" t="n">
        <x:v>0.0145</x:v>
      </x:c>
      <x:c r="AH39" s="26" t="n">
        <x:v>43.8</x:v>
      </x:c>
      <x:c r="AI39" s="26" t="n">
        <x:v>0.062</x:v>
      </x:c>
      <x:c r="AJ39" s="26" t="n">
        <x:v>70.55</x:v>
      </x:c>
      <x:c r="AK39" s="26" t="n">
        <x:v>0.03593</x:v>
      </x:c>
      <x:c r="AL39" s="26" t="n">
        <x:v>-146.01</x:v>
      </x:c>
      <x:c r="AM39" s="26" t="n">
        <x:v>0.091</x:v>
      </x:c>
      <x:c r="AN39" s="26" t="n">
        <x:v>45.51</x:v>
      </x:c>
      <x:c r="AO39" s="26" t="n">
        <x:v>0.04685</x:v>
      </x:c>
      <x:c r="AP39" s="26" t="n">
        <x:v>-179.59</x:v>
      </x:c>
      <x:c r="AQ39" s="26" t="n">
        <x:v>0.129</x:v>
      </x:c>
      <x:c r="AR39" s="26" t="n">
        <x:v>23.79</x:v>
      </x:c>
      <x:c r="AS39" s="26" t="n">
        <x:v>0.06236</x:v>
      </x:c>
      <x:c r="AT39" s="26" t="n">
        <x:v>25.63</x:v>
      </x:c>
      <x:c r="AU39" s="26" t="n">
        <x:v>0.2326</x:v>
      </x:c>
      <x:c r="AV39" s="26" t="n">
        <x:v>0.5762</x:v>
      </x:c>
      <x:c r="AW39" s="26" t="n">
        <x:v>0.7513</x:v>
      </x:c>
      <x:c r="AX39" s="26" t="n">
        <x:v>1</x:v>
      </x:c>
    </x:row>
    <x:row r="40">
      <x:c r="A40" s="26" t="str">
        <x:v>K2</x:v>
      </x:c>
      <x:c r="B40" s="26" t="str">
        <x:v>Horizontal / flat</x:v>
      </x:c>
      <x:c r="C40" s="26" t="str">
        <x:v>Low–medium</x:v>
      </x:c>
      <x:c r="D40" s="26" t="str">
        <x:v>Pasted text (2)(2).txt</x:v>
      </x:c>
      <x:c r="E40" s="26" t="str">
        <x:v>GAIN_SWEEP</x:v>
      </x:c>
      <x:c r="F40" s="26" t="n">
        <x:v>4</x:v>
      </x:c>
      <x:c r="G40" s="26" t="n">
        <x:v>1</x:v>
      </x:c>
      <x:c r="H40" s="26" t="n">
        <x:v>268</x:v>
      </x:c>
      <x:c r="I40" s="26" t="n">
        <x:v>4</x:v>
      </x:c>
      <x:c r="J40" s="26" t="n">
        <x:v>480.6082</x:v>
      </x:c>
      <x:c r="K40" s="26" t="n">
        <x:v>0.07284</x:v>
      </x:c>
      <x:c r="L40" s="26" t="n">
        <x:v>17.09</x:v>
      </x:c>
      <x:c r="M40" s="26" t="n">
        <x:v>184.69155</x:v>
      </x:c>
      <x:c r="N40" s="26" t="n">
        <x:v>0.27082</x:v>
      </x:c>
      <x:c r="O40" s="26" t="n">
        <x:v>24.65</x:v>
      </x:c>
      <x:c r="P40" s="26" t="n">
        <x:v>480.64458</x:v>
      </x:c>
      <x:c r="Q40" s="26" t="n">
        <x:v>0.0914</x:v>
      </x:c>
      <x:c r="R40" s="26" t="n">
        <x:v>15.16</x:v>
      </x:c>
      <x:c r="S40" s="26" t="n">
        <x:v>275.78125</x:v>
      </x:c>
      <x:c r="T40" s="26" t="n">
        <x:v>0.01428</x:v>
      </x:c>
      <x:c r="U40" s="26" t="n">
        <x:v>268.29781</x:v>
      </x:c>
      <x:c r="V40" s="26" t="n">
        <x:v>0.03813</x:v>
      </x:c>
      <x:c r="W40" s="26" t="n">
        <x:v>267.90391</x:v>
      </x:c>
      <x:c r="X40" s="26" t="n">
        <x:v>0.04698</x:v>
      </x:c>
      <x:c r="Y40" s="26" t="n">
        <x:v>268.08586</x:v>
      </x:c>
      <x:c r="Z40" s="26" t="n">
        <x:v>0.08586</x:v>
      </x:c>
      <x:c r="AA40" s="26" t="n">
        <x:v>0.00926</x:v>
      </x:c>
      <x:c r="AB40" s="26" t="n">
        <x:v>0.03813</x:v>
      </x:c>
      <x:c r="AC40" s="26" t="n">
        <x:v>0.04539</x:v>
      </x:c>
      <x:c r="AD40" s="26" t="n">
        <x:v>0.06</x:v>
      </x:c>
      <x:c r="AE40" s="26" t="n">
        <x:v>7.37</x:v>
      </x:c>
      <x:c r="AF40" s="26" t="str">
        <x:v>Z</x:v>
      </x:c>
      <x:c r="AG40" s="26" t="n">
        <x:v>0.00967</x:v>
      </x:c>
      <x:c r="AH40" s="26" t="n">
        <x:v>-24.24</x:v>
      </x:c>
      <x:c r="AI40" s="26" t="n">
        <x:v>0.037</x:v>
      </x:c>
      <x:c r="AJ40" s="26" t="n">
        <x:v>41.5</x:v>
      </x:c>
      <x:c r="AK40" s="26" t="n">
        <x:v>0.04301</x:v>
      </x:c>
      <x:c r="AL40" s="26" t="n">
        <x:v>-153.11</x:v>
      </x:c>
      <x:c r="AM40" s="26" t="n">
        <x:v>0.089</x:v>
      </x:c>
      <x:c r="AN40" s="26" t="n">
        <x:v>25.7</x:v>
      </x:c>
      <x:c r="AO40" s="26" t="n">
        <x:v>0.05643</x:v>
      </x:c>
      <x:c r="AP40" s="26" t="n">
        <x:v>159.84</x:v>
      </x:c>
      <x:c r="AQ40" s="26" t="n">
        <x:v>0.144</x:v>
      </x:c>
      <x:c r="AR40" s="26" t="n">
        <x:v>22.75</x:v>
      </x:c>
      <x:c r="AS40" s="26" t="n">
        <x:v>0.07229</x:v>
      </x:c>
      <x:c r="AT40" s="26" t="n">
        <x:v>18.53</x:v>
      </x:c>
      <x:c r="AU40" s="26" t="n">
        <x:v>0.1337</x:v>
      </x:c>
      <x:c r="AV40" s="26" t="n">
        <x:v>0.5949</x:v>
      </x:c>
      <x:c r="AW40" s="26" t="n">
        <x:v>0.7805</x:v>
      </x:c>
      <x:c r="AX40" s="26" t="n">
        <x:v>1</x:v>
      </x:c>
    </x:row>
    <x:row r="41">
      <x:c r="A41" s="26" t="str">
        <x:v>K2</x:v>
      </x:c>
      <x:c r="B41" s="26" t="str">
        <x:v>Horizontal / flat</x:v>
      </x:c>
      <x:c r="C41" s="26" t="str">
        <x:v>Low–medium</x:v>
      </x:c>
      <x:c r="D41" s="26" t="str">
        <x:v>Pasted text (2)(2).txt</x:v>
      </x:c>
      <x:c r="E41" s="26" t="str">
        <x:v>GAIN_SWEEP</x:v>
      </x:c>
      <x:c r="F41" s="26" t="n">
        <x:v>4</x:v>
      </x:c>
      <x:c r="G41" s="26" t="n">
        <x:v>2</x:v>
      </x:c>
      <x:c r="H41" s="26" t="n">
        <x:v>268</x:v>
      </x:c>
      <x:c r="I41" s="26" t="n">
        <x:v>4</x:v>
      </x:c>
      <x:c r="J41" s="26" t="n">
        <x:v>480.58891</x:v>
      </x:c>
      <x:c r="K41" s="26" t="n">
        <x:v>0.06814</x:v>
      </x:c>
      <x:c r="L41" s="26" t="n">
        <x:v>16.6</x:v>
      </x:c>
      <x:c r="M41" s="26" t="n">
        <x:v>184.74533</x:v>
      </x:c>
      <x:c r="N41" s="26" t="n">
        <x:v>0.26068</x:v>
      </x:c>
      <x:c r="O41" s="26" t="n">
        <x:v>24.43</x:v>
      </x:c>
      <x:c r="P41" s="26" t="n">
        <x:v>480.62903</x:v>
      </x:c>
      <x:c r="Q41" s="26" t="n">
        <x:v>0.08126</x:v>
      </x:c>
      <x:c r="R41" s="26" t="n">
        <x:v>14.15</x:v>
      </x:c>
      <x:c r="S41" s="26" t="n">
        <x:v>265.75099</x:v>
      </x:c>
      <x:c r="T41" s="26" t="n">
        <x:v>0.01318</x:v>
      </x:c>
      <x:c r="U41" s="26" t="n">
        <x:v>268.27047</x:v>
      </x:c>
      <x:c r="V41" s="26" t="n">
        <x:v>0.03076</x:v>
      </x:c>
      <x:c r="W41" s="26" t="n">
        <x:v>267.99723</x:v>
      </x:c>
      <x:c r="X41" s="26" t="n">
        <x:v>0.05384</x:v>
      </x:c>
      <x:c r="Y41" s="26" t="n">
        <x:v>268.07884</x:v>
      </x:c>
      <x:c r="Z41" s="26" t="n">
        <x:v>0.07884</x:v>
      </x:c>
      <x:c r="AA41" s="26" t="n">
        <x:v>0.01081</x:v>
      </x:c>
      <x:c r="AB41" s="26" t="n">
        <x:v>0.03076</x:v>
      </x:c>
      <x:c r="AC41" s="26" t="n">
        <x:v>0.05384</x:v>
      </x:c>
      <x:c r="AD41" s="26" t="n">
        <x:v>0.06295</x:v>
      </x:c>
      <x:c r="AE41" s="26" t="n">
        <x:v>9.27</x:v>
      </x:c>
      <x:c r="AF41" s="26" t="str">
        <x:v>Z</x:v>
      </x:c>
      <x:c r="AG41" s="26" t="n">
        <x:v>0.00962</x:v>
      </x:c>
      <x:c r="AH41" s="26" t="n">
        <x:v>-74.83</x:v>
      </x:c>
      <x:c r="AI41" s="26" t="n">
        <x:v>0.036</x:v>
      </x:c>
      <x:c r="AJ41" s="26" t="n">
        <x:v>67.93</x:v>
      </x:c>
      <x:c r="AK41" s="26" t="n">
        <x:v>0.03672</x:v>
      </x:c>
      <x:c r="AL41" s="26" t="n">
        <x:v>-156.87</x:v>
      </x:c>
      <x:c r="AM41" s="26" t="n">
        <x:v>0.076</x:v>
      </x:c>
      <x:c r="AN41" s="26" t="n">
        <x:v>70.06</x:v>
      </x:c>
      <x:c r="AO41" s="26" t="n">
        <x:v>0.07594</x:v>
      </x:c>
      <x:c r="AP41" s="26" t="n">
        <x:v>174.28</x:v>
      </x:c>
      <x:c r="AQ41" s="26" t="n">
        <x:v>0.2</x:v>
      </x:c>
      <x:c r="AR41" s="26" t="n">
        <x:v>17.88</x:v>
      </x:c>
      <x:c r="AS41" s="26" t="n">
        <x:v>0.0886</x:v>
      </x:c>
      <x:c r="AT41" s="26" t="n">
        <x:v>10.44</x:v>
      </x:c>
      <x:c r="AU41" s="26" t="n">
        <x:v>0.1086</x:v>
      </x:c>
      <x:c r="AV41" s="26" t="n">
        <x:v>0.4145</x:v>
      </x:c>
      <x:c r="AW41" s="26" t="n">
        <x:v>0.8571</x:v>
      </x:c>
      <x:c r="AX41" s="26" t="n">
        <x:v>1</x:v>
      </x:c>
    </x:row>
    <x:row r="42">
      <x:c r="A42" s="26" t="str">
        <x:v>K2</x:v>
      </x:c>
      <x:c r="B42" s="26" t="str">
        <x:v>Horizontal / flat</x:v>
      </x:c>
      <x:c r="C42" s="26" t="str">
        <x:v>Low–medium</x:v>
      </x:c>
      <x:c r="D42" s="26" t="str">
        <x:v>Pasted text (2)(2).txt</x:v>
      </x:c>
      <x:c r="E42" s="26" t="str">
        <x:v>GAIN_SWEEP</x:v>
      </x:c>
      <x:c r="F42" s="26" t="n">
        <x:v>5</x:v>
      </x:c>
      <x:c r="G42" s="26" t="n">
        <x:v>1</x:v>
      </x:c>
      <x:c r="H42" s="26" t="n">
        <x:v>268</x:v>
      </x:c>
      <x:c r="I42" s="26" t="n">
        <x:v>5</x:v>
      </x:c>
      <x:c r="J42" s="26" t="n">
        <x:v>748.44889</x:v>
      </x:c>
      <x:c r="K42" s="26" t="n">
        <x:v>0.06734</x:v>
      </x:c>
      <x:c r="L42" s="26" t="n">
        <x:v>17.08</x:v>
      </x:c>
      <x:c r="M42" s="26" t="n">
        <x:v>184.5439</x:v>
      </x:c>
      <x:c r="N42" s="26" t="n">
        <x:v>0.18169</x:v>
      </x:c>
      <x:c r="O42" s="26" t="n">
        <x:v>21.05</x:v>
      </x:c>
      <x:c r="P42" s="26" t="n">
        <x:v>480.55032</x:v>
      </x:c>
      <x:c r="Q42" s="26" t="n">
        <x:v>0.07593</x:v>
      </x:c>
      <x:c r="R42" s="26" t="n">
        <x:v>13.68</x:v>
      </x:c>
      <x:c r="S42" s="26" t="n">
        <x:v>260.15625</x:v>
      </x:c>
      <x:c r="T42" s="26" t="n">
        <x:v>0.01252</x:v>
      </x:c>
      <x:c r="U42" s="26" t="n">
        <x:v>267.59633</x:v>
      </x:c>
      <x:c r="V42" s="26" t="n">
        <x:v>0.03338</x:v>
      </x:c>
      <x:c r="W42" s="26" t="n">
        <x:v>268.04659</x:v>
      </x:c>
      <x:c r="X42" s="26" t="n">
        <x:v>0.06368</x:v>
      </x:c>
      <x:c r="Y42" s="26" t="n">
        <x:v>267.96393</x:v>
      </x:c>
      <x:c r="Z42" s="26" t="n">
        <x:v>-0.03607</x:v>
      </x:c>
      <x:c r="AA42" s="26" t="n">
        <x:v>0.00545</x:v>
      </x:c>
      <x:c r="AB42" s="26" t="n">
        <x:v>0.03338</x:v>
      </x:c>
      <x:c r="AC42" s="26" t="n">
        <x:v>0.06134</x:v>
      </x:c>
      <x:c r="AD42" s="26" t="n">
        <x:v>0.07005</x:v>
      </x:c>
      <x:c r="AE42" s="26" t="n">
        <x:v>10.56</x:v>
      </x:c>
      <x:c r="AF42" s="26" t="str">
        <x:v>Z</x:v>
      </x:c>
      <x:c r="AG42" s="26" t="n">
        <x:v>0.01299</x:v>
      </x:c>
      <x:c r="AH42" s="26" t="n">
        <x:v>-112.34</x:v>
      </x:c>
      <x:c r="AI42" s="26" t="n">
        <x:v>0.054</x:v>
      </x:c>
      <x:c r="AJ42" s="26" t="n">
        <x:v>37.18</x:v>
      </x:c>
      <x:c r="AK42" s="26" t="n">
        <x:v>0.03722</x:v>
      </x:c>
      <x:c r="AL42" s="26" t="n">
        <x:v>-145.9</x:v>
      </x:c>
      <x:c r="AM42" s="26" t="n">
        <x:v>0.083</x:v>
      </x:c>
      <x:c r="AN42" s="26" t="n">
        <x:v>41.77</x:v>
      </x:c>
      <x:c r="AO42" s="26" t="n">
        <x:v>0.08068</x:v>
      </x:c>
      <x:c r="AP42" s="26" t="n">
        <x:v>170.33</x:v>
      </x:c>
      <x:c r="AQ42" s="26" t="n">
        <x:v>0.221</x:v>
      </x:c>
      <x:c r="AR42" s="26" t="n">
        <x:v>21.52</x:v>
      </x:c>
      <x:c r="AS42" s="26" t="n">
        <x:v>0.09007</x:v>
      </x:c>
      <x:c r="AT42" s="26" t="n">
        <x:v>24.94</x:v>
      </x:c>
      <x:c r="AU42" s="26" t="n">
        <x:v>0.1442</x:v>
      </x:c>
      <x:c r="AV42" s="26" t="n">
        <x:v>0.4132</x:v>
      </x:c>
      <x:c r="AW42" s="26" t="n">
        <x:v>0.8958</x:v>
      </x:c>
      <x:c r="AX42" s="26" t="n">
        <x:v>1</x:v>
      </x:c>
    </x:row>
    <x:row r="43">
      <x:c r="A43" s="26" t="str">
        <x:v>K2</x:v>
      </x:c>
      <x:c r="B43" s="26" t="str">
        <x:v>Horizontal / flat</x:v>
      </x:c>
      <x:c r="C43" s="26" t="str">
        <x:v>Low–medium</x:v>
      </x:c>
      <x:c r="D43" s="26" t="str">
        <x:v>Pasted text (2)(2).txt</x:v>
      </x:c>
      <x:c r="E43" s="26" t="str">
        <x:v>GAIN_SWEEP</x:v>
      </x:c>
      <x:c r="F43" s="26" t="n">
        <x:v>5</x:v>
      </x:c>
      <x:c r="G43" s="26" t="n">
        <x:v>2</x:v>
      </x:c>
      <x:c r="H43" s="26" t="n">
        <x:v>268</x:v>
      </x:c>
      <x:c r="I43" s="26" t="n">
        <x:v>5</x:v>
      </x:c>
      <x:c r="J43" s="26" t="n">
        <x:v>480.51178</x:v>
      </x:c>
      <x:c r="K43" s="26" t="n">
        <x:v>0.06506</x:v>
      </x:c>
      <x:c r="L43" s="26" t="n">
        <x:v>17.03</x:v>
      </x:c>
      <x:c r="M43" s="26" t="n">
        <x:v>184.61982</x:v>
      </x:c>
      <x:c r="N43" s="26" t="n">
        <x:v>0.17081</x:v>
      </x:c>
      <x:c r="O43" s="26" t="n">
        <x:v>20.46</x:v>
      </x:c>
      <x:c r="P43" s="26" t="n">
        <x:v>480.33837</x:v>
      </x:c>
      <x:c r="Q43" s="26" t="n">
        <x:v>0.07341</x:v>
      </x:c>
      <x:c r="R43" s="26" t="n">
        <x:v>13.37</x:v>
      </x:c>
      <x:c r="S43" s="26" t="n">
        <x:v>274.21875</x:v>
      </x:c>
      <x:c r="T43" s="26" t="n">
        <x:v>0.0122</x:v>
      </x:c>
      <x:c r="U43" s="26" t="n">
        <x:v>268.29427</x:v>
      </x:c>
      <x:c r="V43" s="26" t="n">
        <x:v>0.03504</x:v>
      </x:c>
      <x:c r="W43" s="26" t="n">
        <x:v>268.09928</x:v>
      </x:c>
      <x:c r="X43" s="26" t="n">
        <x:v>0.06947</x:v>
      </x:c>
      <x:c r="Y43" s="26" t="n">
        <x:v>268.14189</x:v>
      </x:c>
      <x:c r="Z43" s="26" t="n">
        <x:v>0.14189</x:v>
      </x:c>
      <x:c r="AA43" s="26" t="n">
        <x:v>0.00551</x:v>
      </x:c>
      <x:c r="AB43" s="26" t="n">
        <x:v>0.03504</x:v>
      </x:c>
      <x:c r="AC43" s="26" t="n">
        <x:v>0.06947</x:v>
      </x:c>
      <x:c r="AD43" s="26" t="n">
        <x:v>0.078</x:v>
      </x:c>
      <x:c r="AE43" s="26" t="n">
        <x:v>9.98</x:v>
      </x:c>
      <x:c r="AF43" s="26" t="str">
        <x:v>Z</x:v>
      </x:c>
      <x:c r="AG43" s="26" t="n">
        <x:v>0.008</x:v>
      </x:c>
      <x:c r="AH43" s="26" t="n">
        <x:v>-120.46</x:v>
      </x:c>
      <x:c r="AI43" s="26" t="n">
        <x:v>0.033</x:v>
      </x:c>
      <x:c r="AJ43" s="26" t="n">
        <x:v>41.56</x:v>
      </x:c>
      <x:c r="AK43" s="26" t="n">
        <x:v>0.03786</x:v>
      </x:c>
      <x:c r="AL43" s="26" t="n">
        <x:v>-130.6</x:v>
      </x:c>
      <x:c r="AM43" s="26" t="n">
        <x:v>0.086</x:v>
      </x:c>
      <x:c r="AN43" s="26" t="n">
        <x:v>37.31</x:v>
      </x:c>
      <x:c r="AO43" s="26" t="n">
        <x:v>0.08547</x:v>
      </x:c>
      <x:c r="AP43" s="26" t="n">
        <x:v>-179.07</x:v>
      </x:c>
      <x:c r="AQ43" s="26" t="n">
        <x:v>0.233</x:v>
      </x:c>
      <x:c r="AR43" s="26" t="n">
        <x:v>22.15</x:v>
      </x:c>
      <x:c r="AS43" s="26" t="n">
        <x:v>0.0949</x:v>
      </x:c>
      <x:c r="AT43" s="26" t="n">
        <x:v>18.69</x:v>
      </x:c>
      <x:c r="AU43" s="26" t="n">
        <x:v>0.0842</x:v>
      </x:c>
      <x:c r="AV43" s="26" t="n">
        <x:v>0.399</x:v>
      </x:c>
      <x:c r="AW43" s="26" t="n">
        <x:v>0.9006</x:v>
      </x:c>
      <x:c r="AX43" s="26" t="n">
        <x:v>1</x:v>
      </x:c>
    </x:row>
    <x:row r="44">
      <x:c r="A44" s="26" t="str">
        <x:v>K2</x:v>
      </x:c>
      <x:c r="B44" s="26" t="str">
        <x:v>Horizontal / flat</x:v>
      </x:c>
      <x:c r="C44" s="26" t="str">
        <x:v>Low–medium</x:v>
      </x:c>
      <x:c r="D44" s="26" t="str">
        <x:v>Pasted text (2)(2).txt</x:v>
      </x:c>
      <x:c r="E44" s="26" t="str">
        <x:v>GAIN_SWEEP</x:v>
      </x:c>
      <x:c r="F44" s="26" t="n">
        <x:v>6</x:v>
      </x:c>
      <x:c r="G44" s="26" t="n">
        <x:v>1</x:v>
      </x:c>
      <x:c r="H44" s="26" t="n">
        <x:v>268</x:v>
      </x:c>
      <x:c r="I44" s="26" t="n">
        <x:v>6</x:v>
      </x:c>
      <x:c r="J44" s="26" t="n">
        <x:v>748.33946</x:v>
      </x:c>
      <x:c r="K44" s="26" t="n">
        <x:v>0.0649</x:v>
      </x:c>
      <x:c r="L44" s="26" t="n">
        <x:v>16.79</x:v>
      </x:c>
      <x:c r="M44" s="26" t="n">
        <x:v>100.75139</x:v>
      </x:c>
      <x:c r="N44" s="26" t="n">
        <x:v>0.08227</x:v>
      </x:c>
      <x:c r="O44" s="26" t="n">
        <x:v>13.99</x:v>
      </x:c>
      <x:c r="P44" s="26" t="n">
        <x:v>267.87823</x:v>
      </x:c>
      <x:c r="Q44" s="26" t="n">
        <x:v>0.09273</x:v>
      </x:c>
      <x:c r="R44" s="26" t="n">
        <x:v>15.44</x:v>
      </x:c>
      <x:c r="S44" s="26" t="n">
        <x:v>275.05264</x:v>
      </x:c>
      <x:c r="T44" s="26" t="n">
        <x:v>0.01395</x:v>
      </x:c>
      <x:c r="U44" s="26" t="n">
        <x:v>268.04864</x:v>
      </x:c>
      <x:c r="V44" s="26" t="n">
        <x:v>0.04637</x:v>
      </x:c>
      <x:c r="W44" s="26" t="n">
        <x:v>267.87823</x:v>
      </x:c>
      <x:c r="X44" s="26" t="n">
        <x:v>0.09273</x:v>
      </x:c>
      <x:c r="Y44" s="26" t="n">
        <x:v>267.91761</x:v>
      </x:c>
      <x:c r="Z44" s="26" t="n">
        <x:v>-0.08239</x:v>
      </x:c>
      <x:c r="AA44" s="26" t="n">
        <x:v>0.0067</x:v>
      </x:c>
      <x:c r="AB44" s="26" t="n">
        <x:v>0.04483</x:v>
      </x:c>
      <x:c r="AC44" s="26" t="n">
        <x:v>0.09273</x:v>
      </x:c>
      <x:c r="AD44" s="26" t="n">
        <x:v>0.10322</x:v>
      </x:c>
      <x:c r="AE44" s="26" t="n">
        <x:v>12.82</x:v>
      </x:c>
      <x:c r="AF44" s="26" t="str">
        <x:v>Z</x:v>
      </x:c>
      <x:c r="AG44" s="26" t="n">
        <x:v>0.00533</x:v>
      </x:c>
      <x:c r="AH44" s="26" t="n">
        <x:v>-62.61</x:v>
      </x:c>
      <x:c r="AI44" s="26" t="n">
        <x:v>0.022</x:v>
      </x:c>
      <x:c r="AJ44" s="26" t="n">
        <x:v>55.21</x:v>
      </x:c>
      <x:c r="AK44" s="26" t="n">
        <x:v>0.05775</x:v>
      </x:c>
      <x:c r="AL44" s="26" t="n">
        <x:v>-140.46</x:v>
      </x:c>
      <x:c r="AM44" s="26" t="n">
        <x:v>0.146</x:v>
      </x:c>
      <x:c r="AN44" s="26" t="n">
        <x:v>38.84</x:v>
      </x:c>
      <x:c r="AO44" s="26" t="n">
        <x:v>0.09991</x:v>
      </x:c>
      <x:c r="AP44" s="26" t="n">
        <x:v>170.14</x:v>
      </x:c>
      <x:c r="AQ44" s="26" t="n">
        <x:v>0.275</x:v>
      </x:c>
      <x:c r="AR44" s="26" t="n">
        <x:v>22.55</x:v>
      </x:c>
      <x:c r="AS44" s="26" t="n">
        <x:v>0.11706</x:v>
      </x:c>
      <x:c r="AT44" s="26" t="n">
        <x:v>20.4</x:v>
      </x:c>
      <x:c r="AU44" s="26" t="n">
        <x:v>0.0456</x:v>
      </x:c>
      <x:c r="AV44" s="26" t="n">
        <x:v>0.4933</x:v>
      </x:c>
      <x:c r="AW44" s="26" t="n">
        <x:v>0.8535</x:v>
      </x:c>
      <x:c r="AX44" s="26" t="n">
        <x:v>1</x:v>
      </x:c>
    </x:row>
    <x:row r="45">
      <x:c r="A45" s="26" t="str">
        <x:v>K2</x:v>
      </x:c>
      <x:c r="B45" s="26" t="str">
        <x:v>Horizontal / flat</x:v>
      </x:c>
      <x:c r="C45" s="26" t="str">
        <x:v>Low–medium</x:v>
      </x:c>
      <x:c r="D45" s="26" t="str">
        <x:v>Pasted text (2)(2).txt</x:v>
      </x:c>
      <x:c r="E45" s="26" t="str">
        <x:v>GAIN_SWEEP</x:v>
      </x:c>
      <x:c r="F45" s="26" t="n">
        <x:v>6</x:v>
      </x:c>
      <x:c r="G45" s="26" t="n">
        <x:v>2</x:v>
      </x:c>
      <x:c r="H45" s="26" t="n">
        <x:v>268</x:v>
      </x:c>
      <x:c r="I45" s="26" t="n">
        <x:v>6</x:v>
      </x:c>
      <x:c r="J45" s="26" t="n">
        <x:v>748.37822</x:v>
      </x:c>
      <x:c r="K45" s="26" t="n">
        <x:v>0.06421</x:v>
      </x:c>
      <x:c r="L45" s="26" t="n">
        <x:v>16.34</x:v>
      </x:c>
      <x:c r="M45" s="26" t="n">
        <x:v>100.42193</x:v>
      </x:c>
      <x:c r="N45" s="26" t="n">
        <x:v>0.09046</x:v>
      </x:c>
      <x:c r="O45" s="26" t="n">
        <x:v>14.91</x:v>
      </x:c>
      <x:c r="P45" s="26" t="n">
        <x:v>268.08772</x:v>
      </x:c>
      <x:c r="Q45" s="26" t="n">
        <x:v>0.08631</x:v>
      </x:c>
      <x:c r="R45" s="26" t="n">
        <x:v>15.17</x:v>
      </x:c>
      <x:c r="S45" s="26" t="n">
        <x:v>275.78125</x:v>
      </x:c>
      <x:c r="T45" s="26" t="n">
        <x:v>0.01301</x:v>
      </x:c>
      <x:c r="U45" s="26" t="n">
        <x:v>268.20326</x:v>
      </x:c>
      <x:c r="V45" s="26" t="n">
        <x:v>0.0567</x:v>
      </x:c>
      <x:c r="W45" s="26" t="n">
        <x:v>268.08772</x:v>
      </x:c>
      <x:c r="X45" s="26" t="n">
        <x:v>0.08631</x:v>
      </x:c>
      <x:c r="Y45" s="26" t="n">
        <x:v>268.12073</x:v>
      </x:c>
      <x:c r="Z45" s="26" t="n">
        <x:v>0.12073</x:v>
      </x:c>
      <x:c r="AA45" s="26" t="n">
        <x:v>0.00705</x:v>
      </x:c>
      <x:c r="AB45" s="26" t="n">
        <x:v>0.0567</x:v>
      </x:c>
      <x:c r="AC45" s="26" t="n">
        <x:v>0.08631</x:v>
      </x:c>
      <x:c r="AD45" s="26" t="n">
        <x:v>0.10351</x:v>
      </x:c>
      <x:c r="AE45" s="26" t="n">
        <x:v>15.1</x:v>
      </x:c>
      <x:c r="AF45" s="26" t="str">
        <x:v>Z</x:v>
      </x:c>
      <x:c r="AG45" s="26" t="n">
        <x:v>0.01192</x:v>
      </x:c>
      <x:c r="AH45" s="26" t="n">
        <x:v>-85.45</x:v>
      </x:c>
      <x:c r="AI45" s="26" t="n">
        <x:v>0.051</x:v>
      </x:c>
      <x:c r="AJ45" s="26" t="n">
        <x:v>47.53</x:v>
      </x:c>
      <x:c r="AK45" s="26" t="n">
        <x:v>0.03763</x:v>
      </x:c>
      <x:c r="AL45" s="26" t="n">
        <x:v>-129.05</x:v>
      </x:c>
      <x:c r="AM45" s="26" t="n">
        <x:v>0.094</x:v>
      </x:c>
      <x:c r="AN45" s="26" t="n">
        <x:v>55.92</x:v>
      </x:c>
      <x:c r="AO45" s="26" t="n">
        <x:v>0.10871</x:v>
      </x:c>
      <x:c r="AP45" s="26" t="n">
        <x:v>174.02</x:v>
      </x:c>
      <x:c r="AQ45" s="26" t="n">
        <x:v>0.295</x:v>
      </x:c>
      <x:c r="AR45" s="26" t="n">
        <x:v>22.52</x:v>
      </x:c>
      <x:c r="AS45" s="26" t="n">
        <x:v>0.11785</x:v>
      </x:c>
      <x:c r="AT45" s="26" t="n">
        <x:v>17.64</x:v>
      </x:c>
      <x:c r="AU45" s="26" t="n">
        <x:v>0.1012</x:v>
      </x:c>
      <x:c r="AV45" s="26" t="n">
        <x:v>0.3193</x:v>
      </x:c>
      <x:c r="AW45" s="26" t="n">
        <x:v>0.9224</x:v>
      </x:c>
      <x:c r="AX45" s="26" t="n">
        <x:v>1</x:v>
      </x:c>
    </x:row>
    <x:row r="46">
      <x:c r="A46" s="26" t="str">
        <x:v>K2</x:v>
      </x:c>
      <x:c r="B46" s="26" t="str">
        <x:v>Horizontal / flat</x:v>
      </x:c>
      <x:c r="C46" s="26" t="str">
        <x:v>Low–medium</x:v>
      </x:c>
      <x:c r="D46" s="26" t="str">
        <x:v>Pasted text (2)(2).txt</x:v>
      </x:c>
      <x:c r="E46" s="26" t="str">
        <x:v>GAIN_SWEEP</x:v>
      </x:c>
      <x:c r="F46" s="26" t="n">
        <x:v>7</x:v>
      </x:c>
      <x:c r="G46" s="26" t="n">
        <x:v>1</x:v>
      </x:c>
      <x:c r="H46" s="26" t="n">
        <x:v>268</x:v>
      </x:c>
      <x:c r="I46" s="26" t="n">
        <x:v>7</x:v>
      </x:c>
      <x:c r="J46" s="26" t="n">
        <x:v>748.44624</x:v>
      </x:c>
      <x:c r="K46" s="26" t="n">
        <x:v>0.05555</x:v>
      </x:c>
      <x:c r="L46" s="26" t="n">
        <x:v>15.58</x:v>
      </x:c>
      <x:c r="M46" s="26" t="n">
        <x:v>184.47585</x:v>
      </x:c>
      <x:c r="N46" s="26" t="n">
        <x:v>0.10494</x:v>
      </x:c>
      <x:c r="O46" s="26" t="n">
        <x:v>16.75</x:v>
      </x:c>
      <x:c r="P46" s="26" t="n">
        <x:v>268.14287</x:v>
      </x:c>
      <x:c r="Q46" s="26" t="n">
        <x:v>0.12249</x:v>
      </x:c>
      <x:c r="R46" s="26" t="n">
        <x:v>17.89</x:v>
      </x:c>
      <x:c r="S46" s="26" t="n">
        <x:v>275.18938</x:v>
      </x:c>
      <x:c r="T46" s="26" t="n">
        <x:v>0.01147</x:v>
      </x:c>
      <x:c r="U46" s="26" t="n">
        <x:v>268.17755</x:v>
      </x:c>
      <x:c r="V46" s="26" t="n">
        <x:v>0.05332</x:v>
      </x:c>
      <x:c r="W46" s="26" t="n">
        <x:v>268.14287</x:v>
      </x:c>
      <x:c r="X46" s="26" t="n">
        <x:v>0.12249</x:v>
      </x:c>
      <x:c r="Y46" s="26" t="n">
        <x:v>268.14723</x:v>
      </x:c>
      <x:c r="Z46" s="26" t="n">
        <x:v>0.14723</x:v>
      </x:c>
      <x:c r="AA46" s="26" t="n">
        <x:v>0.00486</x:v>
      </x:c>
      <x:c r="AB46" s="26" t="n">
        <x:v>0.05332</x:v>
      </x:c>
      <x:c r="AC46" s="26" t="n">
        <x:v>0.12249</x:v>
      </x:c>
      <x:c r="AD46" s="26" t="n">
        <x:v>0.13368</x:v>
      </x:c>
      <x:c r="AE46" s="26" t="n">
        <x:v>15.5</x:v>
      </x:c>
      <x:c r="AF46" s="26" t="str">
        <x:v>Z</x:v>
      </x:c>
      <x:c r="AG46" s="26" t="n">
        <x:v>0.01281</x:v>
      </x:c>
      <x:c r="AH46" s="26" t="n">
        <x:v>-33.37</x:v>
      </x:c>
      <x:c r="AI46" s="26" t="n">
        <x:v>0.057</x:v>
      </x:c>
      <x:c r="AJ46" s="26" t="n">
        <x:v>38.85</x:v>
      </x:c>
      <x:c r="AK46" s="26" t="n">
        <x:v>0.05626</x:v>
      </x:c>
      <x:c r="AL46" s="26" t="n">
        <x:v>-124.24</x:v>
      </x:c>
      <x:c r="AM46" s="26" t="n">
        <x:v>0.144</x:v>
      </x:c>
      <x:c r="AN46" s="26" t="n">
        <x:v>24.55</x:v>
      </x:c>
      <x:c r="AO46" s="26" t="n">
        <x:v>0.13411</x:v>
      </x:c>
      <x:c r="AP46" s="26" t="n">
        <x:v>170.9</x:v>
      </x:c>
      <x:c r="AQ46" s="26" t="n">
        <x:v>0.365</x:v>
      </x:c>
      <x:c r="AR46" s="26" t="n">
        <x:v>2.73</x:v>
      </x:c>
      <x:c r="AS46" s="26" t="n">
        <x:v>0.14651</x:v>
      </x:c>
      <x:c r="AT46" s="26" t="n">
        <x:v>4.41</x:v>
      </x:c>
      <x:c r="AU46" s="26" t="n">
        <x:v>0.0875</x:v>
      </x:c>
      <x:c r="AV46" s="26" t="n">
        <x:v>0.384</x:v>
      </x:c>
      <x:c r="AW46" s="26" t="n">
        <x:v>0.9154</x:v>
      </x:c>
      <x:c r="AX46" s="26" t="n">
        <x:v>1</x:v>
      </x:c>
    </x:row>
    <x:row r="47">
      <x:c r="A47" s="26" t="str">
        <x:v>K2</x:v>
      </x:c>
      <x:c r="B47" s="26" t="str">
        <x:v>Horizontal / flat</x:v>
      </x:c>
      <x:c r="C47" s="26" t="str">
        <x:v>Low–medium</x:v>
      </x:c>
      <x:c r="D47" s="26" t="str">
        <x:v>Pasted text (2)(2).txt</x:v>
      </x:c>
      <x:c r="E47" s="26" t="str">
        <x:v>GAIN_SWEEP</x:v>
      </x:c>
      <x:c r="F47" s="26" t="n">
        <x:v>7</x:v>
      </x:c>
      <x:c r="G47" s="26" t="n">
        <x:v>2</x:v>
      </x:c>
      <x:c r="H47" s="26" t="n">
        <x:v>268</x:v>
      </x:c>
      <x:c r="I47" s="26" t="n">
        <x:v>7</x:v>
      </x:c>
      <x:c r="J47" s="26" t="n">
        <x:v>748.38037</x:v>
      </x:c>
      <x:c r="K47" s="26" t="n">
        <x:v>0.05452</x:v>
      </x:c>
      <x:c r="L47" s="26" t="n">
        <x:v>15.19</x:v>
      </x:c>
      <x:c r="M47" s="26" t="n">
        <x:v>184.54686</x:v>
      </x:c>
      <x:c r="N47" s="26" t="n">
        <x:v>0.09133</x:v>
      </x:c>
      <x:c r="O47" s="26" t="n">
        <x:v>15.62</x:v>
      </x:c>
      <x:c r="P47" s="26" t="n">
        <x:v>268.21821</x:v>
      </x:c>
      <x:c r="Q47" s="26" t="n">
        <x:v>0.10906</x:v>
      </x:c>
      <x:c r="R47" s="26" t="n">
        <x:v>16.74</x:v>
      </x:c>
      <x:c r="S47" s="26" t="n">
        <x:v>273.81962</x:v>
      </x:c>
      <x:c r="T47" s="26" t="n">
        <x:v>0.00814</x:v>
      </x:c>
      <x:c r="U47" s="26" t="n">
        <x:v>267.97218</x:v>
      </x:c>
      <x:c r="V47" s="26" t="n">
        <x:v>0.04574</x:v>
      </x:c>
      <x:c r="W47" s="26" t="n">
        <x:v>268.21821</x:v>
      </x:c>
      <x:c r="X47" s="26" t="n">
        <x:v>0.10906</x:v>
      </x:c>
      <x:c r="Y47" s="26" t="n">
        <x:v>268.1823</x:v>
      </x:c>
      <x:c r="Z47" s="26" t="n">
        <x:v>0.1823</x:v>
      </x:c>
      <x:c r="AA47" s="26" t="n">
        <x:v>0.0057</x:v>
      </x:c>
      <x:c r="AB47" s="26" t="n">
        <x:v>0.04574</x:v>
      </x:c>
      <x:c r="AC47" s="26" t="n">
        <x:v>0.10906</x:v>
      </x:c>
      <x:c r="AD47" s="26" t="n">
        <x:v>0.1184</x:v>
      </x:c>
      <x:c r="AE47" s="26" t="n">
        <x:v>15.17</x:v>
      </x:c>
      <x:c r="AF47" s="26" t="str">
        <x:v>Z</x:v>
      </x:c>
      <x:c r="AG47" s="26" t="n">
        <x:v>0.01621</x:v>
      </x:c>
      <x:c r="AH47" s="26" t="n">
        <x:v>-51.53</x:v>
      </x:c>
      <x:c r="AI47" s="26" t="n">
        <x:v>0.073</x:v>
      </x:c>
      <x:c r="AJ47" s="26" t="n">
        <x:v>48.44</x:v>
      </x:c>
      <x:c r="AK47" s="26" t="n">
        <x:v>0.06059</x:v>
      </x:c>
      <x:c r="AL47" s="26" t="n">
        <x:v>-122.8</x:v>
      </x:c>
      <x:c r="AM47" s="26" t="n">
        <x:v>0.159</x:v>
      </x:c>
      <x:c r="AN47" s="26" t="n">
        <x:v>21.49</x:v>
      </x:c>
      <x:c r="AO47" s="26" t="n">
        <x:v>0.1291</x:v>
      </x:c>
      <x:c r="AP47" s="26" t="n">
        <x:v>174.29</x:v>
      </x:c>
      <x:c r="AQ47" s="26" t="n">
        <x:v>0.337</x:v>
      </x:c>
      <x:c r="AR47" s="26" t="n">
        <x:v>13.58</x:v>
      </x:c>
      <x:c r="AS47" s="26" t="n">
        <x:v>0.14403</x:v>
      </x:c>
      <x:c r="AT47" s="26" t="n">
        <x:v>13.11</x:v>
      </x:c>
      <x:c r="AU47" s="26" t="n">
        <x:v>0.1125</x:v>
      </x:c>
      <x:c r="AV47" s="26" t="n">
        <x:v>0.4207</x:v>
      </x:c>
      <x:c r="AW47" s="26" t="n">
        <x:v>0.8963</x:v>
      </x:c>
      <x:c r="AX47" s="26" t="n">
        <x:v>1</x:v>
      </x:c>
    </x:row>
    <x:row r="48">
      <x:c r="A48" s="26" t="str">
        <x:v>K2</x:v>
      </x:c>
      <x:c r="B48" s="26" t="str">
        <x:v>Horizontal / flat</x:v>
      </x:c>
      <x:c r="C48" s="26" t="str">
        <x:v>Low–medium</x:v>
      </x:c>
      <x:c r="D48" s="26" t="str">
        <x:v>Pasted text (2)(2).txt</x:v>
      </x:c>
      <x:c r="E48" s="26" t="str">
        <x:v>GAIN_SWEEP</x:v>
      </x:c>
      <x:c r="F48" s="26" t="n">
        <x:v>8</x:v>
      </x:c>
      <x:c r="G48" s="26" t="n">
        <x:v>1</x:v>
      </x:c>
      <x:c r="H48" s="26" t="n">
        <x:v>268</x:v>
      </x:c>
      <x:c r="I48" s="26" t="n">
        <x:v>8</x:v>
      </x:c>
      <x:c r="J48" s="26" t="n">
        <x:v>748.51828</x:v>
      </x:c>
      <x:c r="K48" s="26" t="n">
        <x:v>0.05038</x:v>
      </x:c>
      <x:c r="L48" s="26" t="n">
        <x:v>14.2</x:v>
      </x:c>
      <x:c r="M48" s="26" t="n">
        <x:v>184.63717</x:v>
      </x:c>
      <x:c r="N48" s="26" t="n">
        <x:v>0.15034</x:v>
      </x:c>
      <x:c r="O48" s="26" t="n">
        <x:v>19.25</x:v>
      </x:c>
      <x:c r="P48" s="26" t="n">
        <x:v>267.9837</x:v>
      </x:c>
      <x:c r="Q48" s="26" t="n">
        <x:v>0.13548</x:v>
      </x:c>
      <x:c r="R48" s="26" t="n">
        <x:v>18.61</x:v>
      </x:c>
      <x:c r="S48" s="26" t="n">
        <x:v>261.49929</x:v>
      </x:c>
      <x:c r="T48" s="26" t="n">
        <x:v>0.01308</x:v>
      </x:c>
      <x:c r="U48" s="26" t="n">
        <x:v>268.20165</x:v>
      </x:c>
      <x:c r="V48" s="26" t="n">
        <x:v>0.05682</x:v>
      </x:c>
      <x:c r="W48" s="26" t="n">
        <x:v>267.9837</x:v>
      </x:c>
      <x:c r="X48" s="26" t="n">
        <x:v>0.13548</x:v>
      </x:c>
      <x:c r="Y48" s="26" t="n">
        <x:v>268.01687</x:v>
      </x:c>
      <x:c r="Z48" s="26" t="n">
        <x:v>0.01687</x:v>
      </x:c>
      <x:c r="AA48" s="26" t="n">
        <x:v>0.00551</x:v>
      </x:c>
      <x:c r="AB48" s="26" t="n">
        <x:v>0.05682</x:v>
      </x:c>
      <x:c r="AC48" s="26" t="n">
        <x:v>0.13548</x:v>
      </x:c>
      <x:c r="AD48" s="26" t="n">
        <x:v>0.14702</x:v>
      </x:c>
      <x:c r="AE48" s="26" t="n">
        <x:v>14.89</x:v>
      </x:c>
      <x:c r="AF48" s="26" t="str">
        <x:v>Z</x:v>
      </x:c>
      <x:c r="AG48" s="26" t="n">
        <x:v>0.01355</x:v>
      </x:c>
      <x:c r="AH48" s="26" t="n">
        <x:v>-53.27</x:v>
      </x:c>
      <x:c r="AI48" s="26" t="n">
        <x:v>0.059</x:v>
      </x:c>
      <x:c r="AJ48" s="26" t="n">
        <x:v>70.07</x:v>
      </x:c>
      <x:c r="AK48" s="26" t="n">
        <x:v>0.06499</x:v>
      </x:c>
      <x:c r="AL48" s="26" t="n">
        <x:v>-126.57</x:v>
      </x:c>
      <x:c r="AM48" s="26" t="n">
        <x:v>0.155</x:v>
      </x:c>
      <x:c r="AN48" s="26" t="n">
        <x:v>17.89</x:v>
      </x:c>
      <x:c r="AO48" s="26" t="n">
        <x:v>0.14439</x:v>
      </x:c>
      <x:c r="AP48" s="26" t="n">
        <x:v>168.85</x:v>
      </x:c>
      <x:c r="AQ48" s="26" t="n">
        <x:v>0.375</x:v>
      </x:c>
      <x:c r="AR48" s="26" t="n">
        <x:v>9.26</x:v>
      </x:c>
      <x:c r="AS48" s="26" t="n">
        <x:v>0.15947</x:v>
      </x:c>
      <x:c r="AT48" s="26" t="n">
        <x:v>8.57</x:v>
      </x:c>
      <x:c r="AU48" s="26" t="n">
        <x:v>0.085</x:v>
      </x:c>
      <x:c r="AV48" s="26" t="n">
        <x:v>0.4075</x:v>
      </x:c>
      <x:c r="AW48" s="26" t="n">
        <x:v>0.9055</x:v>
      </x:c>
      <x:c r="AX48" s="26" t="n">
        <x:v>1</x:v>
      </x:c>
    </x:row>
    <x:row r="49">
      <x:c r="A49" s="26" t="str">
        <x:v>K2</x:v>
      </x:c>
      <x:c r="B49" s="26" t="str">
        <x:v>Horizontal / flat</x:v>
      </x:c>
      <x:c r="C49" s="26" t="str">
        <x:v>Low–medium</x:v>
      </x:c>
      <x:c r="D49" s="26" t="str">
        <x:v>Pasted text (2)(2).txt</x:v>
      </x:c>
      <x:c r="E49" s="26" t="str">
        <x:v>GAIN_SWEEP</x:v>
      </x:c>
      <x:c r="F49" s="26" t="n">
        <x:v>8</x:v>
      </x:c>
      <x:c r="G49" s="26" t="n">
        <x:v>2</x:v>
      </x:c>
      <x:c r="H49" s="26" t="n">
        <x:v>268</x:v>
      </x:c>
      <x:c r="I49" s="26" t="n">
        <x:v>8</x:v>
      </x:c>
      <x:c r="J49" s="26" t="n">
        <x:v>480.80047</x:v>
      </x:c>
      <x:c r="K49" s="26" t="n">
        <x:v>0.0533</x:v>
      </x:c>
      <x:c r="L49" s="26" t="n">
        <x:v>14.92</x:v>
      </x:c>
      <x:c r="M49" s="26" t="n">
        <x:v>184.78802</x:v>
      </x:c>
      <x:c r="N49" s="26" t="n">
        <x:v>0.14708</x:v>
      </x:c>
      <x:c r="O49" s="26" t="n">
        <x:v>19.14</x:v>
      </x:c>
      <x:c r="P49" s="26" t="n">
        <x:v>268.02269</x:v>
      </x:c>
      <x:c r="Q49" s="26" t="n">
        <x:v>0.12507</x:v>
      </x:c>
      <x:c r="R49" s="26" t="n">
        <x:v>18.03</x:v>
      </x:c>
      <x:c r="S49" s="26" t="n">
        <x:v>268.6967</x:v>
      </x:c>
      <x:c r="T49" s="26" t="n">
        <x:v>0.01131</x:v>
      </x:c>
      <x:c r="U49" s="26" t="n">
        <x:v>267.85407</x:v>
      </x:c>
      <x:c r="V49" s="26" t="n">
        <x:v>0.05399</x:v>
      </x:c>
      <x:c r="W49" s="26" t="n">
        <x:v>268.02269</x:v>
      </x:c>
      <x:c r="X49" s="26" t="n">
        <x:v>0.12507</x:v>
      </x:c>
      <x:c r="Y49" s="26" t="n">
        <x:v>268.00067</x:v>
      </x:c>
      <x:c r="Z49" s="26" t="n">
        <x:v>0.00067</x:v>
      </x:c>
      <x:c r="AA49" s="26" t="n">
        <x:v>0.01131</x:v>
      </x:c>
      <x:c r="AB49" s="26" t="n">
        <x:v>0.05097</x:v>
      </x:c>
      <x:c r="AC49" s="26" t="n">
        <x:v>0.12507</x:v>
      </x:c>
      <x:c r="AD49" s="26" t="n">
        <x:v>0.13553</x:v>
      </x:c>
      <x:c r="AE49" s="26" t="n">
        <x:v>16.41</x:v>
      </x:c>
      <x:c r="AF49" s="26" t="str">
        <x:v>Z</x:v>
      </x:c>
      <x:c r="AG49" s="26" t="n">
        <x:v>0.012</x:v>
      </x:c>
      <x:c r="AH49" s="26" t="n">
        <x:v>-124.74</x:v>
      </x:c>
      <x:c r="AI49" s="26" t="n">
        <x:v>0.049</x:v>
      </x:c>
      <x:c r="AJ49" s="26" t="n">
        <x:v>47.56</x:v>
      </x:c>
      <x:c r="AK49" s="26" t="n">
        <x:v>0.0735</x:v>
      </x:c>
      <x:c r="AL49" s="26" t="n">
        <x:v>-122.66</x:v>
      </x:c>
      <x:c r="AM49" s="26" t="n">
        <x:v>0.177</x:v>
      </x:c>
      <x:c r="AN49" s="26" t="n">
        <x:v>12.12</x:v>
      </x:c>
      <x:c r="AO49" s="26" t="n">
        <x:v>0.15645</x:v>
      </x:c>
      <x:c r="AP49" s="26" t="n">
        <x:v>170.68</x:v>
      </x:c>
      <x:c r="AQ49" s="26" t="n">
        <x:v>0.406</x:v>
      </x:c>
      <x:c r="AR49" s="26" t="n">
        <x:v>6.35</x:v>
      </x:c>
      <x:c r="AS49" s="26" t="n">
        <x:v>0.17354</x:v>
      </x:c>
      <x:c r="AT49" s="26" t="n">
        <x:v>5.55</x:v>
      </x:c>
      <x:c r="AU49" s="26" t="n">
        <x:v>0.0692</x:v>
      </x:c>
      <x:c r="AV49" s="26" t="n">
        <x:v>0.4235</x:v>
      </x:c>
      <x:c r="AW49" s="26" t="n">
        <x:v>0.9015</x:v>
      </x:c>
      <x:c r="AX49" s="26" t="n">
        <x:v>1</x:v>
      </x:c>
    </x:row>
    <x:row r="50">
      <x:c r="A50" s="26" t="str">
        <x:v>K2</x:v>
      </x:c>
      <x:c r="B50" s="26" t="str">
        <x:v>Horizontal / flat</x:v>
      </x:c>
      <x:c r="C50" s="26" t="str">
        <x:v>Low–medium</x:v>
      </x:c>
      <x:c r="D50" s="26" t="str">
        <x:v>Pasted text (2)(2).txt</x:v>
      </x:c>
      <x:c r="E50" s="26" t="str">
        <x:v>GAIN_SWEEP</x:v>
      </x:c>
      <x:c r="F50" s="26" t="n">
        <x:v>9</x:v>
      </x:c>
      <x:c r="G50" s="26" t="n">
        <x:v>1</x:v>
      </x:c>
      <x:c r="H50" s="26" t="n">
        <x:v>268</x:v>
      </x:c>
      <x:c r="I50" s="26" t="n">
        <x:v>9</x:v>
      </x:c>
      <x:c r="J50" s="26" t="n">
        <x:v>564.37294</x:v>
      </x:c>
      <x:c r="K50" s="26" t="n">
        <x:v>0.06748</x:v>
      </x:c>
      <x:c r="L50" s="26" t="n">
        <x:v>16.8</x:v>
      </x:c>
      <x:c r="M50" s="26" t="n">
        <x:v>184.73413</x:v>
      </x:c>
      <x:c r="N50" s="26" t="n">
        <x:v>0.15075</x:v>
      </x:c>
      <x:c r="O50" s="26" t="n">
        <x:v>18.88</x:v>
      </x:c>
      <x:c r="P50" s="26" t="n">
        <x:v>267.90658</x:v>
      </x:c>
      <x:c r="Q50" s="26" t="n">
        <x:v>0.14476</x:v>
      </x:c>
      <x:c r="R50" s="26" t="n">
        <x:v>19.19</x:v>
      </x:c>
      <x:c r="S50" s="26" t="n">
        <x:v>275.25165</x:v>
      </x:c>
      <x:c r="T50" s="26" t="n">
        <x:v>0.01395</x:v>
      </x:c>
      <x:c r="U50" s="26" t="n">
        <x:v>268.10499</x:v>
      </x:c>
      <x:c r="V50" s="26" t="n">
        <x:v>0.06279</x:v>
      </x:c>
      <x:c r="W50" s="26" t="n">
        <x:v>267.90658</x:v>
      </x:c>
      <x:c r="X50" s="26" t="n">
        <x:v>0.14476</x:v>
      </x:c>
      <x:c r="Y50" s="26" t="n">
        <x:v>267.93647</x:v>
      </x:c>
      <x:c r="Z50" s="26" t="n">
        <x:v>-0.06353</x:v>
      </x:c>
      <x:c r="AA50" s="26" t="n">
        <x:v>0.01054</x:v>
      </x:c>
      <x:c r="AB50" s="26" t="n">
        <x:v>0.05803</x:v>
      </x:c>
      <x:c r="AC50" s="26" t="n">
        <x:v>0.14476</x:v>
      </x:c>
      <x:c r="AD50" s="26" t="n">
        <x:v>0.15631</x:v>
      </x:c>
      <x:c r="AE50" s="26" t="n">
        <x:v>16.67</x:v>
      </x:c>
      <x:c r="AF50" s="26" t="str">
        <x:v>Z</x:v>
      </x:c>
      <x:c r="AG50" s="26" t="n">
        <x:v>0.02674</x:v>
      </x:c>
      <x:c r="AH50" s="26" t="n">
        <x:v>-97.87</x:v>
      </x:c>
      <x:c r="AI50" s="26" t="n">
        <x:v>0.107</x:v>
      </x:c>
      <x:c r="AJ50" s="26" t="n">
        <x:v>24.49</x:v>
      </x:c>
      <x:c r="AK50" s="26" t="n">
        <x:v>0.0733</x:v>
      </x:c>
      <x:c r="AL50" s="26" t="n">
        <x:v>-130.95</x:v>
      </x:c>
      <x:c r="AM50" s="26" t="n">
        <x:v>0.161</x:v>
      </x:c>
      <x:c r="AN50" s="26" t="n">
        <x:v>20.22</x:v>
      </x:c>
      <x:c r="AO50" s="26" t="n">
        <x:v>0.18534</x:v>
      </x:c>
      <x:c r="AP50" s="26" t="n">
        <x:v>169.82</x:v>
      </x:c>
      <x:c r="AQ50" s="26" t="n">
        <x:v>0.458</x:v>
      </x:c>
      <x:c r="AR50" s="26" t="n">
        <x:v>16.03</x:v>
      </x:c>
      <x:c r="AS50" s="26" t="n">
        <x:v>0.20148</x:v>
      </x:c>
      <x:c r="AT50" s="26" t="n">
        <x:v>15.28</x:v>
      </x:c>
      <x:c r="AU50" s="26" t="n">
        <x:v>0.1327</x:v>
      </x:c>
      <x:c r="AV50" s="26" t="n">
        <x:v>0.3638</x:v>
      </x:c>
      <x:c r="AW50" s="26" t="n">
        <x:v>0.9199</x:v>
      </x:c>
      <x:c r="AX50" s="26" t="n">
        <x:v>1</x:v>
      </x:c>
    </x:row>
    <x:row r="51">
      <x:c r="A51" s="26" t="str">
        <x:v>K2</x:v>
      </x:c>
      <x:c r="B51" s="26" t="str">
        <x:v>Horizontal / flat</x:v>
      </x:c>
      <x:c r="C51" s="26" t="str">
        <x:v>Low–medium</x:v>
      </x:c>
      <x:c r="D51" s="26" t="str">
        <x:v>Pasted text (2)(2).txt</x:v>
      </x:c>
      <x:c r="E51" s="26" t="str">
        <x:v>GAIN_SWEEP</x:v>
      </x:c>
      <x:c r="F51" s="26" t="n">
        <x:v>9</x:v>
      </x:c>
      <x:c r="G51" s="26" t="n">
        <x:v>2</x:v>
      </x:c>
      <x:c r="H51" s="26" t="n">
        <x:v>268</x:v>
      </x:c>
      <x:c r="I51" s="26" t="n">
        <x:v>9</x:v>
      </x:c>
      <x:c r="J51" s="26" t="n">
        <x:v>564.35136</x:v>
      </x:c>
      <x:c r="K51" s="26" t="n">
        <x:v>0.07011</x:v>
      </x:c>
      <x:c r="L51" s="26" t="n">
        <x:v>16.92</x:v>
      </x:c>
      <x:c r="M51" s="26" t="n">
        <x:v>184.6187</x:v>
      </x:c>
      <x:c r="N51" s="26" t="n">
        <x:v>0.15667</x:v>
      </x:c>
      <x:c r="O51" s="26" t="n">
        <x:v>19.29</x:v>
      </x:c>
      <x:c r="P51" s="26" t="n">
        <x:v>267.99061</x:v>
      </x:c>
      <x:c r="Q51" s="26" t="n">
        <x:v>0.14948</x:v>
      </x:c>
      <x:c r="R51" s="26" t="n">
        <x:v>19.29</x:v>
      </x:c>
      <x:c r="S51" s="26" t="n">
        <x:v>268.18162</x:v>
      </x:c>
      <x:c r="T51" s="26" t="n">
        <x:v>0.0132</x:v>
      </x:c>
      <x:c r="U51" s="26" t="n">
        <x:v>268.00251</x:v>
      </x:c>
      <x:c r="V51" s="26" t="n">
        <x:v>0.06347</x:v>
      </x:c>
      <x:c r="W51" s="26" t="n">
        <x:v>267.99061</x:v>
      </x:c>
      <x:c r="X51" s="26" t="n">
        <x:v>0.14948</x:v>
      </x:c>
      <x:c r="Y51" s="26" t="n">
        <x:v>267.9933</x:v>
      </x:c>
      <x:c r="Z51" s="26" t="n">
        <x:v>-0.0067</x:v>
      </x:c>
      <x:c r="AA51" s="26" t="n">
        <x:v>0.0132</x:v>
      </x:c>
      <x:c r="AB51" s="26" t="n">
        <x:v>0.06347</x:v>
      </x:c>
      <x:c r="AC51" s="26" t="n">
        <x:v>0.14948</x:v>
      </x:c>
      <x:c r="AD51" s="26" t="n">
        <x:v>0.16293</x:v>
      </x:c>
      <x:c r="AE51" s="26" t="n">
        <x:v>18.4</x:v>
      </x:c>
      <x:c r="AF51" s="26" t="str">
        <x:v>Z</x:v>
      </x:c>
      <x:c r="AG51" s="26" t="n">
        <x:v>0.01419</x:v>
      </x:c>
      <x:c r="AH51" s="26" t="n">
        <x:v>-40.47</x:v>
      </x:c>
      <x:c r="AI51" s="26" t="n">
        <x:v>0.058</x:v>
      </x:c>
      <x:c r="AJ51" s="26" t="n">
        <x:v>62.41</x:v>
      </x:c>
      <x:c r="AK51" s="26" t="n">
        <x:v>0.08084</x:v>
      </x:c>
      <x:c r="AL51" s="26" t="n">
        <x:v>-128.93</x:v>
      </x:c>
      <x:c r="AM51" s="26" t="n">
        <x:v>0.176</x:v>
      </x:c>
      <x:c r="AN51" s="26" t="n">
        <x:v>19.64</x:v>
      </x:c>
      <x:c r="AO51" s="26" t="n">
        <x:v>0.18673</x:v>
      </x:c>
      <x:c r="AP51" s="26" t="n">
        <x:v>167.26</x:v>
      </x:c>
      <x:c r="AQ51" s="26" t="n">
        <x:v>0.467</x:v>
      </x:c>
      <x:c r="AR51" s="26" t="n">
        <x:v>10.23</x:v>
      </x:c>
      <x:c r="AS51" s="26" t="n">
        <x:v>0.20484</x:v>
      </x:c>
      <x:c r="AT51" s="26" t="n">
        <x:v>7.76</x:v>
      </x:c>
      <x:c r="AU51" s="26" t="n">
        <x:v>0.0693</x:v>
      </x:c>
      <x:c r="AV51" s="26" t="n">
        <x:v>0.3947</x:v>
      </x:c>
      <x:c r="AW51" s="26" t="n">
        <x:v>0.9116</x:v>
      </x:c>
      <x:c r="AX51" s="26" t="n">
        <x:v>1</x:v>
      </x:c>
    </x:row>
    <x:row r="52">
      <x:c r="A52" s="26" t="str">
        <x:v>K2</x:v>
      </x:c>
      <x:c r="B52" s="26" t="str">
        <x:v>Horizontal / flat</x:v>
      </x:c>
      <x:c r="C52" s="26" t="str">
        <x:v>Low–medium</x:v>
      </x:c>
      <x:c r="D52" s="26" t="str">
        <x:v>Pasted text (2)(2).txt</x:v>
      </x:c>
      <x:c r="E52" s="26" t="str">
        <x:v>GAIN_SWEEP</x:v>
      </x:c>
      <x:c r="F52" s="26" t="n">
        <x:v>10</x:v>
      </x:c>
      <x:c r="G52" s="26" t="n">
        <x:v>1</x:v>
      </x:c>
      <x:c r="H52" s="26" t="n">
        <x:v>268</x:v>
      </x:c>
      <x:c r="I52" s="26" t="n">
        <x:v>10</x:v>
      </x:c>
      <x:c r="J52" s="26" t="n">
        <x:v>748.51415</x:v>
      </x:c>
      <x:c r="K52" s="26" t="n">
        <x:v>0.05836</x:v>
      </x:c>
      <x:c r="L52" s="26" t="n">
        <x:v>15.57</x:v>
      </x:c>
      <x:c r="M52" s="26" t="n">
        <x:v>184.92391</x:v>
      </x:c>
      <x:c r="N52" s="26" t="n">
        <x:v>0.19326</x:v>
      </x:c>
      <x:c r="O52" s="26" t="n">
        <x:v>21.13</x:v>
      </x:c>
      <x:c r="P52" s="26" t="n">
        <x:v>267.95572</x:v>
      </x:c>
      <x:c r="Q52" s="26" t="n">
        <x:v>0.16589</x:v>
      </x:c>
      <x:c r="R52" s="26" t="n">
        <x:v>20.03</x:v>
      </x:c>
      <x:c r="S52" s="26" t="n">
        <x:v>268.56994</x:v>
      </x:c>
      <x:c r="T52" s="26" t="n">
        <x:v>0.01553</x:v>
      </x:c>
      <x:c r="U52" s="26" t="n">
        <x:v>267.99966</x:v>
      </x:c>
      <x:c r="V52" s="26" t="n">
        <x:v>0.07806</x:v>
      </x:c>
      <x:c r="W52" s="26" t="n">
        <x:v>267.95572</x:v>
      </x:c>
      <x:c r="X52" s="26" t="n">
        <x:v>0.16589</x:v>
      </x:c>
      <x:c r="Y52" s="26" t="n">
        <x:v>267.96737</x:v>
      </x:c>
      <x:c r="Z52" s="26" t="n">
        <x:v>-0.03263</x:v>
      </x:c>
      <x:c r="AA52" s="26" t="n">
        <x:v>0.0109</x:v>
      </x:c>
      <x:c r="AB52" s="26" t="n">
        <x:v>0.07682</x:v>
      </x:c>
      <x:c r="AC52" s="26" t="n">
        <x:v>0.16589</x:v>
      </x:c>
      <x:c r="AD52" s="26" t="n">
        <x:v>0.18314</x:v>
      </x:c>
      <x:c r="AE52" s="26" t="n">
        <x:v>16.49</x:v>
      </x:c>
      <x:c r="AF52" s="26" t="str">
        <x:v>Z</x:v>
      </x:c>
      <x:c r="AG52" s="26" t="n">
        <x:v>0.0131</x:v>
      </x:c>
      <x:c r="AH52" s="26" t="n">
        <x:v>-58.92</x:v>
      </x:c>
      <x:c r="AI52" s="26" t="n">
        <x:v>0.054</x:v>
      </x:c>
      <x:c r="AJ52" s="26" t="n">
        <x:v>37.55</x:v>
      </x:c>
      <x:c r="AK52" s="26" t="n">
        <x:v>0.09169</x:v>
      </x:c>
      <x:c r="AL52" s="26" t="n">
        <x:v>-125.31</x:v>
      </x:c>
      <x:c r="AM52" s="26" t="n">
        <x:v>0.196</x:v>
      </x:c>
      <x:c r="AN52" s="26" t="n">
        <x:v>4.54</x:v>
      </x:c>
      <x:c r="AO52" s="26" t="n">
        <x:v>0.19984</x:v>
      </x:c>
      <x:c r="AP52" s="26" t="n">
        <x:v>176.43</x:v>
      </x:c>
      <x:c r="AQ52" s="26" t="n">
        <x:v>0.488</x:v>
      </x:c>
      <x:c r="AR52" s="26" t="n">
        <x:v>11.11</x:v>
      </x:c>
      <x:c r="AS52" s="26" t="n">
        <x:v>0.22042</x:v>
      </x:c>
      <x:c r="AT52" s="26" t="n">
        <x:v>9.62</x:v>
      </x:c>
      <x:c r="AU52" s="26" t="n">
        <x:v>0.0594</x:v>
      </x:c>
      <x:c r="AV52" s="26" t="n">
        <x:v>0.416</x:v>
      </x:c>
      <x:c r="AW52" s="26" t="n">
        <x:v>0.9067</x:v>
      </x:c>
      <x:c r="AX52" s="26" t="n">
        <x:v>1</x:v>
      </x:c>
    </x:row>
    <x:row r="53">
      <x:c r="A53" s="26" t="str">
        <x:v>K2</x:v>
      </x:c>
      <x:c r="B53" s="26" t="str">
        <x:v>Horizontal / flat</x:v>
      </x:c>
      <x:c r="C53" s="26" t="str">
        <x:v>Low–medium</x:v>
      </x:c>
      <x:c r="D53" s="26" t="str">
        <x:v>Pasted text (2)(2).txt</x:v>
      </x:c>
      <x:c r="E53" s="26" t="str">
        <x:v>GAIN_SWEEP</x:v>
      </x:c>
      <x:c r="F53" s="26" t="n">
        <x:v>10</x:v>
      </x:c>
      <x:c r="G53" s="26" t="n">
        <x:v>2</x:v>
      </x:c>
      <x:c r="H53" s="26" t="n">
        <x:v>268</x:v>
      </x:c>
      <x:c r="I53" s="26" t="n">
        <x:v>10</x:v>
      </x:c>
      <x:c r="J53" s="26" t="n">
        <x:v>748.81252</x:v>
      </x:c>
      <x:c r="K53" s="26" t="n">
        <x:v>0.05411</x:v>
      </x:c>
      <x:c r="L53" s="26" t="n">
        <x:v>15.12</x:v>
      </x:c>
      <x:c r="M53" s="26" t="n">
        <x:v>185.28136</x:v>
      </x:c>
      <x:c r="N53" s="26" t="n">
        <x:v>0.19084</x:v>
      </x:c>
      <x:c r="O53" s="26" t="n">
        <x:v>21.4</x:v>
      </x:c>
      <x:c r="P53" s="26" t="n">
        <x:v>268.00488</x:v>
      </x:c>
      <x:c r="Q53" s="26" t="n">
        <x:v>0.1777</x:v>
      </x:c>
      <x:c r="R53" s="26" t="n">
        <x:v>20.85</x:v>
      </x:c>
      <x:c r="S53" s="26" t="n">
        <x:v>268.87354</x:v>
      </x:c>
      <x:c r="T53" s="26" t="n">
        <x:v>0.01545</x:v>
      </x:c>
      <x:c r="U53" s="26" t="n">
        <x:v>267.93599</x:v>
      </x:c>
      <x:c r="V53" s="26" t="n">
        <x:v>0.08307</x:v>
      </x:c>
      <x:c r="W53" s="26" t="n">
        <x:v>268.00488</x:v>
      </x:c>
      <x:c r="X53" s="26" t="n">
        <x:v>0.1777</x:v>
      </x:c>
      <x:c r="Y53" s="26" t="n">
        <x:v>267.99673</x:v>
      </x:c>
      <x:c r="Z53" s="26" t="n">
        <x:v>-0.00327</x:v>
      </x:c>
      <x:c r="AA53" s="26" t="n">
        <x:v>0.01545</x:v>
      </x:c>
      <x:c r="AB53" s="26" t="n">
        <x:v>0.08164</x:v>
      </x:c>
      <x:c r="AC53" s="26" t="n">
        <x:v>0.1777</x:v>
      </x:c>
      <x:c r="AD53" s="26" t="n">
        <x:v>0.19616</x:v>
      </x:c>
      <x:c r="AE53" s="26" t="n">
        <x:v>18.49</x:v>
      </x:c>
      <x:c r="AF53" s="26" t="str">
        <x:v>Z</x:v>
      </x:c>
      <x:c r="AG53" s="26" t="n">
        <x:v>0.01714</x:v>
      </x:c>
      <x:c r="AH53" s="26" t="n">
        <x:v>-100.25</x:v>
      </x:c>
      <x:c r="AI53" s="26" t="n">
        <x:v>0.072</x:v>
      </x:c>
      <x:c r="AJ53" s="26" t="n">
        <x:v>51.63</x:v>
      </x:c>
      <x:c r="AK53" s="26" t="n">
        <x:v>0.08647</x:v>
      </x:c>
      <x:c r="AL53" s="26" t="n">
        <x:v>-131.77</x:v>
      </x:c>
      <x:c r="AM53" s="26" t="n">
        <x:v>0.183</x:v>
      </x:c>
      <x:c r="AN53" s="26" t="n">
        <x:v>11.12</x:v>
      </x:c>
      <x:c r="AO53" s="26" t="n">
        <x:v>0.20016</x:v>
      </x:c>
      <x:c r="AP53" s="26" t="n">
        <x:v>170.28</x:v>
      </x:c>
      <x:c r="AQ53" s="26" t="n">
        <x:v>0.476</x:v>
      </x:c>
      <x:c r="AR53" s="26" t="n">
        <x:v>6.64</x:v>
      </x:c>
      <x:c r="AS53" s="26" t="n">
        <x:v>0.21915</x:v>
      </x:c>
      <x:c r="AT53" s="26" t="n">
        <x:v>4.74</x:v>
      </x:c>
      <x:c r="AU53" s="26" t="n">
        <x:v>0.0782</x:v>
      </x:c>
      <x:c r="AV53" s="26" t="n">
        <x:v>0.3946</x:v>
      </x:c>
      <x:c r="AW53" s="26" t="n">
        <x:v>0.9133</x:v>
      </x:c>
      <x:c r="AX53" s="26" t="n">
        <x:v>1</x:v>
      </x:c>
    </x:row>
    <x:row r="54">
      <x:c r="A54" s="26" t="str">
        <x:v>K2</x:v>
      </x:c>
      <x:c r="B54" s="26" t="str">
        <x:v>Horizontal / flat</x:v>
      </x:c>
      <x:c r="C54" s="26" t="str">
        <x:v>Low–medium</x:v>
      </x:c>
      <x:c r="D54" s="26" t="str">
        <x:v>Pasted text (2)(2).txt</x:v>
      </x:c>
      <x:c r="E54" s="26" t="str">
        <x:v>GAIN_SWEEP</x:v>
      </x:c>
      <x:c r="F54" s="26" t="n">
        <x:v>11</x:v>
      </x:c>
      <x:c r="G54" s="26" t="n">
        <x:v>1</x:v>
      </x:c>
      <x:c r="H54" s="26" t="n">
        <x:v>268</x:v>
      </x:c>
      <x:c r="I54" s="26" t="n">
        <x:v>11</x:v>
      </x:c>
      <x:c r="J54" s="26" t="n">
        <x:v>396.85982</x:v>
      </x:c>
      <x:c r="K54" s="26" t="n">
        <x:v>0.04841</x:v>
      </x:c>
      <x:c r="L54" s="26" t="n">
        <x:v>13.98</x:v>
      </x:c>
      <x:c r="M54" s="26" t="n">
        <x:v>185.28777</x:v>
      </x:c>
      <x:c r="N54" s="26" t="n">
        <x:v>0.14211</x:v>
      </x:c>
      <x:c r="O54" s="26" t="n">
        <x:v>18.71</x:v>
      </x:c>
      <x:c r="P54" s="26" t="n">
        <x:v>268.06463</x:v>
      </x:c>
      <x:c r="Q54" s="26" t="n">
        <x:v>0.19027</x:v>
      </x:c>
      <x:c r="R54" s="26" t="n">
        <x:v>21.62</x:v>
      </x:c>
      <x:c r="S54" s="26" t="n">
        <x:v>264.09231</x:v>
      </x:c>
      <x:c r="T54" s="26" t="n">
        <x:v>0.0127</x:v>
      </x:c>
      <x:c r="U54" s="26" t="n">
        <x:v>267.92942</x:v>
      </x:c>
      <x:c r="V54" s="26" t="n">
        <x:v>0.07296</x:v>
      </x:c>
      <x:c r="W54" s="26" t="n">
        <x:v>268.06463</x:v>
      </x:c>
      <x:c r="X54" s="26" t="n">
        <x:v>0.19027</x:v>
      </x:c>
      <x:c r="Y54" s="26" t="n">
        <x:v>268.05113</x:v>
      </x:c>
      <x:c r="Z54" s="26" t="n">
        <x:v>0.05113</x:v>
      </x:c>
      <x:c r="AA54" s="26" t="n">
        <x:v>0.01144</x:v>
      </x:c>
      <x:c r="AB54" s="26" t="n">
        <x:v>0.07116</x:v>
      </x:c>
      <x:c r="AC54" s="26" t="n">
        <x:v>0.19027</x:v>
      </x:c>
      <x:c r="AD54" s="26" t="n">
        <x:v>0.20346</x:v>
      </x:c>
      <x:c r="AE54" s="26" t="n">
        <x:v>19.85</x:v>
      </x:c>
      <x:c r="AF54" s="26" t="str">
        <x:v>Z</x:v>
      </x:c>
      <x:c r="AG54" s="26" t="n">
        <x:v>0.01753</x:v>
      </x:c>
      <x:c r="AH54" s="26" t="n">
        <x:v>-49.93</x:v>
      </x:c>
      <x:c r="AI54" s="26" t="n">
        <x:v>0.073</x:v>
      </x:c>
      <x:c r="AJ54" s="26" t="n">
        <x:v>52.58</x:v>
      </x:c>
      <x:c r="AK54" s="26" t="n">
        <x:v>0.105</x:v>
      </x:c>
      <x:c r="AL54" s="26" t="n">
        <x:v>-133.09</x:v>
      </x:c>
      <x:c r="AM54" s="26" t="n">
        <x:v>0.232</x:v>
      </x:c>
      <x:c r="AN54" s="26" t="n">
        <x:v>36.74</x:v>
      </x:c>
      <x:c r="AO54" s="26" t="n">
        <x:v>0.22742</x:v>
      </x:c>
      <x:c r="AP54" s="26" t="n">
        <x:v>169.39</x:v>
      </x:c>
      <x:c r="AQ54" s="26" t="n">
        <x:v>0.523</x:v>
      </x:c>
      <x:c r="AR54" s="26" t="n">
        <x:v>8.44</x:v>
      </x:c>
      <x:c r="AS54" s="26" t="n">
        <x:v>0.25272</x:v>
      </x:c>
      <x:c r="AT54" s="26" t="n">
        <x:v>12.03</x:v>
      </x:c>
      <x:c r="AU54" s="26" t="n">
        <x:v>0.0694</x:v>
      </x:c>
      <x:c r="AV54" s="26" t="n">
        <x:v>0.4155</x:v>
      </x:c>
      <x:c r="AW54" s="26" t="n">
        <x:v>0.8999</x:v>
      </x:c>
      <x:c r="AX54" s="26" t="n">
        <x:v>1</x:v>
      </x:c>
    </x:row>
    <x:row r="55">
      <x:c r="A55" s="26" t="str">
        <x:v>K2</x:v>
      </x:c>
      <x:c r="B55" s="26" t="str">
        <x:v>Horizontal / flat</x:v>
      </x:c>
      <x:c r="C55" s="26" t="str">
        <x:v>Low–medium</x:v>
      </x:c>
      <x:c r="D55" s="26" t="str">
        <x:v>Pasted text (2)(2).txt</x:v>
      </x:c>
      <x:c r="E55" s="26" t="str">
        <x:v>GAIN_SWEEP</x:v>
      </x:c>
      <x:c r="F55" s="26" t="n">
        <x:v>11</x:v>
      </x:c>
      <x:c r="G55" s="26" t="n">
        <x:v>2</x:v>
      </x:c>
      <x:c r="H55" s="26" t="n">
        <x:v>268</x:v>
      </x:c>
      <x:c r="I55" s="26" t="n">
        <x:v>11</x:v>
      </x:c>
      <x:c r="J55" s="26" t="n">
        <x:v>748.53868</x:v>
      </x:c>
      <x:c r="K55" s="26" t="n">
        <x:v>0.0491</x:v>
      </x:c>
      <x:c r="L55" s="26" t="n">
        <x:v>14.3</x:v>
      </x:c>
      <x:c r="M55" s="26" t="n">
        <x:v>184.77819</x:v>
      </x:c>
      <x:c r="N55" s="26" t="n">
        <x:v>0.15096</x:v>
      </x:c>
      <x:c r="O55" s="26" t="n">
        <x:v>19.15</x:v>
      </x:c>
      <x:c r="P55" s="26" t="n">
        <x:v>267.92456</x:v>
      </x:c>
      <x:c r="Q55" s="26" t="n">
        <x:v>0.17801</x:v>
      </x:c>
      <x:c r="R55" s="26" t="n">
        <x:v>21.15</x:v>
      </x:c>
      <x:c r="S55" s="26" t="n">
        <x:v>267.36067</x:v>
      </x:c>
      <x:c r="T55" s="26" t="n">
        <x:v>0.01131</x:v>
      </x:c>
      <x:c r="U55" s="26" t="n">
        <x:v>268.21291</x:v>
      </x:c>
      <x:c r="V55" s="26" t="n">
        <x:v>0.08718</x:v>
      </x:c>
      <x:c r="W55" s="26" t="n">
        <x:v>267.92456</x:v>
      </x:c>
      <x:c r="X55" s="26" t="n">
        <x:v>0.17801</x:v>
      </x:c>
      <x:c r="Y55" s="26" t="n">
        <x:v>267.97965</x:v>
      </x:c>
      <x:c r="Z55" s="26" t="n">
        <x:v>-0.02035</x:v>
      </x:c>
      <x:c r="AA55" s="26" t="n">
        <x:v>0.00984</x:v>
      </x:c>
      <x:c r="AB55" s="26" t="n">
        <x:v>0.08718</x:v>
      </x:c>
      <x:c r="AC55" s="26" t="n">
        <x:v>0.17396</x:v>
      </x:c>
      <x:c r="AD55" s="26" t="n">
        <x:v>0.19483</x:v>
      </x:c>
      <x:c r="AE55" s="26" t="n">
        <x:v>20.26</x:v>
      </x:c>
      <x:c r="AF55" s="26" t="str">
        <x:v>Z</x:v>
      </x:c>
      <x:c r="AG55" s="26" t="n">
        <x:v>0.01561</x:v>
      </x:c>
      <x:c r="AH55" s="26" t="n">
        <x:v>-72.93</x:v>
      </x:c>
      <x:c r="AI55" s="26" t="n">
        <x:v>0.065</x:v>
      </x:c>
      <x:c r="AJ55" s="26" t="n">
        <x:v>62.06</x:v>
      </x:c>
      <x:c r="AK55" s="26" t="n">
        <x:v>0.09942</x:v>
      </x:c>
      <x:c r="AL55" s="26" t="n">
        <x:v>-129.94</x:v>
      </x:c>
      <x:c r="AM55" s="26" t="n">
        <x:v>0.224</x:v>
      </x:c>
      <x:c r="AN55" s="26" t="n">
        <x:v>32.68</x:v>
      </x:c>
      <x:c r="AO55" s="26" t="n">
        <x:v>0.23053</x:v>
      </x:c>
      <x:c r="AP55" s="26" t="n">
        <x:v>168.06</x:v>
      </x:c>
      <x:c r="AQ55" s="26" t="n">
        <x:v>0.545</x:v>
      </x:c>
      <x:c r="AR55" s="26" t="n">
        <x:v>4.25</x:v>
      </x:c>
      <x:c r="AS55" s="26" t="n">
        <x:v>0.25326</x:v>
      </x:c>
      <x:c r="AT55" s="26" t="n">
        <x:v>4.92</x:v>
      </x:c>
      <x:c r="AU55" s="26" t="n">
        <x:v>0.0616</x:v>
      </x:c>
      <x:c r="AV55" s="26" t="n">
        <x:v>0.3925</x:v>
      </x:c>
      <x:c r="AW55" s="26" t="n">
        <x:v>0.9102</x:v>
      </x:c>
      <x:c r="AX55" s="26" t="n">
        <x:v>1</x:v>
      </x:c>
    </x:row>
    <x:row r="56">
      <x:c r="A56" s="26" t="str">
        <x:v>K2</x:v>
      </x:c>
      <x:c r="B56" s="26" t="str">
        <x:v>Horizontal / flat</x:v>
      </x:c>
      <x:c r="C56" s="26" t="str">
        <x:v>Low–medium</x:v>
      </x:c>
      <x:c r="D56" s="26" t="str">
        <x:v>Pasted text (2)(2).txt</x:v>
      </x:c>
      <x:c r="E56" s="26" t="str">
        <x:v>GAIN_SWEEP</x:v>
      </x:c>
      <x:c r="F56" s="26" t="n">
        <x:v>12</x:v>
      </x:c>
      <x:c r="G56" s="26" t="n">
        <x:v>1</x:v>
      </x:c>
      <x:c r="H56" s="26" t="n">
        <x:v>268</x:v>
      </x:c>
      <x:c r="I56" s="26" t="n">
        <x:v>12</x:v>
      </x:c>
      <x:c r="J56" s="26" t="n">
        <x:v>748.39284</x:v>
      </x:c>
      <x:c r="K56" s="26" t="n">
        <x:v>0.07594</x:v>
      </x:c>
      <x:c r="L56" s="26" t="n">
        <x:v>17.4</x:v>
      </x:c>
      <x:c r="M56" s="26" t="n">
        <x:v>184.63678</x:v>
      </x:c>
      <x:c r="N56" s="26" t="n">
        <x:v>0.18507</x:v>
      </x:c>
      <x:c r="O56" s="26" t="n">
        <x:v>21</x:v>
      </x:c>
      <x:c r="P56" s="26" t="n">
        <x:v>268.07973</x:v>
      </x:c>
      <x:c r="Q56" s="26" t="n">
        <x:v>0.20668</x:v>
      </x:c>
      <x:c r="R56" s="26" t="n">
        <x:v>22.02</x:v>
      </x:c>
      <x:c r="S56" s="26" t="n">
        <x:v>267.2027</x:v>
      </x:c>
      <x:c r="T56" s="26" t="n">
        <x:v>0.01812</x:v>
      </x:c>
      <x:c r="U56" s="26" t="n">
        <x:v>268.14328</x:v>
      </x:c>
      <x:c r="V56" s="26" t="n">
        <x:v>0.09959</x:v>
      </x:c>
      <x:c r="W56" s="26" t="n">
        <x:v>268.07973</x:v>
      </x:c>
      <x:c r="X56" s="26" t="n">
        <x:v>0.20668</x:v>
      </x:c>
      <x:c r="Y56" s="26" t="n">
        <x:v>268.08931</x:v>
      </x:c>
      <x:c r="Z56" s="26" t="n">
        <x:v>0.08931</x:v>
      </x:c>
      <x:c r="AA56" s="26" t="n">
        <x:v>0.01394</x:v>
      </x:c>
      <x:c r="AB56" s="26" t="n">
        <x:v>0.09959</x:v>
      </x:c>
      <x:c r="AC56" s="26" t="n">
        <x:v>0.20668</x:v>
      </x:c>
      <x:c r="AD56" s="26" t="n">
        <x:v>0.22985</x:v>
      </x:c>
      <x:c r="AE56" s="26" t="n">
        <x:v>20.04</x:v>
      </x:c>
      <x:c r="AF56" s="26" t="str">
        <x:v>Z</x:v>
      </x:c>
      <x:c r="AG56" s="26" t="n">
        <x:v>0.02102</x:v>
      </x:c>
      <x:c r="AH56" s="26" t="n">
        <x:v>-101.26</x:v>
      </x:c>
      <x:c r="AI56" s="26" t="n">
        <x:v>0.083</x:v>
      </x:c>
      <x:c r="AJ56" s="26" t="n">
        <x:v>65.83</x:v>
      </x:c>
      <x:c r="AK56" s="26" t="n">
        <x:v>0.11132</x:v>
      </x:c>
      <x:c r="AL56" s="26" t="n">
        <x:v>-125.28</x:v>
      </x:c>
      <x:c r="AM56" s="26" t="n">
        <x:v>0.248</x:v>
      </x:c>
      <x:c r="AN56" s="26" t="n">
        <x:v>15.79</x:v>
      </x:c>
      <x:c r="AO56" s="26" t="n">
        <x:v>0.24209</x:v>
      </x:c>
      <x:c r="AP56" s="26" t="n">
        <x:v>169.13</x:v>
      </x:c>
      <x:c r="AQ56" s="26" t="n">
        <x:v>0.558</x:v>
      </x:c>
      <x:c r="AR56" s="26" t="n">
        <x:v>1.95</x:v>
      </x:c>
      <x:c r="AS56" s="26" t="n">
        <x:v>0.26804</x:v>
      </x:c>
      <x:c r="AT56" s="26" t="n">
        <x:v>1.59</x:v>
      </x:c>
      <x:c r="AU56" s="26" t="n">
        <x:v>0.0784</x:v>
      </x:c>
      <x:c r="AV56" s="26" t="n">
        <x:v>0.4153</x:v>
      </x:c>
      <x:c r="AW56" s="26" t="n">
        <x:v>0.9032</x:v>
      </x:c>
      <x:c r="AX56" s="26" t="n">
        <x:v>1</x:v>
      </x:c>
    </x:row>
    <x:row r="57">
      <x:c r="A57" s="26" t="str">
        <x:v>K2</x:v>
      </x:c>
      <x:c r="B57" s="26" t="str">
        <x:v>Horizontal / flat</x:v>
      </x:c>
      <x:c r="C57" s="26" t="str">
        <x:v>Low–medium</x:v>
      </x:c>
      <x:c r="D57" s="26" t="str">
        <x:v>Pasted text (2)(2).txt</x:v>
      </x:c>
      <x:c r="E57" s="26" t="str">
        <x:v>GAIN_SWEEP</x:v>
      </x:c>
      <x:c r="F57" s="26" t="n">
        <x:v>12</x:v>
      </x:c>
      <x:c r="G57" s="26" t="n">
        <x:v>2</x:v>
      </x:c>
      <x:c r="H57" s="26" t="n">
        <x:v>268</x:v>
      </x:c>
      <x:c r="I57" s="26" t="n">
        <x:v>12</x:v>
      </x:c>
      <x:c r="J57" s="26" t="n">
        <x:v>748.39549</x:v>
      </x:c>
      <x:c r="K57" s="26" t="n">
        <x:v>0.06663</x:v>
      </x:c>
      <x:c r="L57" s="26" t="n">
        <x:v>16.26</x:v>
      </x:c>
      <x:c r="M57" s="26" t="n">
        <x:v>184.50849</x:v>
      </x:c>
      <x:c r="N57" s="26" t="n">
        <x:v>0.19325</x:v>
      </x:c>
      <x:c r="O57" s="26" t="n">
        <x:v>21.38</x:v>
      </x:c>
      <x:c r="P57" s="26" t="n">
        <x:v>268.13095</x:v>
      </x:c>
      <x:c r="Q57" s="26" t="n">
        <x:v>0.21086</x:v>
      </x:c>
      <x:c r="R57" s="26" t="n">
        <x:v>21.98</x:v>
      </x:c>
      <x:c r="S57" s="26" t="n">
        <x:v>264.28538</x:v>
      </x:c>
      <x:c r="T57" s="26" t="n">
        <x:v>0.0156</x:v>
      </x:c>
      <x:c r="U57" s="26" t="n">
        <x:v>268.17663</x:v>
      </x:c>
      <x:c r="V57" s="26" t="n">
        <x:v>0.10839</x:v>
      </x:c>
      <x:c r="W57" s="26" t="n">
        <x:v>268.13095</x:v>
      </x:c>
      <x:c r="X57" s="26" t="n">
        <x:v>0.21086</x:v>
      </x:c>
      <x:c r="Y57" s="26" t="n">
        <x:v>268.1395</x:v>
      </x:c>
      <x:c r="Z57" s="26" t="n">
        <x:v>0.1395</x:v>
      </x:c>
      <x:c r="AA57" s="26" t="n">
        <x:v>0.01071</x:v>
      </x:c>
      <x:c r="AB57" s="26" t="n">
        <x:v>0.10839</x:v>
      </x:c>
      <x:c r="AC57" s="26" t="n">
        <x:v>0.21086</x:v>
      </x:c>
      <x:c r="AD57" s="26" t="n">
        <x:v>0.23733</x:v>
      </x:c>
      <x:c r="AE57" s="26" t="n">
        <x:v>21.34</x:v>
      </x:c>
      <x:c r="AF57" s="26" t="str">
        <x:v>Z</x:v>
      </x:c>
      <x:c r="AG57" s="26" t="n">
        <x:v>0.01705</x:v>
      </x:c>
      <x:c r="AH57" s="26" t="n">
        <x:v>-99.61</x:v>
      </x:c>
      <x:c r="AI57" s="26" t="n">
        <x:v>0.067</x:v>
      </x:c>
      <x:c r="AJ57" s="26" t="n">
        <x:v>50.72</x:v>
      </x:c>
      <x:c r="AK57" s="26" t="n">
        <x:v>0.12013</x:v>
      </x:c>
      <x:c r="AL57" s="26" t="n">
        <x:v>-124.52</x:v>
      </x:c>
      <x:c r="AM57" s="26" t="n">
        <x:v>0.269</x:v>
      </x:c>
      <x:c r="AN57" s="26" t="n">
        <x:v>21.49</x:v>
      </x:c>
      <x:c r="AO57" s="26" t="n">
        <x:v>0.25081</x:v>
      </x:c>
      <x:c r="AP57" s="26" t="n">
        <x:v>167.25</x:v>
      </x:c>
      <x:c r="AQ57" s="26" t="n">
        <x:v>0.565</x:v>
      </x:c>
      <x:c r="AR57" s="26" t="n">
        <x:v>3.87</x:v>
      </x:c>
      <x:c r="AS57" s="26" t="n">
        <x:v>0.27956</x:v>
      </x:c>
      <x:c r="AT57" s="26" t="n">
        <x:v>4.79</x:v>
      </x:c>
      <x:c r="AU57" s="26" t="n">
        <x:v>0.061</x:v>
      </x:c>
      <x:c r="AV57" s="26" t="n">
        <x:v>0.4297</x:v>
      </x:c>
      <x:c r="AW57" s="26" t="n">
        <x:v>0.8972</x:v>
      </x:c>
      <x:c r="AX57" s="26" t="n">
        <x:v>1</x:v>
      </x:c>
    </x:row>
    <x:row r="58">
      <x:c r="A58" s="26" t="str">
        <x:v>K2</x:v>
      </x:c>
      <x:c r="B58" s="26" t="str">
        <x:v>Horizontal / flat</x:v>
      </x:c>
      <x:c r="C58" s="26" t="str">
        <x:v>Low–medium</x:v>
      </x:c>
      <x:c r="D58" s="26" t="str">
        <x:v>Pasted text (2)(2).txt</x:v>
      </x:c>
      <x:c r="E58" s="26" t="str">
        <x:v>GAIN_SWEEP</x:v>
      </x:c>
      <x:c r="F58" s="26" t="n">
        <x:v>13</x:v>
      </x:c>
      <x:c r="G58" s="26" t="n">
        <x:v>1</x:v>
      </x:c>
      <x:c r="H58" s="26" t="n">
        <x:v>268</x:v>
      </x:c>
      <x:c r="I58" s="26" t="n">
        <x:v>13</x:v>
      </x:c>
      <x:c r="J58" s="26" t="n">
        <x:v>748.51184</x:v>
      </x:c>
      <x:c r="K58" s="26" t="n">
        <x:v>0.06406</x:v>
      </x:c>
      <x:c r="L58" s="26" t="n">
        <x:v>16.84</x:v>
      </x:c>
      <x:c r="M58" s="26" t="n">
        <x:v>268.26486</x:v>
      </x:c>
      <x:c r="N58" s="26" t="n">
        <x:v>0.12397</x:v>
      </x:c>
      <x:c r="O58" s="26" t="n">
        <x:v>17.66</x:v>
      </x:c>
      <x:c r="P58" s="26" t="n">
        <x:v>268.03568</x:v>
      </x:c>
      <x:c r="Q58" s="26" t="n">
        <x:v>0.22879</x:v>
      </x:c>
      <x:c r="R58" s="26" t="n">
        <x:v>23.29</x:v>
      </x:c>
      <x:c r="S58" s="26" t="n">
        <x:v>267.93734</x:v>
      </x:c>
      <x:c r="T58" s="26" t="n">
        <x:v>0.0169</x:v>
      </x:c>
      <x:c r="U58" s="26" t="n">
        <x:v>268.26486</x:v>
      </x:c>
      <x:c r="V58" s="26" t="n">
        <x:v>0.12397</x:v>
      </x:c>
      <x:c r="W58" s="26" t="n">
        <x:v>268.03568</x:v>
      </x:c>
      <x:c r="X58" s="26" t="n">
        <x:v>0.22879</x:v>
      </x:c>
      <x:c r="Y58" s="26" t="n">
        <x:v>268.08534</x:v>
      </x:c>
      <x:c r="Z58" s="26" t="n">
        <x:v>0.08534</x:v>
      </x:c>
      <x:c r="AA58" s="26" t="n">
        <x:v>0.01676</x:v>
      </x:c>
      <x:c r="AB58" s="26" t="n">
        <x:v>0.12397</x:v>
      </x:c>
      <x:c r="AC58" s="26" t="n">
        <x:v>0.22879</x:v>
      </x:c>
      <x:c r="AD58" s="26" t="n">
        <x:v>0.26076</x:v>
      </x:c>
      <x:c r="AE58" s="26" t="n">
        <x:v>22.71</x:v>
      </x:c>
      <x:c r="AF58" s="26" t="str">
        <x:v>Z</x:v>
      </x:c>
      <x:c r="AG58" s="26" t="n">
        <x:v>0.02059</x:v>
      </x:c>
      <x:c r="AH58" s="26" t="n">
        <x:v>-113.65</x:v>
      </x:c>
      <x:c r="AI58" s="26" t="n">
        <x:v>0.087</x:v>
      </x:c>
      <x:c r="AJ58" s="26" t="n">
        <x:v>36.54</x:v>
      </x:c>
      <x:c r="AK58" s="26" t="n">
        <x:v>0.11852</x:v>
      </x:c>
      <x:c r="AL58" s="26" t="n">
        <x:v>-126.3</x:v>
      </x:c>
      <x:c r="AM58" s="26" t="n">
        <x:v>0.282</x:v>
      </x:c>
      <x:c r="AN58" s="26" t="n">
        <x:v>25.14</x:v>
      </x:c>
      <x:c r="AO58" s="26" t="n">
        <x:v>0.26953</x:v>
      </x:c>
      <x:c r="AP58" s="26" t="n">
        <x:v>169.45</x:v>
      </x:c>
      <x:c r="AQ58" s="26" t="n">
        <x:v>0.593</x:v>
      </x:c>
      <x:c r="AR58" s="26" t="n">
        <x:v>6.45</x:v>
      </x:c>
      <x:c r="AS58" s="26" t="n">
        <x:v>0.296</x:v>
      </x:c>
      <x:c r="AT58" s="26" t="n">
        <x:v>8.45</x:v>
      </x:c>
      <x:c r="AU58" s="26" t="n">
        <x:v>0.0696</x:v>
      </x:c>
      <x:c r="AV58" s="26" t="n">
        <x:v>0.4004</x:v>
      </x:c>
      <x:c r="AW58" s="26" t="n">
        <x:v>0.9106</x:v>
      </x:c>
      <x:c r="AX58" s="26" t="n">
        <x:v>1</x:v>
      </x:c>
    </x:row>
    <x:row r="59">
      <x:c r="A59" s="26" t="str">
        <x:v>K2</x:v>
      </x:c>
      <x:c r="B59" s="26" t="str">
        <x:v>Horizontal / flat</x:v>
      </x:c>
      <x:c r="C59" s="26" t="str">
        <x:v>Low–medium</x:v>
      </x:c>
      <x:c r="D59" s="26" t="str">
        <x:v>Pasted text (2)(2).txt</x:v>
      </x:c>
      <x:c r="E59" s="26" t="str">
        <x:v>GAIN_SWEEP</x:v>
      </x:c>
      <x:c r="F59" s="26" t="n">
        <x:v>13</x:v>
      </x:c>
      <x:c r="G59" s="26" t="n">
        <x:v>2</x:v>
      </x:c>
      <x:c r="H59" s="26" t="n">
        <x:v>268</x:v>
      </x:c>
      <x:c r="I59" s="26" t="n">
        <x:v>13</x:v>
      </x:c>
      <x:c r="J59" s="26" t="n">
        <x:v>748.47453</x:v>
      </x:c>
      <x:c r="K59" s="26" t="n">
        <x:v>0.05766</x:v>
      </x:c>
      <x:c r="L59" s="26" t="n">
        <x:v>15.65</x:v>
      </x:c>
      <x:c r="M59" s="26" t="n">
        <x:v>268.04349</x:v>
      </x:c>
      <x:c r="N59" s="26" t="n">
        <x:v>0.11071</x:v>
      </x:c>
      <x:c r="O59" s="26" t="n">
        <x:v>16.75</x:v>
      </x:c>
      <x:c r="P59" s="26" t="n">
        <x:v>268.04604</x:v>
      </x:c>
      <x:c r="Q59" s="26" t="n">
        <x:v>0.2344</x:v>
      </x:c>
      <x:c r="R59" s="26" t="n">
        <x:v>23.65</x:v>
      </x:c>
      <x:c r="S59" s="26" t="n">
        <x:v>268.42663</x:v>
      </x:c>
      <x:c r="T59" s="26" t="n">
        <x:v>0.01411</x:v>
      </x:c>
      <x:c r="U59" s="26" t="n">
        <x:v>268.04349</x:v>
      </x:c>
      <x:c r="V59" s="26" t="n">
        <x:v>0.11071</x:v>
      </x:c>
      <x:c r="W59" s="26" t="n">
        <x:v>268.04604</x:v>
      </x:c>
      <x:c r="X59" s="26" t="n">
        <x:v>0.2344</x:v>
      </x:c>
      <x:c r="Y59" s="26" t="n">
        <x:v>268.04654</x:v>
      </x:c>
      <x:c r="Z59" s="26" t="n">
        <x:v>0.04654</x:v>
      </x:c>
      <x:c r="AA59" s="26" t="n">
        <x:v>0.01411</x:v>
      </x:c>
      <x:c r="AB59" s="26" t="n">
        <x:v>0.11071</x:v>
      </x:c>
      <x:c r="AC59" s="26" t="n">
        <x:v>0.2344</x:v>
      </x:c>
      <x:c r="AD59" s="26" t="n">
        <x:v>0.25961</x:v>
      </x:c>
      <x:c r="AE59" s="26" t="n">
        <x:v>22.03</x:v>
      </x:c>
      <x:c r="AF59" s="26" t="str">
        <x:v>Z</x:v>
      </x:c>
      <x:c r="AG59" s="26" t="n">
        <x:v>0.02083</x:v>
      </x:c>
      <x:c r="AH59" s="26" t="n">
        <x:v>-77.97</x:v>
      </x:c>
      <x:c r="AI59" s="26" t="n">
        <x:v>0.087</x:v>
      </x:c>
      <x:c r="AJ59" s="26" t="n">
        <x:v>46.15</x:v>
      </x:c>
      <x:c r="AK59" s="26" t="n">
        <x:v>0.12172</x:v>
      </x:c>
      <x:c r="AL59" s="26" t="n">
        <x:v>-127.48</x:v>
      </x:c>
      <x:c r="AM59" s="26" t="n">
        <x:v>0.291</x:v>
      </x:c>
      <x:c r="AN59" s="26" t="n">
        <x:v>22.69</x:v>
      </x:c>
      <x:c r="AO59" s="26" t="n">
        <x:v>0.26976</x:v>
      </x:c>
      <x:c r="AP59" s="26" t="n">
        <x:v>167.73</x:v>
      </x:c>
      <x:c r="AQ59" s="26" t="n">
        <x:v>0.594</x:v>
      </x:c>
      <x:c r="AR59" s="26" t="n">
        <x:v>4.51</x:v>
      </x:c>
      <x:c r="AS59" s="26" t="n">
        <x:v>0.29782</x:v>
      </x:c>
      <x:c r="AT59" s="26" t="n">
        <x:v>4.28</x:v>
      </x:c>
      <x:c r="AU59" s="26" t="n">
        <x:v>0.0699</x:v>
      </x:c>
      <x:c r="AV59" s="26" t="n">
        <x:v>0.4087</x:v>
      </x:c>
      <x:c r="AW59" s="26" t="n">
        <x:v>0.9058</x:v>
      </x:c>
      <x:c r="AX59" s="26" t="n">
        <x:v>1</x:v>
      </x:c>
    </x:row>
    <x:row r="60">
      <x:c r="A60" s="26" t="str">
        <x:v>K2</x:v>
      </x:c>
      <x:c r="B60" s="26" t="str">
        <x:v>Horizontal / flat</x:v>
      </x:c>
      <x:c r="C60" s="26" t="str">
        <x:v>Low–medium</x:v>
      </x:c>
      <x:c r="D60" s="26" t="str">
        <x:v>Pasted text (2)(2).txt</x:v>
      </x:c>
      <x:c r="E60" s="26" t="str">
        <x:v>GAIN_SWEEP</x:v>
      </x:c>
      <x:c r="F60" s="26" t="n">
        <x:v>14</x:v>
      </x:c>
      <x:c r="G60" s="26" t="n">
        <x:v>1</x:v>
      </x:c>
      <x:c r="H60" s="26" t="n">
        <x:v>268</x:v>
      </x:c>
      <x:c r="I60" s="26" t="n">
        <x:v>14</x:v>
      </x:c>
      <x:c r="J60" s="26" t="n">
        <x:v>749.42796</x:v>
      </x:c>
      <x:c r="K60" s="26" t="n">
        <x:v>0.04597</x:v>
      </x:c>
      <x:c r="L60" s="26" t="n">
        <x:v>14.26</x:v>
      </x:c>
      <x:c r="M60" s="26" t="n">
        <x:v>185.97455</x:v>
      </x:c>
      <x:c r="N60" s="26" t="n">
        <x:v>0.15094</x:v>
      </x:c>
      <x:c r="O60" s="26" t="n">
        <x:v>19.07</x:v>
      </x:c>
      <x:c r="P60" s="26" t="n">
        <x:v>268.0071</x:v>
      </x:c>
      <x:c r="Q60" s="26" t="n">
        <x:v>0.24897</x:v>
      </x:c>
      <x:c r="R60" s="26" t="n">
        <x:v>23.83</x:v>
      </x:c>
      <x:c r="S60" s="26" t="n">
        <x:v>267.61236</x:v>
      </x:c>
      <x:c r="T60" s="26" t="n">
        <x:v>0.01297</x:v>
      </x:c>
      <x:c r="U60" s="26" t="n">
        <x:v>267.94973</x:v>
      </x:c>
      <x:c r="V60" s="26" t="n">
        <x:v>0.11626</x:v>
      </x:c>
      <x:c r="W60" s="26" t="n">
        <x:v>268.0071</x:v>
      </x:c>
      <x:c r="X60" s="26" t="n">
        <x:v>0.24897</x:v>
      </x:c>
      <x:c r="Y60" s="26" t="n">
        <x:v>267.99831</x:v>
      </x:c>
      <x:c r="Z60" s="26" t="n">
        <x:v>-0.00169</x:v>
      </x:c>
      <x:c r="AA60" s="26" t="n">
        <x:v>0.01106</x:v>
      </x:c>
      <x:c r="AB60" s="26" t="n">
        <x:v>0.11514</x:v>
      </x:c>
      <x:c r="AC60" s="26" t="n">
        <x:v>0.24897</x:v>
      </x:c>
      <x:c r="AD60" s="26" t="n">
        <x:v>0.27453</x:v>
      </x:c>
      <x:c r="AE60" s="26" t="n">
        <x:v>22.96</x:v>
      </x:c>
      <x:c r="AF60" s="26" t="str">
        <x:v>Z</x:v>
      </x:c>
      <x:c r="AG60" s="26" t="n">
        <x:v>0.02037</x:v>
      </x:c>
      <x:c r="AH60" s="26" t="n">
        <x:v>-99.61</x:v>
      </x:c>
      <x:c r="AI60" s="26" t="n">
        <x:v>0.087</x:v>
      </x:c>
      <x:c r="AJ60" s="26" t="n">
        <x:v>68.98</x:v>
      </x:c>
      <x:c r="AK60" s="26" t="n">
        <x:v>0.1306</x:v>
      </x:c>
      <x:c r="AL60" s="26" t="n">
        <x:v>-131.08</x:v>
      </x:c>
      <x:c r="AM60" s="26" t="n">
        <x:v>0.283</x:v>
      </x:c>
      <x:c r="AN60" s="26" t="n">
        <x:v>18.45</x:v>
      </x:c>
      <x:c r="AO60" s="26" t="n">
        <x:v>0.29627</x:v>
      </x:c>
      <x:c r="AP60" s="26" t="n">
        <x:v>167.94</x:v>
      </x:c>
      <x:c r="AQ60" s="26" t="n">
        <x:v>0.643</x:v>
      </x:c>
      <x:c r="AR60" s="26" t="n">
        <x:v>2.67</x:v>
      </x:c>
      <x:c r="AS60" s="26" t="n">
        <x:v>0.32529</x:v>
      </x:c>
      <x:c r="AT60" s="26" t="n">
        <x:v>3.61</x:v>
      </x:c>
      <x:c r="AU60" s="26" t="n">
        <x:v>0.0626</x:v>
      </x:c>
      <x:c r="AV60" s="26" t="n">
        <x:v>0.4015</x:v>
      </x:c>
      <x:c r="AW60" s="26" t="n">
        <x:v>0.9108</x:v>
      </x:c>
      <x:c r="AX60" s="26" t="n">
        <x:v>1</x:v>
      </x:c>
    </x:row>
    <x:row r="61">
      <x:c r="A61" s="26" t="str">
        <x:v>K2</x:v>
      </x:c>
      <x:c r="B61" s="26" t="str">
        <x:v>Horizontal / flat</x:v>
      </x:c>
      <x:c r="C61" s="26" t="str">
        <x:v>Low–medium</x:v>
      </x:c>
      <x:c r="D61" s="26" t="str">
        <x:v>Pasted text (2)(2).txt</x:v>
      </x:c>
      <x:c r="E61" s="26" t="str">
        <x:v>GAIN_SWEEP</x:v>
      </x:c>
      <x:c r="F61" s="26" t="n">
        <x:v>14</x:v>
      </x:c>
      <x:c r="G61" s="26" t="n">
        <x:v>2</x:v>
      </x:c>
      <x:c r="H61" s="26" t="n">
        <x:v>268</x:v>
      </x:c>
      <x:c r="I61" s="26" t="n">
        <x:v>14</x:v>
      </x:c>
      <x:c r="J61" s="26" t="n">
        <x:v>748.64869</x:v>
      </x:c>
      <x:c r="K61" s="26" t="n">
        <x:v>0.05827</x:v>
      </x:c>
      <x:c r="L61" s="26" t="n">
        <x:v>15.75</x:v>
      </x:c>
      <x:c r="M61" s="26" t="n">
        <x:v>184.84907</x:v>
      </x:c>
      <x:c r="N61" s="26" t="n">
        <x:v>0.13151</x:v>
      </x:c>
      <x:c r="O61" s="26" t="n">
        <x:v>17.71</x:v>
      </x:c>
      <x:c r="P61" s="26" t="n">
        <x:v>268.08041</x:v>
      </x:c>
      <x:c r="Q61" s="26" t="n">
        <x:v>0.2473</x:v>
      </x:c>
      <x:c r="R61" s="26" t="n">
        <x:v>23.73</x:v>
      </x:c>
      <x:c r="S61" s="26" t="n">
        <x:v>275.45794</x:v>
      </x:c>
      <x:c r="T61" s="26" t="n">
        <x:v>0.01747</x:v>
      </x:c>
      <x:c r="U61" s="26" t="n">
        <x:v>268.25359</x:v>
      </x:c>
      <x:c r="V61" s="26" t="n">
        <x:v>0.13142</x:v>
      </x:c>
      <x:c r="W61" s="26" t="n">
        <x:v>268.08041</x:v>
      </x:c>
      <x:c r="X61" s="26" t="n">
        <x:v>0.2473</x:v>
      </x:c>
      <x:c r="Y61" s="26" t="n">
        <x:v>268.11896</x:v>
      </x:c>
      <x:c r="Z61" s="26" t="n">
        <x:v>0.11896</x:v>
      </x:c>
      <x:c r="AA61" s="26" t="n">
        <x:v>0.01656</x:v>
      </x:c>
      <x:c r="AB61" s="26" t="n">
        <x:v>0.13142</x:v>
      </x:c>
      <x:c r="AC61" s="26" t="n">
        <x:v>0.2473</x:v>
      </x:c>
      <x:c r="AD61" s="26" t="n">
        <x:v>0.28054</x:v>
      </x:c>
      <x:c r="AE61" s="26" t="n">
        <x:v>22.05</x:v>
      </x:c>
      <x:c r="AF61" s="26" t="str">
        <x:v>Z</x:v>
      </x:c>
      <x:c r="AG61" s="26" t="n">
        <x:v>0.01234</x:v>
      </x:c>
      <x:c r="AH61" s="26" t="n">
        <x:v>-128.92</x:v>
      </x:c>
      <x:c r="AI61" s="26" t="n">
        <x:v>0.057</x:v>
      </x:c>
      <x:c r="AJ61" s="26" t="n">
        <x:v>95.91</x:v>
      </x:c>
      <x:c r="AK61" s="26" t="n">
        <x:v>0.13421</x:v>
      </x:c>
      <x:c r="AL61" s="26" t="n">
        <x:v>-133.68</x:v>
      </x:c>
      <x:c r="AM61" s="26" t="n">
        <x:v>0.294</x:v>
      </x:c>
      <x:c r="AN61" s="26" t="n">
        <x:v>12.73</x:v>
      </x:c>
      <x:c r="AO61" s="26" t="n">
        <x:v>0.2954</x:v>
      </x:c>
      <x:c r="AP61" s="26" t="n">
        <x:v>164.35</x:v>
      </x:c>
      <x:c r="AQ61" s="26" t="n">
        <x:v>0.632</x:v>
      </x:c>
      <x:c r="AR61" s="26" t="n">
        <x:v>4.88</x:v>
      </x:c>
      <x:c r="AS61" s="26" t="n">
        <x:v>0.32502</x:v>
      </x:c>
      <x:c r="AT61" s="26" t="n">
        <x:v>5.96</x:v>
      </x:c>
      <x:c r="AU61" s="26" t="n">
        <x:v>0.038</x:v>
      </x:c>
      <x:c r="AV61" s="26" t="n">
        <x:v>0.4129</x:v>
      </x:c>
      <x:c r="AW61" s="26" t="n">
        <x:v>0.9089</x:v>
      </x:c>
      <x:c r="AX61" s="26" t="n">
        <x:v>1</x:v>
      </x:c>
    </x:row>
    <x:row r="62">
      <x:c r="A62" s="26" t="str">
        <x:v>K2</x:v>
      </x:c>
      <x:c r="B62" s="26" t="str">
        <x:v>Horizontal / flat</x:v>
      </x:c>
      <x:c r="C62" s="26" t="str">
        <x:v>Low–medium</x:v>
      </x:c>
      <x:c r="D62" s="26" t="str">
        <x:v>Pasted text (2)(2).txt</x:v>
      </x:c>
      <x:c r="E62" s="26" t="str">
        <x:v>GAIN_SWEEP</x:v>
      </x:c>
      <x:c r="F62" s="26" t="n">
        <x:v>15</x:v>
      </x:c>
      <x:c r="G62" s="26" t="n">
        <x:v>1</x:v>
      </x:c>
      <x:c r="H62" s="26" t="n">
        <x:v>268</x:v>
      </x:c>
      <x:c r="I62" s="26" t="n">
        <x:v>15</x:v>
      </x:c>
      <x:c r="J62" s="26" t="n">
        <x:v>748.37519</x:v>
      </x:c>
      <x:c r="K62" s="26" t="n">
        <x:v>0.03941</x:v>
      </x:c>
      <x:c r="L62" s="26" t="n">
        <x:v>12.71</x:v>
      </x:c>
      <x:c r="M62" s="26" t="n">
        <x:v>184.7919</x:v>
      </x:c>
      <x:c r="N62" s="26" t="n">
        <x:v>0.17922</x:v>
      </x:c>
      <x:c r="O62" s="26" t="n">
        <x:v>20.45</x:v>
      </x:c>
      <x:c r="P62" s="26" t="n">
        <x:v>268.01133</x:v>
      </x:c>
      <x:c r="Q62" s="26" t="n">
        <x:v>0.25746</x:v>
      </x:c>
      <x:c r="R62" s="26" t="n">
        <x:v>24.22</x:v>
      </x:c>
      <x:c r="S62" s="26" t="n">
        <x:v>267.6857</x:v>
      </x:c>
      <x:c r="T62" s="26" t="n">
        <x:v>0.01892</x:v>
      </x:c>
      <x:c r="U62" s="26" t="n">
        <x:v>268.09862</x:v>
      </x:c>
      <x:c r="V62" s="26" t="n">
        <x:v>0.11572</x:v>
      </x:c>
      <x:c r="W62" s="26" t="n">
        <x:v>268.01133</x:v>
      </x:c>
      <x:c r="X62" s="26" t="n">
        <x:v>0.25746</x:v>
      </x:c>
      <x:c r="Y62" s="26" t="n">
        <x:v>268.02365</x:v>
      </x:c>
      <x:c r="Z62" s="26" t="n">
        <x:v>0.02365</x:v>
      </x:c>
      <x:c r="AA62" s="26" t="n">
        <x:v>0.01515</x:v>
      </x:c>
      <x:c r="AB62" s="26" t="n">
        <x:v>0.11572</x:v>
      </x:c>
      <x:c r="AC62" s="26" t="n">
        <x:v>0.25746</x:v>
      </x:c>
      <x:c r="AD62" s="26" t="n">
        <x:v>0.28268</x:v>
      </x:c>
      <x:c r="AE62" s="26" t="n">
        <x:v>24.03</x:v>
      </x:c>
      <x:c r="AF62" s="26" t="str">
        <x:v>Z</x:v>
      </x:c>
      <x:c r="AG62" s="26" t="n">
        <x:v>0.01535</x:v>
      </x:c>
      <x:c r="AH62" s="26" t="n">
        <x:v>-81.67</x:v>
      </x:c>
      <x:c r="AI62" s="26" t="n">
        <x:v>0.072</x:v>
      </x:c>
      <x:c r="AJ62" s="26" t="n">
        <x:v>21.46</x:v>
      </x:c>
      <x:c r="AK62" s="26" t="n">
        <x:v>0.13617</x:v>
      </x:c>
      <x:c r="AL62" s="26" t="n">
        <x:v>-128.54</x:v>
      </x:c>
      <x:c r="AM62" s="26" t="n">
        <x:v>0.279</x:v>
      </x:c>
      <x:c r="AN62" s="26" t="n">
        <x:v>31.42</x:v>
      </x:c>
      <x:c r="AO62" s="26" t="n">
        <x:v>0.31129</x:v>
      </x:c>
      <x:c r="AP62" s="26" t="n">
        <x:v>167.71</x:v>
      </x:c>
      <x:c r="AQ62" s="26" t="n">
        <x:v>0.659</x:v>
      </x:c>
      <x:c r="AR62" s="26" t="n">
        <x:v>6.13</x:v>
      </x:c>
      <x:c r="AS62" s="26" t="n">
        <x:v>0.34192</x:v>
      </x:c>
      <x:c r="AT62" s="26" t="n">
        <x:v>7.54</x:v>
      </x:c>
      <x:c r="AU62" s="26" t="n">
        <x:v>0.0449</x:v>
      </x:c>
      <x:c r="AV62" s="26" t="n">
        <x:v>0.3982</x:v>
      </x:c>
      <x:c r="AW62" s="26" t="n">
        <x:v>0.9104</x:v>
      </x:c>
      <x:c r="AX62" s="26" t="n">
        <x:v>1</x:v>
      </x:c>
    </x:row>
    <x:row r="63">
      <x:c r="A63" s="26" t="str">
        <x:v>K2</x:v>
      </x:c>
      <x:c r="B63" s="26" t="str">
        <x:v>Horizontal / flat</x:v>
      </x:c>
      <x:c r="C63" s="26" t="str">
        <x:v>Low–medium</x:v>
      </x:c>
      <x:c r="D63" s="26" t="str">
        <x:v>Pasted text (2)(2).txt</x:v>
      </x:c>
      <x:c r="E63" s="26" t="str">
        <x:v>GAIN_SWEEP</x:v>
      </x:c>
      <x:c r="F63" s="26" t="n">
        <x:v>15</x:v>
      </x:c>
      <x:c r="G63" s="26" t="n">
        <x:v>2</x:v>
      </x:c>
      <x:c r="H63" s="26" t="n">
        <x:v>268</x:v>
      </x:c>
      <x:c r="I63" s="26" t="n">
        <x:v>15</x:v>
      </x:c>
      <x:c r="J63" s="26" t="n">
        <x:v>747.96196</x:v>
      </x:c>
      <x:c r="K63" s="26" t="n">
        <x:v>0.04822</x:v>
      </x:c>
      <x:c r="L63" s="26" t="n">
        <x:v>14.82</x:v>
      </x:c>
      <x:c r="M63" s="26" t="n">
        <x:v>184.10393</x:v>
      </x:c>
      <x:c r="N63" s="26" t="n">
        <x:v>0.17708</x:v>
      </x:c>
      <x:c r="O63" s="26" t="n">
        <x:v>20.36</x:v>
      </x:c>
      <x:c r="P63" s="26" t="n">
        <x:v>268.00429</x:v>
      </x:c>
      <x:c r="Q63" s="26" t="n">
        <x:v>0.26493</x:v>
      </x:c>
      <x:c r="R63" s="26" t="n">
        <x:v>24.49</x:v>
      </x:c>
      <x:c r="S63" s="26" t="n">
        <x:v>260.89547</x:v>
      </x:c>
      <x:c r="T63" s="26" t="n">
        <x:v>0.01334</x:v>
      </x:c>
      <x:c r="U63" s="26" t="n">
        <x:v>267.95037</x:v>
      </x:c>
      <x:c r="V63" s="26" t="n">
        <x:v>0.13235</x:v>
      </x:c>
      <x:c r="W63" s="26" t="n">
        <x:v>268.00429</x:v>
      </x:c>
      <x:c r="X63" s="26" t="n">
        <x:v>0.26493</x:v>
      </x:c>
      <x:c r="Y63" s="26" t="n">
        <x:v>267.99378</x:v>
      </x:c>
      <x:c r="Z63" s="26" t="n">
        <x:v>-0.00622</x:v>
      </x:c>
      <x:c r="AA63" s="26" t="n">
        <x:v>0.01084</x:v>
      </x:c>
      <x:c r="AB63" s="26" t="n">
        <x:v>0.13097</x:v>
      </x:c>
      <x:c r="AC63" s="26" t="n">
        <x:v>0.26493</x:v>
      </x:c>
      <x:c r="AD63" s="26" t="n">
        <x:v>0.29573</x:v>
      </x:c>
      <x:c r="AE63" s="26" t="n">
        <x:v>20.71</x:v>
      </x:c>
      <x:c r="AF63" s="26" t="str">
        <x:v>Z</x:v>
      </x:c>
      <x:c r="AG63" s="26" t="n">
        <x:v>0.02398</x:v>
      </x:c>
      <x:c r="AH63" s="26" t="n">
        <x:v>-100.04</x:v>
      </x:c>
      <x:c r="AI63" s="26" t="n">
        <x:v>0.113</x:v>
      </x:c>
      <x:c r="AJ63" s="26" t="n">
        <x:v>31.64</x:v>
      </x:c>
      <x:c r="AK63" s="26" t="n">
        <x:v>0.12649</x:v>
      </x:c>
      <x:c r="AL63" s="26" t="n">
        <x:v>-137.33</x:v>
      </x:c>
      <x:c r="AM63" s="26" t="n">
        <x:v>0.257</x:v>
      </x:c>
      <x:c r="AN63" s="26" t="n">
        <x:v>16.91</x:v>
      </x:c>
      <x:c r="AO63" s="26" t="n">
        <x:v>0.31873</x:v>
      </x:c>
      <x:c r="AP63" s="26" t="n">
        <x:v>165.37</x:v>
      </x:c>
      <x:c r="AQ63" s="26" t="n">
        <x:v>0.646</x:v>
      </x:c>
      <x:c r="AR63" s="26" t="n">
        <x:v>6.89</x:v>
      </x:c>
      <x:c r="AS63" s="26" t="n">
        <x:v>0.34413</x:v>
      </x:c>
      <x:c r="AT63" s="26" t="n">
        <x:v>7.54</x:v>
      </x:c>
      <x:c r="AU63" s="26" t="n">
        <x:v>0.0697</x:v>
      </x:c>
      <x:c r="AV63" s="26" t="n">
        <x:v>0.3676</x:v>
      </x:c>
      <x:c r="AW63" s="26" t="n">
        <x:v>0.9262</x:v>
      </x:c>
      <x:c r="AX63" s="26" t="n">
        <x:v>1</x:v>
      </x:c>
    </x:row>
    <x:row r="64">
      <x:c r="A64" s="26" t="str">
        <x:v>K3</x:v>
      </x:c>
      <x:c r="B64" s="26" t="str">
        <x:v>Horizontal / flat</x:v>
      </x:c>
      <x:c r="C64" s="26" t="str">
        <x:v>High</x:v>
      </x:c>
      <x:c r="D64" s="26" t="str">
        <x:v>Pasted text (3).txt</x:v>
      </x:c>
      <x:c r="E64" s="26" t="str">
        <x:v>GAIN_SWEEP</x:v>
      </x:c>
      <x:c r="F64" s="26" t="n">
        <x:v>1</x:v>
      </x:c>
      <x:c r="G64" s="26" t="n">
        <x:v>1</x:v>
      </x:c>
      <x:c r="H64" s="26" t="n">
        <x:v>268</x:v>
      </x:c>
      <x:c r="I64" s="26" t="n">
        <x:v>1</x:v>
      </x:c>
      <x:c r="J64" s="26" t="n">
        <x:v>480.73829</x:v>
      </x:c>
      <x:c r="K64" s="26" t="n">
        <x:v>0.64454</x:v>
      </x:c>
      <x:c r="L64" s="26" t="n">
        <x:v>28.92</x:v>
      </x:c>
      <x:c r="M64" s="26" t="n">
        <x:v>480.70591</x:v>
      </x:c>
      <x:c r="N64" s="26" t="n">
        <x:v>0.53956</x:v>
      </x:c>
      <x:c r="O64" s="26" t="n">
        <x:v>23.44</x:v>
      </x:c>
      <x:c r="P64" s="26" t="n">
        <x:v>535.9792</x:v>
      </x:c>
      <x:c r="Q64" s="26" t="n">
        <x:v>0.46566</x:v>
      </x:c>
      <x:c r="R64" s="26" t="n">
        <x:v>24.54</x:v>
      </x:c>
      <x:c r="S64" s="26" t="n">
        <x:v>273.43373</x:v>
      </x:c>
      <x:c r="T64" s="26" t="n">
        <x:v>0.01521</x:v>
      </x:c>
      <x:c r="U64" s="26" t="n">
        <x:v>268.27174</x:v>
      </x:c>
      <x:c r="V64" s="26" t="n">
        <x:v>0.05211</x:v>
      </x:c>
      <x:c r="W64" s="26" t="n">
        <x:v>274.98375</x:v>
      </x:c>
      <x:c r="X64" s="26" t="n">
        <x:v>0.02119</x:v>
      </x:c>
      <x:c r="Y64" s="26" t="n">
        <x:v>268.26708</x:v>
      </x:c>
      <x:c r="Z64" s="26" t="n">
        <x:v>0.26708</x:v>
      </x:c>
      <x:c r="AA64" s="26" t="n">
        <x:v>0.01499</x:v>
      </x:c>
      <x:c r="AB64" s="26" t="n">
        <x:v>0.05211</x:v>
      </x:c>
      <x:c r="AC64" s="26" t="n">
        <x:v>0.0088</x:v>
      </x:c>
      <x:c r="AD64" s="26" t="n">
        <x:v>0.05493</x:v>
      </x:c>
      <x:c r="AE64" s="26" t="n">
        <x:v>6.21</x:v>
      </x:c>
      <x:c r="AF64" s="26" t="str">
        <x:v>Y</x:v>
      </x:c>
      <x:c r="AG64" s="26" t="n">
        <x:v>0.01792</x:v>
      </x:c>
      <x:c r="AH64" s="26" t="n">
        <x:v>133.29</x:v>
      </x:c>
      <x:c r="AI64" s="26" t="n">
        <x:v>0.018</x:v>
      </x:c>
      <x:c r="AJ64" s="26" t="n">
        <x:v>55.31</x:v>
      </x:c>
      <x:c r="AK64" s="26" t="n">
        <x:v>0.08948</x:v>
      </x:c>
      <x:c r="AL64" s="26" t="n">
        <x:v>129.01</x:v>
      </x:c>
      <x:c r="AM64" s="26" t="n">
        <x:v>0.071</x:v>
      </x:c>
      <x:c r="AN64" s="26" t="n">
        <x:v>18</x:v>
      </x:c>
      <x:c r="AO64" s="26" t="n">
        <x:v>0.02271</x:v>
      </x:c>
      <x:c r="AP64" s="26" t="n">
        <x:v>48.1</x:v>
      </x:c>
      <x:c r="AQ64" s="26" t="n">
        <x:v>0.024</x:v>
      </x:c>
      <x:c r="AR64" s="26" t="n">
        <x:v>64.64</x:v>
      </x:c>
      <x:c r="AS64" s="26" t="n">
        <x:v>0.0954</x:v>
      </x:c>
      <x:c r="AT64" s="26" t="n">
        <x:v>16.61</x:v>
      </x:c>
      <x:c r="AU64" s="26" t="n">
        <x:v>0.1879</x:v>
      </x:c>
      <x:c r="AV64" s="26" t="n">
        <x:v>0.9379</x:v>
      </x:c>
      <x:c r="AW64" s="26" t="n">
        <x:v>0.238</x:v>
      </x:c>
      <x:c r="AX64" s="26" t="n">
        <x:v>1</x:v>
      </x:c>
    </x:row>
    <x:row r="65">
      <x:c r="A65" s="26" t="str">
        <x:v>K3</x:v>
      </x:c>
      <x:c r="B65" s="26" t="str">
        <x:v>Horizontal / flat</x:v>
      </x:c>
      <x:c r="C65" s="26" t="str">
        <x:v>High</x:v>
      </x:c>
      <x:c r="D65" s="26" t="str">
        <x:v>Pasted text (3).txt</x:v>
      </x:c>
      <x:c r="E65" s="26" t="str">
        <x:v>GAIN_SWEEP</x:v>
      </x:c>
      <x:c r="F65" s="26" t="n">
        <x:v>1</x:v>
      </x:c>
      <x:c r="G65" s="26" t="n">
        <x:v>2</x:v>
      </x:c>
      <x:c r="H65" s="26" t="n">
        <x:v>268</x:v>
      </x:c>
      <x:c r="I65" s="26" t="n">
        <x:v>1</x:v>
      </x:c>
      <x:c r="J65" s="26" t="n">
        <x:v>480.9111</x:v>
      </x:c>
      <x:c r="K65" s="26" t="n">
        <x:v>0.66643</x:v>
      </x:c>
      <x:c r="L65" s="26" t="n">
        <x:v>29.4</x:v>
      </x:c>
      <x:c r="M65" s="26" t="n">
        <x:v>480.92228</x:v>
      </x:c>
      <x:c r="N65" s="26" t="n">
        <x:v>0.54996</x:v>
      </x:c>
      <x:c r="O65" s="26" t="n">
        <x:v>23.78</x:v>
      </x:c>
      <x:c r="P65" s="26" t="n">
        <x:v>535.97495</x:v>
      </x:c>
      <x:c r="Q65" s="26" t="n">
        <x:v>0.46938</x:v>
      </x:c>
      <x:c r="R65" s="26" t="n">
        <x:v>24.76</x:v>
      </x:c>
      <x:c r="S65" s="26" t="n">
        <x:v>265.39919</x:v>
      </x:c>
      <x:c r="T65" s="26" t="n">
        <x:v>0.01766</x:v>
      </x:c>
      <x:c r="U65" s="26" t="n">
        <x:v>266.80082</x:v>
      </x:c>
      <x:c r="V65" s="26" t="n">
        <x:v>0.05527</x:v>
      </x:c>
      <x:c r="W65" s="26" t="n">
        <x:v>273.40244</x:v>
      </x:c>
      <x:c r="X65" s="26" t="n">
        <x:v>0.02907</x:v>
      </x:c>
      <x:c r="Y65" s="26" t="n">
        <x:v>266.76721</x:v>
      </x:c>
      <x:c r="Z65" s="26" t="n">
        <x:v>-1.23279</x:v>
      </x:c>
      <x:c r="AA65" s="26" t="n">
        <x:v>0.01156</x:v>
      </x:c>
      <x:c r="AB65" s="26" t="n">
        <x:v>0.05527</x:v>
      </x:c>
      <x:c r="AC65" s="26" t="n">
        <x:v>0.01959</x:v>
      </x:c>
      <x:c r="AD65" s="26" t="n">
        <x:v>0.05977</x:v>
      </x:c>
      <x:c r="AE65" s="26" t="n">
        <x:v>6.2</x:v>
      </x:c>
      <x:c r="AF65" s="26" t="str">
        <x:v>Y</x:v>
      </x:c>
      <x:c r="AG65" s="26" t="n">
        <x:v>0.0153</x:v>
      </x:c>
      <x:c r="AH65" s="26" t="n">
        <x:v>-44.08</x:v>
      </x:c>
      <x:c r="AI65" s="26" t="n">
        <x:v>0.015</x:v>
      </x:c>
      <x:c r="AJ65" s="26" t="n">
        <x:v>29.3</x:v>
      </x:c>
      <x:c r="AK65" s="26" t="n">
        <x:v>0.06413</x:v>
      </x:c>
      <x:c r="AL65" s="26" t="n">
        <x:v>-54.38</x:v>
      </x:c>
      <x:c r="AM65" s="26" t="n">
        <x:v>0.051</x:v>
      </x:c>
      <x:c r="AN65" s="26" t="n">
        <x:v>41.06</x:v>
      </x:c>
      <x:c r="AO65" s="26" t="n">
        <x:v>0.02371</x:v>
      </x:c>
      <x:c r="AP65" s="26" t="n">
        <x:v>-31.34</x:v>
      </x:c>
      <x:c r="AQ65" s="26" t="n">
        <x:v>0.025</x:v>
      </x:c>
      <x:c r="AR65" s="26" t="n">
        <x:v>52.85</x:v>
      </x:c>
      <x:c r="AS65" s="26" t="n">
        <x:v>0.07085</x:v>
      </x:c>
      <x:c r="AT65" s="26" t="n">
        <x:v>38.17</x:v>
      </x:c>
      <x:c r="AU65" s="26" t="n">
        <x:v>0.2159</x:v>
      </x:c>
      <x:c r="AV65" s="26" t="n">
        <x:v>0.9051</x:v>
      </x:c>
      <x:c r="AW65" s="26" t="n">
        <x:v>0.3347</x:v>
      </x:c>
      <x:c r="AX65" s="26" t="n">
        <x:v>1</x:v>
      </x:c>
    </x:row>
    <x:row r="66">
      <x:c r="A66" s="26" t="str">
        <x:v>K3</x:v>
      </x:c>
      <x:c r="B66" s="26" t="str">
        <x:v>Horizontal / flat</x:v>
      </x:c>
      <x:c r="C66" s="26" t="str">
        <x:v>High</x:v>
      </x:c>
      <x:c r="D66" s="26" t="str">
        <x:v>Pasted text (3).txt</x:v>
      </x:c>
      <x:c r="E66" s="26" t="str">
        <x:v>GAIN_SWEEP</x:v>
      </x:c>
      <x:c r="F66" s="26" t="n">
        <x:v>2</x:v>
      </x:c>
      <x:c r="G66" s="26" t="n">
        <x:v>1</x:v>
      </x:c>
      <x:c r="H66" s="26" t="n">
        <x:v>268</x:v>
      </x:c>
      <x:c r="I66" s="26" t="n">
        <x:v>2</x:v>
      </x:c>
      <x:c r="J66" s="26" t="n">
        <x:v>480.69212</x:v>
      </x:c>
      <x:c r="K66" s="26" t="n">
        <x:v>0.35393</x:v>
      </x:c>
      <x:c r="L66" s="26" t="n">
        <x:v>22.75</x:v>
      </x:c>
      <x:c r="M66" s="26" t="n">
        <x:v>508.1784</x:v>
      </x:c>
      <x:c r="N66" s="26" t="n">
        <x:v>0.47621</x:v>
      </x:c>
      <x:c r="O66" s="26" t="n">
        <x:v>20.01</x:v>
      </x:c>
      <x:c r="P66" s="26" t="n">
        <x:v>508.2499</x:v>
      </x:c>
      <x:c r="Q66" s="26" t="n">
        <x:v>0.33734</x:v>
      </x:c>
      <x:c r="R66" s="26" t="n">
        <x:v>21.26</x:v>
      </x:c>
      <x:c r="S66" s="26" t="n">
        <x:v>268.45353</x:v>
      </x:c>
      <x:c r="T66" s="26" t="n">
        <x:v>0.01839</x:v>
      </x:c>
      <x:c r="U66" s="26" t="n">
        <x:v>268.80365</x:v>
      </x:c>
      <x:c r="V66" s="26" t="n">
        <x:v>0.16616</x:v>
      </x:c>
      <x:c r="W66" s="26" t="n">
        <x:v>267.81709</x:v>
      </x:c>
      <x:c r="X66" s="26" t="n">
        <x:v>0.08049</x:v>
      </x:c>
      <x:c r="Y66" s="26" t="n">
        <x:v>268.65585</x:v>
      </x:c>
      <x:c r="Z66" s="26" t="n">
        <x:v>0.65585</x:v>
      </x:c>
      <x:c r="AA66" s="26" t="n">
        <x:v>0.01839</x:v>
      </x:c>
      <x:c r="AB66" s="26" t="n">
        <x:v>0.16616</x:v>
      </x:c>
      <x:c r="AC66" s="26" t="n">
        <x:v>0.07495</x:v>
      </x:c>
      <x:c r="AD66" s="26" t="n">
        <x:v>0.18321</x:v>
      </x:c>
      <x:c r="AE66" s="26" t="n">
        <x:v>15.31</x:v>
      </x:c>
      <x:c r="AF66" s="26" t="str">
        <x:v>Y</x:v>
      </x:c>
      <x:c r="AG66" s="26" t="n">
        <x:v>0.01479</x:v>
      </x:c>
      <x:c r="AH66" s="26" t="n">
        <x:v>-63.92</x:v>
      </x:c>
      <x:c r="AI66" s="26" t="n">
        <x:v>0.017</x:v>
      </x:c>
      <x:c r="AJ66" s="26" t="n">
        <x:v>49.48</x:v>
      </x:c>
      <x:c r="AK66" s="26" t="n">
        <x:v>0.1569</x:v>
      </x:c>
      <x:c r="AL66" s="26" t="n">
        <x:v>101.43</x:v>
      </x:c>
      <x:c r="AM66" s="26" t="n">
        <x:v>0.103</x:v>
      </x:c>
      <x:c r="AN66" s="26" t="n">
        <x:v>19.65</x:v>
      </x:c>
      <x:c r="AO66" s="26" t="n">
        <x:v>0.08857</x:v>
      </x:c>
      <x:c r="AP66" s="26" t="n">
        <x:v>161.71</x:v>
      </x:c>
      <x:c r="AQ66" s="26" t="n">
        <x:v>0.097</x:v>
      </x:c>
      <x:c r="AR66" s="26" t="n">
        <x:v>21.72</x:v>
      </x:c>
      <x:c r="AS66" s="26" t="n">
        <x:v>0.18238</x:v>
      </x:c>
      <x:c r="AT66" s="26" t="n">
        <x:v>13.96</x:v>
      </x:c>
      <x:c r="AU66" s="26" t="n">
        <x:v>0.0811</x:v>
      </x:c>
      <x:c r="AV66" s="26" t="n">
        <x:v>0.8603</x:v>
      </x:c>
      <x:c r="AW66" s="26" t="n">
        <x:v>0.4856</x:v>
      </x:c>
      <x:c r="AX66" s="26" t="n">
        <x:v>1</x:v>
      </x:c>
    </x:row>
    <x:row r="67">
      <x:c r="A67" s="26" t="str">
        <x:v>K3</x:v>
      </x:c>
      <x:c r="B67" s="26" t="str">
        <x:v>Horizontal / flat</x:v>
      </x:c>
      <x:c r="C67" s="26" t="str">
        <x:v>High</x:v>
      </x:c>
      <x:c r="D67" s="26" t="str">
        <x:v>Pasted text (3).txt</x:v>
      </x:c>
      <x:c r="E67" s="26" t="str">
        <x:v>GAIN_SWEEP</x:v>
      </x:c>
      <x:c r="F67" s="26" t="n">
        <x:v>2</x:v>
      </x:c>
      <x:c r="G67" s="26" t="n">
        <x:v>2</x:v>
      </x:c>
      <x:c r="H67" s="26" t="n">
        <x:v>268</x:v>
      </x:c>
      <x:c r="I67" s="26" t="n">
        <x:v>2</x:v>
      </x:c>
      <x:c r="J67" s="26" t="n">
        <x:v>480.78472</x:v>
      </x:c>
      <x:c r="K67" s="26" t="n">
        <x:v>0.36885</x:v>
      </x:c>
      <x:c r="L67" s="26" t="n">
        <x:v>23.43</x:v>
      </x:c>
      <x:c r="M67" s="26" t="n">
        <x:v>508.24043</x:v>
      </x:c>
      <x:c r="N67" s="26" t="n">
        <x:v>0.47748</x:v>
      </x:c>
      <x:c r="O67" s="26" t="n">
        <x:v>19.98</x:v>
      </x:c>
      <x:c r="P67" s="26" t="n">
        <x:v>508.21638</x:v>
      </x:c>
      <x:c r="Q67" s="26" t="n">
        <x:v>0.34055</x:v>
      </x:c>
      <x:c r="R67" s="26" t="n">
        <x:v>21.49</x:v>
      </x:c>
      <x:c r="S67" s="26" t="n">
        <x:v>265.84936</x:v>
      </x:c>
      <x:c r="T67" s="26" t="n">
        <x:v>0.02223</x:v>
      </x:c>
      <x:c r="U67" s="26" t="n">
        <x:v>268.99679</x:v>
      </x:c>
      <x:c r="V67" s="26" t="n">
        <x:v>0.14134</x:v>
      </x:c>
      <x:c r="W67" s="26" t="n">
        <x:v>268.1807</x:v>
      </x:c>
      <x:c r="X67" s="26" t="n">
        <x:v>0.06628</x:v>
      </x:c>
      <x:c r="Y67" s="26" t="n">
        <x:v>268.84946</x:v>
      </x:c>
      <x:c r="Z67" s="26" t="n">
        <x:v>0.84946</x:v>
      </x:c>
      <x:c r="AA67" s="26" t="n">
        <x:v>0.01184</x:v>
      </x:c>
      <x:c r="AB67" s="26" t="n">
        <x:v>0.14134</x:v>
      </x:c>
      <x:c r="AC67" s="26" t="n">
        <x:v>0.06628</x:v>
      </x:c>
      <x:c r="AD67" s="26" t="n">
        <x:v>0.15656</x:v>
      </x:c>
      <x:c r="AE67" s="26" t="n">
        <x:v>13.8</x:v>
      </x:c>
      <x:c r="AF67" s="26" t="str">
        <x:v>Y</x:v>
      </x:c>
      <x:c r="AG67" s="26" t="n">
        <x:v>0.01968</x:v>
      </x:c>
      <x:c r="AH67" s="26" t="n">
        <x:v>-52.36</x:v>
      </x:c>
      <x:c r="AI67" s="26" t="n">
        <x:v>0.022</x:v>
      </x:c>
      <x:c r="AJ67" s="26" t="n">
        <x:v>70.14</x:v>
      </x:c>
      <x:c r="AK67" s="26" t="n">
        <x:v>0.15911</x:v>
      </x:c>
      <x:c r="AL67" s="26" t="n">
        <x:v>-95.86</x:v>
      </x:c>
      <x:c r="AM67" s="26" t="n">
        <x:v>0.105</x:v>
      </x:c>
      <x:c r="AN67" s="26" t="n">
        <x:v>31.3</x:v>
      </x:c>
      <x:c r="AO67" s="26" t="n">
        <x:v>0.09359</x:v>
      </x:c>
      <x:c r="AP67" s="26" t="n">
        <x:v>158.7</x:v>
      </x:c>
      <x:c r="AQ67" s="26" t="n">
        <x:v>0.102</x:v>
      </x:c>
      <x:c r="AR67" s="26" t="n">
        <x:v>25.41</x:v>
      </x:c>
      <x:c r="AS67" s="26" t="n">
        <x:v>0.1882</x:v>
      </x:c>
      <x:c r="AT67" s="26" t="n">
        <x:v>24</x:v>
      </x:c>
      <x:c r="AU67" s="26" t="n">
        <x:v>0.1046</x:v>
      </x:c>
      <x:c r="AV67" s="26" t="n">
        <x:v>0.8454</x:v>
      </x:c>
      <x:c r="AW67" s="26" t="n">
        <x:v>0.4973</x:v>
      </x:c>
      <x:c r="AX67" s="26" t="n">
        <x:v>1</x:v>
      </x:c>
    </x:row>
    <x:row r="68">
      <x:c r="A68" s="26" t="str">
        <x:v>K3</x:v>
      </x:c>
      <x:c r="B68" s="26" t="str">
        <x:v>Horizontal / flat</x:v>
      </x:c>
      <x:c r="C68" s="26" t="str">
        <x:v>High</x:v>
      </x:c>
      <x:c r="D68" s="26" t="str">
        <x:v>Pasted text (3).txt</x:v>
      </x:c>
      <x:c r="E68" s="26" t="str">
        <x:v>GAIN_SWEEP</x:v>
      </x:c>
      <x:c r="F68" s="26" t="n">
        <x:v>3</x:v>
      </x:c>
      <x:c r="G68" s="26" t="n">
        <x:v>1</x:v>
      </x:c>
      <x:c r="H68" s="26" t="n">
        <x:v>268</x:v>
      </x:c>
      <x:c r="I68" s="26" t="n">
        <x:v>3</x:v>
      </x:c>
      <x:c r="J68" s="26" t="n">
        <x:v>480.66896</x:v>
      </x:c>
      <x:c r="K68" s="26" t="n">
        <x:v>0.80772</x:v>
      </x:c>
      <x:c r="L68" s="26" t="n">
        <x:v>27.57</x:v>
      </x:c>
      <x:c r="M68" s="26" t="n">
        <x:v>184.79735</x:v>
      </x:c>
      <x:c r="N68" s="26" t="n">
        <x:v>0.66365</x:v>
      </x:c>
      <x:c r="O68" s="26" t="n">
        <x:v>22</x:v>
      </x:c>
      <x:c r="P68" s="26" t="n">
        <x:v>480.65297</x:v>
      </x:c>
      <x:c r="Q68" s="26" t="n">
        <x:v>0.38365</x:v>
      </x:c>
      <x:c r="R68" s="26" t="n">
        <x:v>21.63</x:v>
      </x:c>
      <x:c r="S68" s="26" t="n">
        <x:v>267.4055</x:v>
      </x:c>
      <x:c r="T68" s="26" t="n">
        <x:v>0.02197</x:v>
      </x:c>
      <x:c r="U68" s="26" t="n">
        <x:v>268.66939</x:v>
      </x:c>
      <x:c r="V68" s="26" t="n">
        <x:v>0.12917</x:v>
      </x:c>
      <x:c r="W68" s="26" t="n">
        <x:v>268.10262</x:v>
      </x:c>
      <x:c r="X68" s="26" t="n">
        <x:v>0.18421</x:v>
      </x:c>
      <x:c r="Y68" s="26" t="n">
        <x:v>268.28386</x:v>
      </x:c>
      <x:c r="Z68" s="26" t="n">
        <x:v>0.28386</x:v>
      </x:c>
      <x:c r="AA68" s="26" t="n">
        <x:v>0.01587</x:v>
      </x:c>
      <x:c r="AB68" s="26" t="n">
        <x:v>0.12917</x:v>
      </x:c>
      <x:c r="AC68" s="26" t="n">
        <x:v>0.18421</x:v>
      </x:c>
      <x:c r="AD68" s="26" t="n">
        <x:v>0.22555</x:v>
      </x:c>
      <x:c r="AE68" s="26" t="n">
        <x:v>16.41</x:v>
      </x:c>
      <x:c r="AF68" s="26" t="str">
        <x:v>Z</x:v>
      </x:c>
      <x:c r="AG68" s="26" t="n">
        <x:v>0.03216</x:v>
      </x:c>
      <x:c r="AH68" s="26" t="n">
        <x:v>-65.41</x:v>
      </x:c>
      <x:c r="AI68" s="26" t="n">
        <x:v>0.023</x:v>
      </x:c>
      <x:c r="AJ68" s="26" t="n">
        <x:v>37.44</x:v>
      </x:c>
      <x:c r="AK68" s="26" t="n">
        <x:v>0.1164</x:v>
      </x:c>
      <x:c r="AL68" s="26" t="n">
        <x:v>-157.16</x:v>
      </x:c>
      <x:c r="AM68" s="26" t="n">
        <x:v>0.068</x:v>
      </x:c>
      <x:c r="AN68" s="26" t="n">
        <x:v>49.65</x:v>
      </x:c>
      <x:c r="AO68" s="26" t="n">
        <x:v>0.19437</x:v>
      </x:c>
      <x:c r="AP68" s="26" t="n">
        <x:v>165.21</x:v>
      </x:c>
      <x:c r="AQ68" s="26" t="n">
        <x:v>0.191</x:v>
      </x:c>
      <x:c r="AR68" s="26" t="n">
        <x:v>11.45</x:v>
      </x:c>
      <x:c r="AS68" s="26" t="n">
        <x:v>0.23325</x:v>
      </x:c>
      <x:c r="AT68" s="26" t="n">
        <x:v>16.17</x:v>
      </x:c>
      <x:c r="AU68" s="26" t="n">
        <x:v>0.1379</x:v>
      </x:c>
      <x:c r="AV68" s="26" t="n">
        <x:v>0.499</x:v>
      </x:c>
      <x:c r="AW68" s="26" t="n">
        <x:v>0.8333</x:v>
      </x:c>
      <x:c r="AX68" s="26" t="n">
        <x:v>1</x:v>
      </x:c>
    </x:row>
    <x:row r="69">
      <x:c r="A69" s="26" t="str">
        <x:v>K3</x:v>
      </x:c>
      <x:c r="B69" s="26" t="str">
        <x:v>Horizontal / flat</x:v>
      </x:c>
      <x:c r="C69" s="26" t="str">
        <x:v>High</x:v>
      </x:c>
      <x:c r="D69" s="26" t="str">
        <x:v>Pasted text (3).txt</x:v>
      </x:c>
      <x:c r="E69" s="26" t="str">
        <x:v>GAIN_SWEEP</x:v>
      </x:c>
      <x:c r="F69" s="26" t="n">
        <x:v>3</x:v>
      </x:c>
      <x:c r="G69" s="26" t="n">
        <x:v>2</x:v>
      </x:c>
      <x:c r="H69" s="26" t="n">
        <x:v>268</x:v>
      </x:c>
      <x:c r="I69" s="26" t="n">
        <x:v>3</x:v>
      </x:c>
      <x:c r="J69" s="26" t="n">
        <x:v>480.49808</x:v>
      </x:c>
      <x:c r="K69" s="26" t="n">
        <x:v>0.7477</x:v>
      </x:c>
      <x:c r="L69" s="26" t="n">
        <x:v>27.04</x:v>
      </x:c>
      <x:c r="M69" s="26" t="n">
        <x:v>184.61019</x:v>
      </x:c>
      <x:c r="N69" s="26" t="n">
        <x:v>0.68656</x:v>
      </x:c>
      <x:c r="O69" s="26" t="n">
        <x:v>22.56</x:v>
      </x:c>
      <x:c r="P69" s="26" t="n">
        <x:v>480.43785</x:v>
      </x:c>
      <x:c r="Q69" s="26" t="n">
        <x:v>0.36517</x:v>
      </x:c>
      <x:c r="R69" s="26" t="n">
        <x:v>21.56</x:v>
      </x:c>
      <x:c r="S69" s="26" t="n">
        <x:v>271.55971</x:v>
      </x:c>
      <x:c r="T69" s="26" t="n">
        <x:v>0.01891</x:v>
      </x:c>
      <x:c r="U69" s="26" t="n">
        <x:v>268.48561</x:v>
      </x:c>
      <x:c r="V69" s="26" t="n">
        <x:v>0.15441</x:v>
      </x:c>
      <x:c r="W69" s="26" t="n">
        <x:v>268.02605</x:v>
      </x:c>
      <x:c r="X69" s="26" t="n">
        <x:v>0.18641</x:v>
      </x:c>
      <x:c r="Y69" s="26" t="n">
        <x:v>268.20684</x:v>
      </x:c>
      <x:c r="Z69" s="26" t="n">
        <x:v>0.20684</x:v>
      </x:c>
      <x:c r="AA69" s="26" t="n">
        <x:v>0.0059</x:v>
      </x:c>
      <x:c r="AB69" s="26" t="n">
        <x:v>0.15441</x:v>
      </x:c>
      <x:c r="AC69" s="26" t="n">
        <x:v>0.18641</x:v>
      </x:c>
      <x:c r="AD69" s="26" t="n">
        <x:v>0.24213</x:v>
      </x:c>
      <x:c r="AE69" s="26" t="n">
        <x:v>15.91</x:v>
      </x:c>
      <x:c r="AF69" s="26" t="str">
        <x:v>Z</x:v>
      </x:c>
      <x:c r="AG69" s="26" t="n">
        <x:v>0.02322</x:v>
      </x:c>
      <x:c r="AH69" s="26" t="n">
        <x:v>-98.24</x:v>
      </x:c>
      <x:c r="AI69" s="26" t="n">
        <x:v>0.016</x:v>
      </x:c>
      <x:c r="AJ69" s="26" t="n">
        <x:v>74.16</x:v>
      </x:c>
      <x:c r="AK69" s="26" t="n">
        <x:v>0.15581</x:v>
      </x:c>
      <x:c r="AL69" s="26" t="n">
        <x:v>-141.58</x:v>
      </x:c>
      <x:c r="AM69" s="26" t="n">
        <x:v>0.091</x:v>
      </x:c>
      <x:c r="AN69" s="26" t="n">
        <x:v>32.41</x:v>
      </x:c>
      <x:c r="AO69" s="26" t="n">
        <x:v>0.22667</x:v>
      </x:c>
      <x:c r="AP69" s="26" t="n">
        <x:v>162.88</x:v>
      </x:c>
      <x:c r="AQ69" s="26" t="n">
        <x:v>0.22</x:v>
      </x:c>
      <x:c r="AR69" s="26" t="n">
        <x:v>11.79</x:v>
      </x:c>
      <x:c r="AS69" s="26" t="n">
        <x:v>0.278</x:v>
      </x:c>
      <x:c r="AT69" s="26" t="n">
        <x:v>16.88</x:v>
      </x:c>
      <x:c r="AU69" s="26" t="n">
        <x:v>0.0835</x:v>
      </x:c>
      <x:c r="AV69" s="26" t="n">
        <x:v>0.5605</x:v>
      </x:c>
      <x:c r="AW69" s="26" t="n">
        <x:v>0.8154</x:v>
      </x:c>
      <x:c r="AX69" s="26" t="n">
        <x:v>1</x:v>
      </x:c>
    </x:row>
    <x:row r="70">
      <x:c r="A70" s="26" t="str">
        <x:v>K3</x:v>
      </x:c>
      <x:c r="B70" s="26" t="str">
        <x:v>Horizontal / flat</x:v>
      </x:c>
      <x:c r="C70" s="26" t="str">
        <x:v>High</x:v>
      </x:c>
      <x:c r="D70" s="26" t="str">
        <x:v>Pasted text (3).txt</x:v>
      </x:c>
      <x:c r="E70" s="26" t="str">
        <x:v>GAIN_SWEEP</x:v>
      </x:c>
      <x:c r="F70" s="26" t="n">
        <x:v>4</x:v>
      </x:c>
      <x:c r="G70" s="26" t="n">
        <x:v>1</x:v>
      </x:c>
      <x:c r="H70" s="26" t="n">
        <x:v>268</x:v>
      </x:c>
      <x:c r="I70" s="26" t="n">
        <x:v>4</x:v>
      </x:c>
      <x:c r="J70" s="26" t="n">
        <x:v>480.58422</x:v>
      </x:c>
      <x:c r="K70" s="26" t="n">
        <x:v>0.79838</x:v>
      </x:c>
      <x:c r="L70" s="26" t="n">
        <x:v>26.38</x:v>
      </x:c>
      <x:c r="M70" s="26" t="n">
        <x:v>184.68972</x:v>
      </x:c>
      <x:c r="N70" s="26" t="n">
        <x:v>1.22196</x:v>
      </x:c>
      <x:c r="O70" s="26" t="n">
        <x:v>26.14</x:v>
      </x:c>
      <x:c r="P70" s="26" t="n">
        <x:v>480.54827</x:v>
      </x:c>
      <x:c r="Q70" s="26" t="n">
        <x:v>0.36171</x:v>
      </x:c>
      <x:c r="R70" s="26" t="n">
        <x:v>20.51</x:v>
      </x:c>
      <x:c r="S70" s="26" t="n">
        <x:v>260.53771</x:v>
      </x:c>
      <x:c r="T70" s="26" t="n">
        <x:v>0.02873</x:v>
      </x:c>
      <x:c r="U70" s="26" t="n">
        <x:v>268.46859</x:v>
      </x:c>
      <x:c r="V70" s="26" t="n">
        <x:v>0.19301</x:v>
      </x:c>
      <x:c r="W70" s="26" t="n">
        <x:v>268.04907</x:v>
      </x:c>
      <x:c r="X70" s="26" t="n">
        <x:v>0.27961</x:v>
      </x:c>
      <x:c r="Y70" s="26" t="n">
        <x:v>268.17726</x:v>
      </x:c>
      <x:c r="Z70" s="26" t="n">
        <x:v>0.17726</x:v>
      </x:c>
      <x:c r="AA70" s="26" t="n">
        <x:v>0.02129</x:v>
      </x:c>
      <x:c r="AB70" s="26" t="n">
        <x:v>0.19301</x:v>
      </x:c>
      <x:c r="AC70" s="26" t="n">
        <x:v>0.27961</x:v>
      </x:c>
      <x:c r="AD70" s="26" t="n">
        <x:v>0.34042</x:v>
      </x:c>
      <x:c r="AE70" s="26" t="n">
        <x:v>17.49</x:v>
      </x:c>
      <x:c r="AF70" s="26" t="str">
        <x:v>Z</x:v>
      </x:c>
      <x:c r="AG70" s="26" t="n">
        <x:v>0.0352</x:v>
      </x:c>
      <x:c r="AH70" s="26" t="n">
        <x:v>-102.67</x:v>
      </x:c>
      <x:c r="AI70" s="26" t="n">
        <x:v>0.022</x:v>
      </x:c>
      <x:c r="AJ70" s="26" t="n">
        <x:v>50.45</x:v>
      </x:c>
      <x:c r="AK70" s="26" t="n">
        <x:v>0.21582</x:v>
      </x:c>
      <x:c r="AL70" s="26" t="n">
        <x:v>-139.73</x:v>
      </x:c>
      <x:c r="AM70" s="26" t="n">
        <x:v>0.1</x:v>
      </x:c>
      <x:c r="AN70" s="26" t="n">
        <x:v>25.04</x:v>
      </x:c>
      <x:c r="AO70" s="26" t="n">
        <x:v>0.3436</x:v>
      </x:c>
      <x:c r="AP70" s="26" t="n">
        <x:v>164.25</x:v>
      </x:c>
      <x:c r="AQ70" s="26" t="n">
        <x:v>0.305</x:v>
      </x:c>
      <x:c r="AR70" s="26" t="n">
        <x:v>5.88</x:v>
      </x:c>
      <x:c r="AS70" s="26" t="n">
        <x:v>0.40941</x:v>
      </x:c>
      <x:c r="AT70" s="26" t="n">
        <x:v>9.35</x:v>
      </x:c>
      <x:c r="AU70" s="26" t="n">
        <x:v>0.086</x:v>
      </x:c>
      <x:c r="AV70" s="26" t="n">
        <x:v>0.5271</x:v>
      </x:c>
      <x:c r="AW70" s="26" t="n">
        <x:v>0.8392</x:v>
      </x:c>
      <x:c r="AX70" s="26" t="n">
        <x:v>1</x:v>
      </x:c>
    </x:row>
    <x:row r="71">
      <x:c r="A71" s="26" t="str">
        <x:v>K3</x:v>
      </x:c>
      <x:c r="B71" s="26" t="str">
        <x:v>Horizontal / flat</x:v>
      </x:c>
      <x:c r="C71" s="26" t="str">
        <x:v>High</x:v>
      </x:c>
      <x:c r="D71" s="26" t="str">
        <x:v>Pasted text (3).txt</x:v>
      </x:c>
      <x:c r="E71" s="26" t="str">
        <x:v>GAIN_SWEEP</x:v>
      </x:c>
      <x:c r="F71" s="26" t="n">
        <x:v>4</x:v>
      </x:c>
      <x:c r="G71" s="26" t="n">
        <x:v>2</x:v>
      </x:c>
      <x:c r="H71" s="26" t="n">
        <x:v>268</x:v>
      </x:c>
      <x:c r="I71" s="26" t="n">
        <x:v>4</x:v>
      </x:c>
      <x:c r="J71" s="26" t="n">
        <x:v>480.72857</x:v>
      </x:c>
      <x:c r="K71" s="26" t="n">
        <x:v>0.81142</x:v>
      </x:c>
      <x:c r="L71" s="26" t="n">
        <x:v>26.32</x:v>
      </x:c>
      <x:c r="M71" s="26" t="n">
        <x:v>184.89652</x:v>
      </x:c>
      <x:c r="N71" s="26" t="n">
        <x:v>1.13198</x:v>
      </x:c>
      <x:c r="O71" s="26" t="n">
        <x:v>25.3</x:v>
      </x:c>
      <x:c r="P71" s="26" t="n">
        <x:v>480.74746</x:v>
      </x:c>
      <x:c r="Q71" s="26" t="n">
        <x:v>0.37345</x:v>
      </x:c>
      <x:c r="R71" s="26" t="n">
        <x:v>20.9</x:v>
      </x:c>
      <x:c r="S71" s="26" t="n">
        <x:v>268.2448</x:v>
      </x:c>
      <x:c r="T71" s="26" t="n">
        <x:v>0.03315</x:v>
      </x:c>
      <x:c r="U71" s="26" t="n">
        <x:v>268.64172</x:v>
      </x:c>
      <x:c r="V71" s="26" t="n">
        <x:v>0.17456</x:v>
      </x:c>
      <x:c r="W71" s="26" t="n">
        <x:v>268.00809</x:v>
      </x:c>
      <x:c r="X71" s="26" t="n">
        <x:v>0.28148</x:v>
      </x:c>
      <x:c r="Y71" s="26" t="n">
        <x:v>268.17281</x:v>
      </x:c>
      <x:c r="Z71" s="26" t="n">
        <x:v>0.17281</x:v>
      </x:c>
      <x:c r="AA71" s="26" t="n">
        <x:v>0.03315</x:v>
      </x:c>
      <x:c r="AB71" s="26" t="n">
        <x:v>0.17456</x:v>
      </x:c>
      <x:c r="AC71" s="26" t="n">
        <x:v>0.28148</x:v>
      </x:c>
      <x:c r="AD71" s="26" t="n">
        <x:v>0.33287</x:v>
      </x:c>
      <x:c r="AE71" s="26" t="n">
        <x:v>19.56</x:v>
      </x:c>
      <x:c r="AF71" s="26" t="str">
        <x:v>Z</x:v>
      </x:c>
      <x:c r="AG71" s="26" t="n">
        <x:v>0.04078</x:v>
      </x:c>
      <x:c r="AH71" s="26" t="n">
        <x:v>-121.21</x:v>
      </x:c>
      <x:c r="AI71" s="26" t="n">
        <x:v>0.026</x:v>
      </x:c>
      <x:c r="AJ71" s="26" t="n">
        <x:v>41.47</x:v>
      </x:c>
      <x:c r="AK71" s="26" t="n">
        <x:v>0.21198</x:v>
      </x:c>
      <x:c r="AL71" s="26" t="n">
        <x:v>-124.08</x:v>
      </x:c>
      <x:c r="AM71" s="26" t="n">
        <x:v>0.099</x:v>
      </x:c>
      <x:c r="AN71" s="26" t="n">
        <x:v>49.51</x:v>
      </x:c>
      <x:c r="AO71" s="26" t="n">
        <x:v>0.33442</x:v>
      </x:c>
      <x:c r="AP71" s="26" t="n">
        <x:v>160.68</x:v>
      </x:c>
      <x:c r="AQ71" s="26" t="n">
        <x:v>0.298</x:v>
      </x:c>
      <x:c r="AR71" s="26" t="n">
        <x:v>10.1</x:v>
      </x:c>
      <x:c r="AS71" s="26" t="n">
        <x:v>0.40664</x:v>
      </x:c>
      <x:c r="AT71" s="26" t="n">
        <x:v>15.15</x:v>
      </x:c>
      <x:c r="AU71" s="26" t="n">
        <x:v>0.1003</x:v>
      </x:c>
      <x:c r="AV71" s="26" t="n">
        <x:v>0.5213</x:v>
      </x:c>
      <x:c r="AW71" s="26" t="n">
        <x:v>0.8224</x:v>
      </x:c>
      <x:c r="AX71" s="26" t="n">
        <x:v>1</x:v>
      </x:c>
    </x:row>
    <x:row r="72">
      <x:c r="A72" s="26" t="str">
        <x:v>K3</x:v>
      </x:c>
      <x:c r="B72" s="26" t="str">
        <x:v>Horizontal / flat</x:v>
      </x:c>
      <x:c r="C72" s="26" t="str">
        <x:v>High</x:v>
      </x:c>
      <x:c r="D72" s="26" t="str">
        <x:v>Pasted text (3).txt</x:v>
      </x:c>
      <x:c r="E72" s="26" t="str">
        <x:v>GAIN_SWEEP</x:v>
      </x:c>
      <x:c r="F72" s="26" t="n">
        <x:v>5</x:v>
      </x:c>
      <x:c r="G72" s="26" t="n">
        <x:v>1</x:v>
      </x:c>
      <x:c r="H72" s="26" t="n">
        <x:v>268</x:v>
      </x:c>
      <x:c r="I72" s="26" t="n">
        <x:v>5</x:v>
      </x:c>
      <x:c r="J72" s="26" t="n">
        <x:v>480.68375</x:v>
      </x:c>
      <x:c r="K72" s="26" t="n">
        <x:v>0.66892</x:v>
      </x:c>
      <x:c r="L72" s="26" t="n">
        <x:v>26.24</x:v>
      </x:c>
      <x:c r="M72" s="26" t="n">
        <x:v>184.81533</x:v>
      </x:c>
      <x:c r="N72" s="26" t="n">
        <x:v>0.74247</x:v>
      </x:c>
      <x:c r="O72" s="26" t="n">
        <x:v>21.9</x:v>
      </x:c>
      <x:c r="P72" s="26" t="n">
        <x:v>268.04279</x:v>
      </x:c>
      <x:c r="Q72" s="26" t="n">
        <x:v>0.39013</x:v>
      </x:c>
      <x:c r="R72" s="26" t="n">
        <x:v>21.68</x:v>
      </x:c>
      <x:c r="S72" s="26" t="n">
        <x:v>268.21479</x:v>
      </x:c>
      <x:c r="T72" s="26" t="n">
        <x:v>0.02876</x:v>
      </x:c>
      <x:c r="U72" s="26" t="n">
        <x:v>268.0753</x:v>
      </x:c>
      <x:c r="V72" s="26" t="n">
        <x:v>0.17081</x:v>
      </x:c>
      <x:c r="W72" s="26" t="n">
        <x:v>268.04279</x:v>
      </x:c>
      <x:c r="X72" s="26" t="n">
        <x:v>0.39013</x:v>
      </x:c>
      <x:c r="Y72" s="26" t="n">
        <x:v>268.04872</x:v>
      </x:c>
      <x:c r="Z72" s="26" t="n">
        <x:v>0.04872</x:v>
      </x:c>
      <x:c r="AA72" s="26" t="n">
        <x:v>0.02876</x:v>
      </x:c>
      <x:c r="AB72" s="26" t="n">
        <x:v>0.17081</x:v>
      </x:c>
      <x:c r="AC72" s="26" t="n">
        <x:v>0.39013</x:v>
      </x:c>
      <x:c r="AD72" s="26" t="n">
        <x:v>0.42685</x:v>
      </x:c>
      <x:c r="AE72" s="26" t="n">
        <x:v>20.18</x:v>
      </x:c>
      <x:c r="AF72" s="26" t="str">
        <x:v>Z</x:v>
      </x:c>
      <x:c r="AG72" s="26" t="n">
        <x:v>0.03332</x:v>
      </x:c>
      <x:c r="AH72" s="26" t="n">
        <x:v>-108.64</x:v>
      </x:c>
      <x:c r="AI72" s="26" t="n">
        <x:v>0.026</x:v>
      </x:c>
      <x:c r="AJ72" s="26" t="n">
        <x:v>50.2</x:v>
      </x:c>
      <x:c r="AK72" s="26" t="n">
        <x:v>0.20003</x:v>
      </x:c>
      <x:c r="AL72" s="26" t="n">
        <x:v>-126.06</x:v>
      </x:c>
      <x:c r="AM72" s="26" t="n">
        <x:v>0.103</x:v>
      </x:c>
      <x:c r="AN72" s="26" t="n">
        <x:v>21.82</x:v>
      </x:c>
      <x:c r="AO72" s="26" t="n">
        <x:v>0.4663</x:v>
      </x:c>
      <x:c r="AP72" s="26" t="n">
        <x:v>158.68</x:v>
      </x:c>
      <x:c r="AQ72" s="26" t="n">
        <x:v>0.428</x:v>
      </x:c>
      <x:c r="AR72" s="26" t="n">
        <x:v>5.87</x:v>
      </x:c>
      <x:c r="AS72" s="26" t="n">
        <x:v>0.51047</x:v>
      </x:c>
      <x:c r="AT72" s="26" t="n">
        <x:v>3.96</x:v>
      </x:c>
      <x:c r="AU72" s="26" t="n">
        <x:v>0.0653</x:v>
      </x:c>
      <x:c r="AV72" s="26" t="n">
        <x:v>0.3919</x:v>
      </x:c>
      <x:c r="AW72" s="26" t="n">
        <x:v>0.9135</x:v>
      </x:c>
      <x:c r="AX72" s="26" t="n">
        <x:v>1</x:v>
      </x:c>
    </x:row>
    <x:row r="73">
      <x:c r="A73" s="26" t="str">
        <x:v>K3</x:v>
      </x:c>
      <x:c r="B73" s="26" t="str">
        <x:v>Horizontal / flat</x:v>
      </x:c>
      <x:c r="C73" s="26" t="str">
        <x:v>High</x:v>
      </x:c>
      <x:c r="D73" s="26" t="str">
        <x:v>Pasted text (3).txt</x:v>
      </x:c>
      <x:c r="E73" s="26" t="str">
        <x:v>GAIN_SWEEP</x:v>
      </x:c>
      <x:c r="F73" s="26" t="n">
        <x:v>5</x:v>
      </x:c>
      <x:c r="G73" s="26" t="n">
        <x:v>2</x:v>
      </x:c>
      <x:c r="H73" s="26" t="n">
        <x:v>268</x:v>
      </x:c>
      <x:c r="I73" s="26" t="n">
        <x:v>5</x:v>
      </x:c>
      <x:c r="J73" s="26" t="n">
        <x:v>480.42992</x:v>
      </x:c>
      <x:c r="K73" s="26" t="n">
        <x:v>0.62261</x:v>
      </x:c>
      <x:c r="L73" s="26" t="n">
        <x:v>25.86</x:v>
      </x:c>
      <x:c r="M73" s="26" t="n">
        <x:v>184.56221</x:v>
      </x:c>
      <x:c r="N73" s="26" t="n">
        <x:v>0.79514</x:v>
      </x:c>
      <x:c r="O73" s="26" t="n">
        <x:v>22.54</x:v>
      </x:c>
      <x:c r="P73" s="26" t="n">
        <x:v>268.04593</x:v>
      </x:c>
      <x:c r="Q73" s="26" t="n">
        <x:v>0.38774</x:v>
      </x:c>
      <x:c r="R73" s="26" t="n">
        <x:v>21.91</x:v>
      </x:c>
      <x:c r="S73" s="26" t="n">
        <x:v>260.58939</x:v>
      </x:c>
      <x:c r="T73" s="26" t="n">
        <x:v>0.04139</x:v>
      </x:c>
      <x:c r="U73" s="26" t="n">
        <x:v>268.03803</x:v>
      </x:c>
      <x:c r="V73" s="26" t="n">
        <x:v>0.15791</x:v>
      </x:c>
      <x:c r="W73" s="26" t="n">
        <x:v>268.04593</x:v>
      </x:c>
      <x:c r="X73" s="26" t="n">
        <x:v>0.38774</x:v>
      </x:c>
      <x:c r="Y73" s="26" t="n">
        <x:v>268.04718</x:v>
      </x:c>
      <x:c r="Z73" s="26" t="n">
        <x:v>0.04718</x:v>
      </x:c>
      <x:c r="AA73" s="26" t="n">
        <x:v>0.03277</x:v>
      </x:c>
      <x:c r="AB73" s="26" t="n">
        <x:v>0.15791</x:v>
      </x:c>
      <x:c r="AC73" s="26" t="n">
        <x:v>0.38774</x:v>
      </x:c>
      <x:c r="AD73" s="26" t="n">
        <x:v>0.41994</x:v>
      </x:c>
      <x:c r="AE73" s="26" t="n">
        <x:v>19.1</x:v>
      </x:c>
      <x:c r="AF73" s="26" t="str">
        <x:v>Z</x:v>
      </x:c>
      <x:c r="AG73" s="26" t="n">
        <x:v>0.03045</x:v>
      </x:c>
      <x:c r="AH73" s="26" t="n">
        <x:v>-118.88</x:v>
      </x:c>
      <x:c r="AI73" s="26" t="n">
        <x:v>0.025</x:v>
      </x:c>
      <x:c r="AJ73" s="26" t="n">
        <x:v>48.41</x:v>
      </x:c>
      <x:c r="AK73" s="26" t="n">
        <x:v>0.19607</x:v>
      </x:c>
      <x:c r="AL73" s="26" t="n">
        <x:v>-128.47</x:v>
      </x:c>
      <x:c r="AM73" s="26" t="n">
        <x:v>0.103</x:v>
      </x:c>
      <x:c r="AN73" s="26" t="n">
        <x:v>25.85</x:v>
      </x:c>
      <x:c r="AO73" s="26" t="n">
        <x:v>0.4669</x:v>
      </x:c>
      <x:c r="AP73" s="26" t="n">
        <x:v>158.18</x:v>
      </x:c>
      <x:c r="AQ73" s="26" t="n">
        <x:v>0.432</x:v>
      </x:c>
      <x:c r="AR73" s="26" t="n">
        <x:v>3.18</x:v>
      </x:c>
      <x:c r="AS73" s="26" t="n">
        <x:v>0.5093</x:v>
      </x:c>
      <x:c r="AT73" s="26" t="n">
        <x:v>4.29</x:v>
      </x:c>
      <x:c r="AU73" s="26" t="n">
        <x:v>0.0598</x:v>
      </x:c>
      <x:c r="AV73" s="26" t="n">
        <x:v>0.385</x:v>
      </x:c>
      <x:c r="AW73" s="26" t="n">
        <x:v>0.9167</x:v>
      </x:c>
      <x:c r="AX73" s="26" t="n">
        <x:v>1</x:v>
      </x:c>
    </x:row>
    <x:row r="74">
      <x:c r="A74" s="26" t="str">
        <x:v>K3</x:v>
      </x:c>
      <x:c r="B74" s="26" t="str">
        <x:v>Horizontal / flat</x:v>
      </x:c>
      <x:c r="C74" s="26" t="str">
        <x:v>High</x:v>
      </x:c>
      <x:c r="D74" s="26" t="str">
        <x:v>Pasted text (3).txt</x:v>
      </x:c>
      <x:c r="E74" s="26" t="str">
        <x:v>GAIN_SWEEP</x:v>
      </x:c>
      <x:c r="F74" s="26" t="n">
        <x:v>6</x:v>
      </x:c>
      <x:c r="G74" s="26" t="n">
        <x:v>1</x:v>
      </x:c>
      <x:c r="H74" s="26" t="n">
        <x:v>268</x:v>
      </x:c>
      <x:c r="I74" s="26" t="n">
        <x:v>6</x:v>
      </x:c>
      <x:c r="J74" s="26" t="n">
        <x:v>480.70545</x:v>
      </x:c>
      <x:c r="K74" s="26" t="n">
        <x:v>0.58887</x:v>
      </x:c>
      <x:c r="L74" s="26" t="n">
        <x:v>25.04</x:v>
      </x:c>
      <x:c r="M74" s="26" t="n">
        <x:v>480.66346</x:v>
      </x:c>
      <x:c r="N74" s="26" t="n">
        <x:v>0.51341</x:v>
      </x:c>
      <x:c r="O74" s="26" t="n">
        <x:v>18.47</x:v>
      </x:c>
      <x:c r="P74" s="26" t="n">
        <x:v>268.02381</x:v>
      </x:c>
      <x:c r="Q74" s="26" t="n">
        <x:v>0.50974</x:v>
      </x:c>
      <x:c r="R74" s="26" t="n">
        <x:v>23.88</x:v>
      </x:c>
      <x:c r="S74" s="26" t="n">
        <x:v>267.67836</x:v>
      </x:c>
      <x:c r="T74" s="26" t="n">
        <x:v>0.04091</x:v>
      </x:c>
      <x:c r="U74" s="26" t="n">
        <x:v>268.28156</x:v>
      </x:c>
      <x:c r="V74" s="26" t="n">
        <x:v>0.24077</x:v>
      </x:c>
      <x:c r="W74" s="26" t="n">
        <x:v>268.02381</x:v>
      </x:c>
      <x:c r="X74" s="26" t="n">
        <x:v>0.50974</x:v>
      </x:c>
      <x:c r="Y74" s="26" t="n">
        <x:v>268.06647</x:v>
      </x:c>
      <x:c r="Z74" s="26" t="n">
        <x:v>0.06647</x:v>
      </x:c>
      <x:c r="AA74" s="26" t="n">
        <x:v>0.03695</x:v>
      </x:c>
      <x:c r="AB74" s="26" t="n">
        <x:v>0.24077</x:v>
      </x:c>
      <x:c r="AC74" s="26" t="n">
        <x:v>0.50974</x:v>
      </x:c>
      <x:c r="AD74" s="26" t="n">
        <x:v>0.56495</x:v>
      </x:c>
      <x:c r="AE74" s="26" t="n">
        <x:v>22.73</x:v>
      </x:c>
      <x:c r="AF74" s="26" t="str">
        <x:v>Z</x:v>
      </x:c>
      <x:c r="AG74" s="26" t="n">
        <x:v>0.05246</x:v>
      </x:c>
      <x:c r="AH74" s="26" t="n">
        <x:v>-124.12</x:v>
      </x:c>
      <x:c r="AI74" s="26" t="n">
        <x:v>0.042</x:v>
      </x:c>
      <x:c r="AJ74" s="26" t="n">
        <x:v>45.34</x:v>
      </x:c>
      <x:c r="AK74" s="26" t="n">
        <x:v>0.28532</x:v>
      </x:c>
      <x:c r="AL74" s="26" t="n">
        <x:v>-130.25</x:v>
      </x:c>
      <x:c r="AM74" s="26" t="n">
        <x:v>0.171</x:v>
      </x:c>
      <x:c r="AN74" s="26" t="n">
        <x:v>31.32</x:v>
      </x:c>
      <x:c r="AO74" s="26" t="n">
        <x:v>0.61489</x:v>
      </x:c>
      <x:c r="AP74" s="26" t="n">
        <x:v>152.98</x:v>
      </x:c>
      <x:c r="AQ74" s="26" t="n">
        <x:v>0.528</x:v>
      </x:c>
      <x:c r="AR74" s="26" t="n">
        <x:v>5.08</x:v>
      </x:c>
      <x:c r="AS74" s="26" t="n">
        <x:v>0.68435</x:v>
      </x:c>
      <x:c r="AT74" s="26" t="n">
        <x:v>6.41</x:v>
      </x:c>
      <x:c r="AU74" s="26" t="n">
        <x:v>0.0767</x:v>
      </x:c>
      <x:c r="AV74" s="26" t="n">
        <x:v>0.4169</x:v>
      </x:c>
      <x:c r="AW74" s="26" t="n">
        <x:v>0.8985</x:v>
      </x:c>
      <x:c r="AX74" s="26" t="n">
        <x:v>1</x:v>
      </x:c>
    </x:row>
    <x:row r="75">
      <x:c r="A75" s="26" t="str">
        <x:v>K3</x:v>
      </x:c>
      <x:c r="B75" s="26" t="str">
        <x:v>Horizontal / flat</x:v>
      </x:c>
      <x:c r="C75" s="26" t="str">
        <x:v>High</x:v>
      </x:c>
      <x:c r="D75" s="26" t="str">
        <x:v>Pasted text (3).txt</x:v>
      </x:c>
      <x:c r="E75" s="26" t="str">
        <x:v>GAIN_SWEEP</x:v>
      </x:c>
      <x:c r="F75" s="26" t="n">
        <x:v>6</x:v>
      </x:c>
      <x:c r="G75" s="26" t="n">
        <x:v>2</x:v>
      </x:c>
      <x:c r="H75" s="26" t="n">
        <x:v>268</x:v>
      </x:c>
      <x:c r="I75" s="26" t="n">
        <x:v>6</x:v>
      </x:c>
      <x:c r="J75" s="26" t="n">
        <x:v>480.6815</x:v>
      </x:c>
      <x:c r="K75" s="26" t="n">
        <x:v>0.5789</x:v>
      </x:c>
      <x:c r="L75" s="26" t="n">
        <x:v>24.86</x:v>
      </x:c>
      <x:c r="M75" s="26" t="n">
        <x:v>480.65748</x:v>
      </x:c>
      <x:c r="N75" s="26" t="n">
        <x:v>0.52539</x:v>
      </x:c>
      <x:c r="O75" s="26" t="n">
        <x:v>18.97</x:v>
      </x:c>
      <x:c r="P75" s="26" t="n">
        <x:v>268.08895</x:v>
      </x:c>
      <x:c r="Q75" s="26" t="n">
        <x:v>0.516</x:v>
      </x:c>
      <x:c r="R75" s="26" t="n">
        <x:v>23.95</x:v>
      </x:c>
      <x:c r="S75" s="26" t="n">
        <x:v>268.32741</x:v>
      </x:c>
      <x:c r="T75" s="26" t="n">
        <x:v>0.04262</x:v>
      </x:c>
      <x:c r="U75" s="26" t="n">
        <x:v>268.17172</x:v>
      </x:c>
      <x:c r="V75" s="26" t="n">
        <x:v>0.2298</x:v>
      </x:c>
      <x:c r="W75" s="26" t="n">
        <x:v>268.08895</x:v>
      </x:c>
      <x:c r="X75" s="26" t="n">
        <x:v>0.516</x:v>
      </x:c>
      <x:c r="Y75" s="26" t="n">
        <x:v>268.10338</x:v>
      </x:c>
      <x:c r="Z75" s="26" t="n">
        <x:v>0.10338</x:v>
      </x:c>
      <x:c r="AA75" s="26" t="n">
        <x:v>0.04262</x:v>
      </x:c>
      <x:c r="AB75" s="26" t="n">
        <x:v>0.2298</x:v>
      </x:c>
      <x:c r="AC75" s="26" t="n">
        <x:v>0.516</x:v>
      </x:c>
      <x:c r="AD75" s="26" t="n">
        <x:v>0.56646</x:v>
      </x:c>
      <x:c r="AE75" s="26" t="n">
        <x:v>24.77</x:v>
      </x:c>
      <x:c r="AF75" s="26" t="str">
        <x:v>Z</x:v>
      </x:c>
      <x:c r="AG75" s="26" t="n">
        <x:v>0.04714</x:v>
      </x:c>
      <x:c r="AH75" s="26" t="n">
        <x:v>-125.92</x:v>
      </x:c>
      <x:c r="AI75" s="26" t="n">
        <x:v>0.038</x:v>
      </x:c>
      <x:c r="AJ75" s="26" t="n">
        <x:v>32.14</x:v>
      </x:c>
      <x:c r="AK75" s="26" t="n">
        <x:v>0.29793</x:v>
      </x:c>
      <x:c r="AL75" s="26" t="n">
        <x:v>-123.61</x:v>
      </x:c>
      <x:c r="AM75" s="26" t="n">
        <x:v>0.178</x:v>
      </x:c>
      <x:c r="AN75" s="26" t="n">
        <x:v>29.16</x:v>
      </x:c>
      <x:c r="AO75" s="26" t="n">
        <x:v>0.59606</x:v>
      </x:c>
      <x:c r="AP75" s="26" t="n">
        <x:v>152.5</x:v>
      </x:c>
      <x:c r="AQ75" s="26" t="n">
        <x:v>0.515</x:v>
      </x:c>
      <x:c r="AR75" s="26" t="n">
        <x:v>3.58</x:v>
      </x:c>
      <x:c r="AS75" s="26" t="n">
        <x:v>0.67198</x:v>
      </x:c>
      <x:c r="AT75" s="26" t="n">
        <x:v>5.99</x:v>
      </x:c>
      <x:c r="AU75" s="26" t="n">
        <x:v>0.0702</x:v>
      </x:c>
      <x:c r="AV75" s="26" t="n">
        <x:v>0.4434</x:v>
      </x:c>
      <x:c r="AW75" s="26" t="n">
        <x:v>0.887</x:v>
      </x:c>
      <x:c r="AX75" s="26" t="n">
        <x:v>1</x:v>
      </x:c>
    </x:row>
    <x:row r="76">
      <x:c r="A76" s="26" t="str">
        <x:v>K3</x:v>
      </x:c>
      <x:c r="B76" s="26" t="str">
        <x:v>Horizontal / flat</x:v>
      </x:c>
      <x:c r="C76" s="26" t="str">
        <x:v>High</x:v>
      </x:c>
      <x:c r="D76" s="26" t="str">
        <x:v>Pasted text (3).txt</x:v>
      </x:c>
      <x:c r="E76" s="26" t="str">
        <x:v>GAIN_SWEEP</x:v>
      </x:c>
      <x:c r="F76" s="26" t="n">
        <x:v>7</x:v>
      </x:c>
      <x:c r="G76" s="26" t="n">
        <x:v>1</x:v>
      </x:c>
      <x:c r="H76" s="26" t="n">
        <x:v>268</x:v>
      </x:c>
      <x:c r="I76" s="26" t="n">
        <x:v>7</x:v>
      </x:c>
      <x:c r="J76" s="26" t="n">
        <x:v>480.91286</x:v>
      </x:c>
      <x:c r="K76" s="26" t="n">
        <x:v>0.41282</x:v>
      </x:c>
      <x:c r="L76" s="26" t="n">
        <x:v>22.45</x:v>
      </x:c>
      <x:c r="M76" s="26" t="n">
        <x:v>481.00724</x:v>
      </x:c>
      <x:c r="N76" s="26" t="n">
        <x:v>0.38517</x:v>
      </x:c>
      <x:c r="O76" s="26" t="n">
        <x:v>16.62</x:v>
      </x:c>
      <x:c r="P76" s="26" t="n">
        <x:v>268.01473</x:v>
      </x:c>
      <x:c r="Q76" s="26" t="n">
        <x:v>0.62998</x:v>
      </x:c>
      <x:c r="R76" s="26" t="n">
        <x:v>25.82</x:v>
      </x:c>
      <x:c r="S76" s="26" t="n">
        <x:v>268.27646</x:v>
      </x:c>
      <x:c r="T76" s="26" t="n">
        <x:v>0.0475</x:v>
      </x:c>
      <x:c r="U76" s="26" t="n">
        <x:v>268.0083</x:v>
      </x:c>
      <x:c r="V76" s="26" t="n">
        <x:v>0.29131</x:v>
      </x:c>
      <x:c r="W76" s="26" t="n">
        <x:v>268.01473</x:v>
      </x:c>
      <x:c r="X76" s="26" t="n">
        <x:v>0.62998</x:v>
      </x:c>
      <x:c r="Y76" s="26" t="n">
        <x:v>268.01466</x:v>
      </x:c>
      <x:c r="Z76" s="26" t="n">
        <x:v>0.01466</x:v>
      </x:c>
      <x:c r="AA76" s="26" t="n">
        <x:v>0.0475</x:v>
      </x:c>
      <x:c r="AB76" s="26" t="n">
        <x:v>0.29131</x:v>
      </x:c>
      <x:c r="AC76" s="26" t="n">
        <x:v>0.62998</x:v>
      </x:c>
      <x:c r="AD76" s="26" t="n">
        <x:v>0.6957</x:v>
      </x:c>
      <x:c r="AE76" s="26" t="n">
        <x:v>24.31</x:v>
      </x:c>
      <x:c r="AF76" s="26" t="str">
        <x:v>Z</x:v>
      </x:c>
      <x:c r="AG76" s="26" t="n">
        <x:v>0.05519</x:v>
      </x:c>
      <x:c r="AH76" s="26" t="n">
        <x:v>-136.4</x:v>
      </x:c>
      <x:c r="AI76" s="26" t="n">
        <x:v>0.05</x:v>
      </x:c>
      <x:c r="AJ76" s="26" t="n">
        <x:v>27.33</x:v>
      </x:c>
      <x:c r="AK76" s="26" t="n">
        <x:v>0.33827</x:v>
      </x:c>
      <x:c r="AL76" s="26" t="n">
        <x:v>-125.18</x:v>
      </x:c>
      <x:c r="AM76" s="26" t="n">
        <x:v>0.216</x:v>
      </x:c>
      <x:c r="AN76" s="26" t="n">
        <x:v>5.83</x:v>
      </x:c>
      <x:c r="AO76" s="26" t="n">
        <x:v>0.78979</x:v>
      </x:c>
      <x:c r="AP76" s="26" t="n">
        <x:v>145.02</x:v>
      </x:c>
      <x:c r="AQ76" s="26" t="n">
        <x:v>0.642</x:v>
      </x:c>
      <x:c r="AR76" s="26" t="n">
        <x:v>1.77</x:v>
      </x:c>
      <x:c r="AS76" s="26" t="n">
        <x:v>0.86128</x:v>
      </x:c>
      <x:c r="AT76" s="26" t="n">
        <x:v>1.2</x:v>
      </x:c>
      <x:c r="AU76" s="26" t="n">
        <x:v>0.0641</x:v>
      </x:c>
      <x:c r="AV76" s="26" t="n">
        <x:v>0.3928</x:v>
      </x:c>
      <x:c r="AW76" s="26" t="n">
        <x:v>0.917</x:v>
      </x:c>
      <x:c r="AX76" s="26" t="n">
        <x:v>1</x:v>
      </x:c>
    </x:row>
    <x:row r="77">
      <x:c r="A77" s="26" t="str">
        <x:v>K3</x:v>
      </x:c>
      <x:c r="B77" s="26" t="str">
        <x:v>Horizontal / flat</x:v>
      </x:c>
      <x:c r="C77" s="26" t="str">
        <x:v>High</x:v>
      </x:c>
      <x:c r="D77" s="26" t="str">
        <x:v>Pasted text (3).txt</x:v>
      </x:c>
      <x:c r="E77" s="26" t="str">
        <x:v>GAIN_SWEEP</x:v>
      </x:c>
      <x:c r="F77" s="26" t="n">
        <x:v>7</x:v>
      </x:c>
      <x:c r="G77" s="26" t="n">
        <x:v>2</x:v>
      </x:c>
      <x:c r="H77" s="26" t="n">
        <x:v>268</x:v>
      </x:c>
      <x:c r="I77" s="26" t="n">
        <x:v>7</x:v>
      </x:c>
      <x:c r="J77" s="26" t="n">
        <x:v>480.89507</x:v>
      </x:c>
      <x:c r="K77" s="26" t="n">
        <x:v>0.47818</x:v>
      </x:c>
      <x:c r="L77" s="26" t="n">
        <x:v>23.86</x:v>
      </x:c>
      <x:c r="M77" s="26" t="n">
        <x:v>480.85785</x:v>
      </x:c>
      <x:c r="N77" s="26" t="n">
        <x:v>0.44348</x:v>
      </x:c>
      <x:c r="O77" s="26" t="n">
        <x:v>17.9</x:v>
      </x:c>
      <x:c r="P77" s="26" t="n">
        <x:v>268.01866</x:v>
      </x:c>
      <x:c r="Q77" s="26" t="n">
        <x:v>0.63482</x:v>
      </x:c>
      <x:c r="R77" s="26" t="n">
        <x:v>25.72</x:v>
      </x:c>
      <x:c r="S77" s="26" t="n">
        <x:v>268.27161</x:v>
      </x:c>
      <x:c r="T77" s="26" t="n">
        <x:v>0.04192</x:v>
      </x:c>
      <x:c r="U77" s="26" t="n">
        <x:v>268.04657</x:v>
      </x:c>
      <x:c r="V77" s="26" t="n">
        <x:v>0.26555</x:v>
      </x:c>
      <x:c r="W77" s="26" t="n">
        <x:v>268.01866</x:v>
      </x:c>
      <x:c r="X77" s="26" t="n">
        <x:v>0.63482</x:v>
      </x:c>
      <x:c r="Y77" s="26" t="n">
        <x:v>268.02358</x:v>
      </x:c>
      <x:c r="Z77" s="26" t="n">
        <x:v>0.02358</x:v>
      </x:c>
      <x:c r="AA77" s="26" t="n">
        <x:v>0.04192</x:v>
      </x:c>
      <x:c r="AB77" s="26" t="n">
        <x:v>0.26555</x:v>
      </x:c>
      <x:c r="AC77" s="26" t="n">
        <x:v>0.63482</x:v>
      </x:c>
      <x:c r="AD77" s="26" t="n">
        <x:v>0.6894</x:v>
      </x:c>
      <x:c r="AE77" s="26" t="n">
        <x:v>24.54</x:v>
      </x:c>
      <x:c r="AF77" s="26" t="str">
        <x:v>Z</x:v>
      </x:c>
      <x:c r="AG77" s="26" t="n">
        <x:v>0.06787</x:v>
      </x:c>
      <x:c r="AH77" s="26" t="n">
        <x:v>-128.88</x:v>
      </x:c>
      <x:c r="AI77" s="26" t="n">
        <x:v>0.062</x:v>
      </x:c>
      <x:c r="AJ77" s="26" t="n">
        <x:v>13.81</x:v>
      </x:c>
      <x:c r="AK77" s="26" t="n">
        <x:v>0.33137</x:v>
      </x:c>
      <x:c r="AL77" s="26" t="n">
        <x:v>-126.1</x:v>
      </x:c>
      <x:c r="AM77" s="26" t="n">
        <x:v>0.209</x:v>
      </x:c>
      <x:c r="AN77" s="26" t="n">
        <x:v>10.11</x:v>
      </x:c>
      <x:c r="AO77" s="26" t="n">
        <x:v>0.76736</x:v>
      </x:c>
      <x:c r="AP77" s="26" t="n">
        <x:v>146.13</x:v>
      </x:c>
      <x:c r="AQ77" s="26" t="n">
        <x:v>0.625</x:v>
      </x:c>
      <x:c r="AR77" s="26" t="n">
        <x:v>4.43</x:v>
      </x:c>
      <x:c r="AS77" s="26" t="n">
        <x:v>0.83901</x:v>
      </x:c>
      <x:c r="AT77" s="26" t="n">
        <x:v>4.62</x:v>
      </x:c>
      <x:c r="AU77" s="26" t="n">
        <x:v>0.0809</x:v>
      </x:c>
      <x:c r="AV77" s="26" t="n">
        <x:v>0.395</x:v>
      </x:c>
      <x:c r="AW77" s="26" t="n">
        <x:v>0.9146</x:v>
      </x:c>
      <x:c r="AX77" s="26" t="n">
        <x:v>1</x:v>
      </x:c>
    </x:row>
    <x:row r="78">
      <x:c r="A78" s="26" t="str">
        <x:v>K3</x:v>
      </x:c>
      <x:c r="B78" s="26" t="str">
        <x:v>Horizontal / flat</x:v>
      </x:c>
      <x:c r="C78" s="26" t="str">
        <x:v>High</x:v>
      </x:c>
      <x:c r="D78" s="26" t="str">
        <x:v>Pasted text (3).txt</x:v>
      </x:c>
      <x:c r="E78" s="26" t="str">
        <x:v>GAIN_SWEEP</x:v>
      </x:c>
      <x:c r="F78" s="26" t="n">
        <x:v>8</x:v>
      </x:c>
      <x:c r="G78" s="26" t="n">
        <x:v>1</x:v>
      </x:c>
      <x:c r="H78" s="26" t="n">
        <x:v>268</x:v>
      </x:c>
      <x:c r="I78" s="26" t="n">
        <x:v>8</x:v>
      </x:c>
      <x:c r="J78" s="26" t="n">
        <x:v>481.47837</x:v>
      </x:c>
      <x:c r="K78" s="26" t="n">
        <x:v>0.45344</x:v>
      </x:c>
      <x:c r="L78" s="26" t="n">
        <x:v>22.67</x:v>
      </x:c>
      <x:c r="M78" s="26" t="n">
        <x:v>186.21455</x:v>
      </x:c>
      <x:c r="N78" s="26" t="n">
        <x:v>0.63159</x:v>
      </x:c>
      <x:c r="O78" s="26" t="n">
        <x:v>20.34</x:v>
      </x:c>
      <x:c r="P78" s="26" t="n">
        <x:v>268.02886</x:v>
      </x:c>
      <x:c r="Q78" s="26" t="n">
        <x:v>0.81508</x:v>
      </x:c>
      <x:c r="R78" s="26" t="n">
        <x:v>27.42</x:v>
      </x:c>
      <x:c r="S78" s="26" t="n">
        <x:v>268.03975</x:v>
      </x:c>
      <x:c r="T78" s="26" t="n">
        <x:v>0.07706</x:v>
      </x:c>
      <x:c r="U78" s="26" t="n">
        <x:v>268.02234</x:v>
      </x:c>
      <x:c r="V78" s="26" t="n">
        <x:v>0.33503</x:v>
      </x:c>
      <x:c r="W78" s="26" t="n">
        <x:v>268.02886</x:v>
      </x:c>
      <x:c r="X78" s="26" t="n">
        <x:v>0.81508</x:v>
      </x:c>
      <x:c r="Y78" s="26" t="n">
        <x:v>268.02807</x:v>
      </x:c>
      <x:c r="Z78" s="26" t="n">
        <x:v>0.02807</x:v>
      </x:c>
      <x:c r="AA78" s="26" t="n">
        <x:v>0.07706</x:v>
      </x:c>
      <x:c r="AB78" s="26" t="n">
        <x:v>0.33503</x:v>
      </x:c>
      <x:c r="AC78" s="26" t="n">
        <x:v>0.81508</x:v>
      </x:c>
      <x:c r="AD78" s="26" t="n">
        <x:v>0.88462</x:v>
      </x:c>
      <x:c r="AE78" s="26" t="n">
        <x:v>25.52</x:v>
      </x:c>
      <x:c r="AF78" s="26" t="str">
        <x:v>Z</x:v>
      </x:c>
      <x:c r="AG78" s="26" t="n">
        <x:v>0.08669</x:v>
      </x:c>
      <x:c r="AH78" s="26" t="n">
        <x:v>-155.4</x:v>
      </x:c>
      <x:c r="AI78" s="26" t="n">
        <x:v>0.078</x:v>
      </x:c>
      <x:c r="AJ78" s="26" t="n">
        <x:v>23.45</x:v>
      </x:c>
      <x:c r="AK78" s="26" t="n">
        <x:v>0.38925</x:v>
      </x:c>
      <x:c r="AL78" s="26" t="n">
        <x:v>-126.39</x:v>
      </x:c>
      <x:c r="AM78" s="26" t="n">
        <x:v>0.221</x:v>
      </x:c>
      <x:c r="AN78" s="26" t="n">
        <x:v>5.79</x:v>
      </x:c>
      <x:c r="AO78" s="26" t="n">
        <x:v>0.98391</x:v>
      </x:c>
      <x:c r="AP78" s="26" t="n">
        <x:v>142.11</x:v>
      </x:c>
      <x:c r="AQ78" s="26" t="n">
        <x:v>0.691</x:v>
      </x:c>
      <x:c r="AR78" s="26" t="n">
        <x:v>2.35</x:v>
      </x:c>
      <x:c r="AS78" s="26" t="n">
        <x:v>1.06203</x:v>
      </x:c>
      <x:c r="AT78" s="26" t="n">
        <x:v>2.01</x:v>
      </x:c>
      <x:c r="AU78" s="26" t="n">
        <x:v>0.0816</x:v>
      </x:c>
      <x:c r="AV78" s="26" t="n">
        <x:v>0.3665</x:v>
      </x:c>
      <x:c r="AW78" s="26" t="n">
        <x:v>0.9264</x:v>
      </x:c>
      <x:c r="AX78" s="26" t="n">
        <x:v>1</x:v>
      </x:c>
    </x:row>
    <x:row r="79">
      <x:c r="A79" s="26" t="str">
        <x:v>K3</x:v>
      </x:c>
      <x:c r="B79" s="26" t="str">
        <x:v>Horizontal / flat</x:v>
      </x:c>
      <x:c r="C79" s="26" t="str">
        <x:v>High</x:v>
      </x:c>
      <x:c r="D79" s="26" t="str">
        <x:v>Pasted text (3).txt</x:v>
      </x:c>
      <x:c r="E79" s="26" t="str">
        <x:v>GAIN_SWEEP</x:v>
      </x:c>
      <x:c r="F79" s="26" t="n">
        <x:v>8</x:v>
      </x:c>
      <x:c r="G79" s="26" t="n">
        <x:v>2</x:v>
      </x:c>
      <x:c r="H79" s="26" t="n">
        <x:v>268</x:v>
      </x:c>
      <x:c r="I79" s="26" t="n">
        <x:v>8</x:v>
      </x:c>
      <x:c r="J79" s="26" t="n">
        <x:v>482.32665</x:v>
      </x:c>
      <x:c r="K79" s="26" t="n">
        <x:v>0.40132</x:v>
      </x:c>
      <x:c r="L79" s="26" t="n">
        <x:v>21.62</x:v>
      </x:c>
      <x:c r="M79" s="26" t="n">
        <x:v>187.38289</x:v>
      </x:c>
      <x:c r="N79" s="26" t="n">
        <x:v>0.65865</x:v>
      </x:c>
      <x:c r="O79" s="26" t="n">
        <x:v>20.71</x:v>
      </x:c>
      <x:c r="P79" s="26" t="n">
        <x:v>268.02602</x:v>
      </x:c>
      <x:c r="Q79" s="26" t="n">
        <x:v>0.81904</x:v>
      </x:c>
      <x:c r="R79" s="26" t="n">
        <x:v>27.14</x:v>
      </x:c>
      <x:c r="S79" s="26" t="n">
        <x:v>267.63664</x:v>
      </x:c>
      <x:c r="T79" s="26" t="n">
        <x:v>0.07564</x:v>
      </x:c>
      <x:c r="U79" s="26" t="n">
        <x:v>268.02151</x:v>
      </x:c>
      <x:c r="V79" s="26" t="n">
        <x:v>0.34033</x:v>
      </x:c>
      <x:c r="W79" s="26" t="n">
        <x:v>268.02602</x:v>
      </x:c>
      <x:c r="X79" s="26" t="n">
        <x:v>0.81904</x:v>
      </x:c>
      <x:c r="Y79" s="26" t="n">
        <x:v>268.02307</x:v>
      </x:c>
      <x:c r="Z79" s="26" t="n">
        <x:v>0.02307</x:v>
      </x:c>
      <x:c r="AA79" s="26" t="n">
        <x:v>0.06212</x:v>
      </x:c>
      <x:c r="AB79" s="26" t="n">
        <x:v>0.34033</x:v>
      </x:c>
      <x:c r="AC79" s="26" t="n">
        <x:v>0.81904</x:v>
      </x:c>
      <x:c r="AD79" s="26" t="n">
        <x:v>0.88911</x:v>
      </x:c>
      <x:c r="AE79" s="26" t="n">
        <x:v>25.9</x:v>
      </x:c>
      <x:c r="AF79" s="26" t="str">
        <x:v>Z</x:v>
      </x:c>
      <x:c r="AG79" s="26" t="n">
        <x:v>0.09066</x:v>
      </x:c>
      <x:c r="AH79" s="26" t="n">
        <x:v>-130.26</x:v>
      </x:c>
      <x:c r="AI79" s="26" t="n">
        <x:v>0.084</x:v>
      </x:c>
      <x:c r="AJ79" s="26" t="n">
        <x:v>20.25</x:v>
      </x:c>
      <x:c r="AK79" s="26" t="n">
        <x:v>0.43278</x:v>
      </x:c>
      <x:c r="AL79" s="26" t="n">
        <x:v>-129.48</x:v>
      </x:c>
      <x:c r="AM79" s="26" t="n">
        <x:v>0.246</x:v>
      </x:c>
      <x:c r="AN79" s="26" t="n">
        <x:v>7.05</x:v>
      </x:c>
      <x:c r="AO79" s="26" t="n">
        <x:v>0.99863</x:v>
      </x:c>
      <x:c r="AP79" s="26" t="n">
        <x:v>143.89</x:v>
      </x:c>
      <x:c r="AQ79" s="26" t="n">
        <x:v>0.707</x:v>
      </x:c>
      <x:c r="AR79" s="26" t="n">
        <x:v>2.41</x:v>
      </x:c>
      <x:c r="AS79" s="26" t="n">
        <x:v>1.09252</x:v>
      </x:c>
      <x:c r="AT79" s="26" t="n">
        <x:v>2.65</x:v>
      </x:c>
      <x:c r="AU79" s="26" t="n">
        <x:v>0.083</x:v>
      </x:c>
      <x:c r="AV79" s="26" t="n">
        <x:v>0.3961</x:v>
      </x:c>
      <x:c r="AW79" s="26" t="n">
        <x:v>0.9141</x:v>
      </x:c>
      <x:c r="AX79" s="26" t="n">
        <x:v>1</x:v>
      </x:c>
    </x:row>
    <x:row r="80">
      <x:c r="A80" s="26" t="str">
        <x:v>K3</x:v>
      </x:c>
      <x:c r="B80" s="26" t="str">
        <x:v>Horizontal / flat</x:v>
      </x:c>
      <x:c r="C80" s="26" t="str">
        <x:v>High</x:v>
      </x:c>
      <x:c r="D80" s="26" t="str">
        <x:v>Pasted text (3).txt</x:v>
      </x:c>
      <x:c r="E80" s="26" t="str">
        <x:v>GAIN_SWEEP</x:v>
      </x:c>
      <x:c r="F80" s="26" t="n">
        <x:v>9</x:v>
      </x:c>
      <x:c r="G80" s="26" t="n">
        <x:v>1</x:v>
      </x:c>
      <x:c r="H80" s="26" t="n">
        <x:v>268</x:v>
      </x:c>
      <x:c r="I80" s="26" t="n">
        <x:v>9</x:v>
      </x:c>
      <x:c r="J80" s="26" t="n">
        <x:v>565.82027</x:v>
      </x:c>
      <x:c r="K80" s="26" t="n">
        <x:v>0.54418</x:v>
      </x:c>
      <x:c r="L80" s="26" t="n">
        <x:v>23.68</x:v>
      </x:c>
      <x:c r="M80" s="26" t="n">
        <x:v>186.8968</x:v>
      </x:c>
      <x:c r="N80" s="26" t="n">
        <x:v>0.56236</x:v>
      </x:c>
      <x:c r="O80" s="26" t="n">
        <x:v>18.72</x:v>
      </x:c>
      <x:c r="P80" s="26" t="n">
        <x:v>268.02278</x:v>
      </x:c>
      <x:c r="Q80" s="26" t="n">
        <x:v>0.97866</x:v>
      </x:c>
      <x:c r="R80" s="26" t="n">
        <x:v>28.7</x:v>
      </x:c>
      <x:c r="S80" s="26" t="n">
        <x:v>267.93063</x:v>
      </x:c>
      <x:c r="T80" s="26" t="n">
        <x:v>0.10106</x:v>
      </x:c>
      <x:c r="U80" s="26" t="n">
        <x:v>268.03179</x:v>
      </x:c>
      <x:c r="V80" s="26" t="n">
        <x:v>0.42155</x:v>
      </x:c>
      <x:c r="W80" s="26" t="n">
        <x:v>268.02278</x:v>
      </x:c>
      <x:c r="X80" s="26" t="n">
        <x:v>0.97866</x:v>
      </x:c>
      <x:c r="Y80" s="26" t="n">
        <x:v>268.02351</x:v>
      </x:c>
      <x:c r="Z80" s="26" t="n">
        <x:v>0.02351</x:v>
      </x:c>
      <x:c r="AA80" s="26" t="n">
        <x:v>0.0991</x:v>
      </x:c>
      <x:c r="AB80" s="26" t="n">
        <x:v>0.42155</x:v>
      </x:c>
      <x:c r="AC80" s="26" t="n">
        <x:v>0.97866</x:v>
      </x:c>
      <x:c r="AD80" s="26" t="n">
        <x:v>1.07019</x:v>
      </x:c>
      <x:c r="AE80" s="26" t="n">
        <x:v>27.25</x:v>
      </x:c>
      <x:c r="AF80" s="26" t="str">
        <x:v>Z</x:v>
      </x:c>
      <x:c r="AG80" s="26" t="n">
        <x:v>0.09208</x:v>
      </x:c>
      <x:c r="AH80" s="26" t="n">
        <x:v>-138.76</x:v>
      </x:c>
      <x:c r="AI80" s="26" t="n">
        <x:v>0.074</x:v>
      </x:c>
      <x:c r="AJ80" s="26" t="n">
        <x:v>35.7</x:v>
      </x:c>
      <x:c r="AK80" s="26" t="n">
        <x:v>0.54777</x:v>
      </x:c>
      <x:c r="AL80" s="26" t="n">
        <x:v>-127.15</x:v>
      </x:c>
      <x:c r="AM80" s="26" t="n">
        <x:v>0.282</x:v>
      </x:c>
      <x:c r="AN80" s="26" t="n">
        <x:v>14.38</x:v>
      </x:c>
      <x:c r="AO80" s="26" t="n">
        <x:v>1.20031</x:v>
      </x:c>
      <x:c r="AP80" s="26" t="n">
        <x:v>141.09</x:v>
      </x:c>
      <x:c r="AQ80" s="26" t="n">
        <x:v>0.747</x:v>
      </x:c>
      <x:c r="AR80" s="26" t="n">
        <x:v>1.67</x:v>
      </x:c>
      <x:c r="AS80" s="26" t="n">
        <x:v>1.32453</x:v>
      </x:c>
      <x:c r="AT80" s="26" t="n">
        <x:v>2.73</x:v>
      </x:c>
      <x:c r="AU80" s="26" t="n">
        <x:v>0.0695</x:v>
      </x:c>
      <x:c r="AV80" s="26" t="n">
        <x:v>0.4136</x:v>
      </x:c>
      <x:c r="AW80" s="26" t="n">
        <x:v>0.9062</x:v>
      </x:c>
      <x:c r="AX80" s="26" t="n">
        <x:v>1</x:v>
      </x:c>
    </x:row>
    <x:row r="81">
      <x:c r="A81" s="26" t="str">
        <x:v>K3</x:v>
      </x:c>
      <x:c r="B81" s="26" t="str">
        <x:v>Horizontal / flat</x:v>
      </x:c>
      <x:c r="C81" s="26" t="str">
        <x:v>High</x:v>
      </x:c>
      <x:c r="D81" s="26" t="str">
        <x:v>Pasted text (3).txt</x:v>
      </x:c>
      <x:c r="E81" s="26" t="str">
        <x:v>GAIN_SWEEP</x:v>
      </x:c>
      <x:c r="F81" s="26" t="n">
        <x:v>9</x:v>
      </x:c>
      <x:c r="G81" s="26" t="n">
        <x:v>2</x:v>
      </x:c>
      <x:c r="H81" s="26" t="n">
        <x:v>268</x:v>
      </x:c>
      <x:c r="I81" s="26" t="n">
        <x:v>9</x:v>
      </x:c>
      <x:c r="J81" s="26" t="n">
        <x:v>565.41859</x:v>
      </x:c>
      <x:c r="K81" s="26" t="n">
        <x:v>0.56059</x:v>
      </x:c>
      <x:c r="L81" s="26" t="n">
        <x:v>24.01</x:v>
      </x:c>
      <x:c r="M81" s="26" t="n">
        <x:v>186.00425</x:v>
      </x:c>
      <x:c r="N81" s="26" t="n">
        <x:v>0.67521</x:v>
      </x:c>
      <x:c r="O81" s="26" t="n">
        <x:v>20.24</x:v>
      </x:c>
      <x:c r="P81" s="26" t="n">
        <x:v>268.00964</x:v>
      </x:c>
      <x:c r="Q81" s="26" t="n">
        <x:v>0.99757</x:v>
      </x:c>
      <x:c r="R81" s="26" t="n">
        <x:v>28.77</x:v>
      </x:c>
      <x:c r="S81" s="26" t="n">
        <x:v>267.95219</x:v>
      </x:c>
      <x:c r="T81" s="26" t="n">
        <x:v>0.08753</x:v>
      </x:c>
      <x:c r="U81" s="26" t="n">
        <x:v>268.07917</x:v>
      </x:c>
      <x:c r="V81" s="26" t="n">
        <x:v>0.43354</x:v>
      </x:c>
      <x:c r="W81" s="26" t="n">
        <x:v>268.00964</x:v>
      </x:c>
      <x:c r="X81" s="26" t="n">
        <x:v>0.99757</x:v>
      </x:c>
      <x:c r="Y81" s="26" t="n">
        <x:v>268.01954</x:v>
      </x:c>
      <x:c r="Z81" s="26" t="n">
        <x:v>0.01954</x:v>
      </x:c>
      <x:c r="AA81" s="26" t="n">
        <x:v>0.08668</x:v>
      </x:c>
      <x:c r="AB81" s="26" t="n">
        <x:v>0.43354</x:v>
      </x:c>
      <x:c r="AC81" s="26" t="n">
        <x:v>0.99757</x:v>
      </x:c>
      <x:c r="AD81" s="26" t="n">
        <x:v>1.09115</x:v>
      </x:c>
      <x:c r="AE81" s="26" t="n">
        <x:v>26.43</x:v>
      </x:c>
      <x:c r="AF81" s="26" t="str">
        <x:v>Z</x:v>
      </x:c>
      <x:c r="AG81" s="26" t="n">
        <x:v>0.1255</x:v>
      </x:c>
      <x:c r="AH81" s="26" t="n">
        <x:v>-138.21</x:v>
      </x:c>
      <x:c r="AI81" s="26" t="n">
        <x:v>0.101</x:v>
      </x:c>
      <x:c r="AJ81" s="26" t="n">
        <x:v>8.76</x:v>
      </x:c>
      <x:c r="AK81" s="26" t="n">
        <x:v>0.53427</x:v>
      </x:c>
      <x:c r="AL81" s="26" t="n">
        <x:v>-129.17</x:v>
      </x:c>
      <x:c r="AM81" s="26" t="n">
        <x:v>0.276</x:v>
      </x:c>
      <x:c r="AN81" s="26" t="n">
        <x:v>19.75</x:v>
      </x:c>
      <x:c r="AO81" s="26" t="n">
        <x:v>1.19411</x:v>
      </x:c>
      <x:c r="AP81" s="26" t="n">
        <x:v>140.85</x:v>
      </x:c>
      <x:c r="AQ81" s="26" t="n">
        <x:v>0.742</x:v>
      </x:c>
      <x:c r="AR81" s="26" t="n">
        <x:v>1.81</x:v>
      </x:c>
      <x:c r="AS81" s="26" t="n">
        <x:v>1.31708</x:v>
      </x:c>
      <x:c r="AT81" s="26" t="n">
        <x:v>3.58</x:v>
      </x:c>
      <x:c r="AU81" s="26" t="n">
        <x:v>0.0953</x:v>
      </x:c>
      <x:c r="AV81" s="26" t="n">
        <x:v>0.4056</x:v>
      </x:c>
      <x:c r="AW81" s="26" t="n">
        <x:v>0.9066</x:v>
      </x:c>
      <x:c r="AX81" s="26" t="n">
        <x:v>1</x:v>
      </x:c>
    </x:row>
    <x:row r="82">
      <x:c r="A82" s="26" t="str">
        <x:v>K3</x:v>
      </x:c>
      <x:c r="B82" s="26" t="str">
        <x:v>Horizontal / flat</x:v>
      </x:c>
      <x:c r="C82" s="26" t="str">
        <x:v>High</x:v>
      </x:c>
      <x:c r="D82" s="26" t="str">
        <x:v>Pasted text (3).txt</x:v>
      </x:c>
      <x:c r="E82" s="26" t="str">
        <x:v>GAIN_SWEEP</x:v>
      </x:c>
      <x:c r="F82" s="26" t="n">
        <x:v>10</x:v>
      </x:c>
      <x:c r="G82" s="26" t="n">
        <x:v>1</x:v>
      </x:c>
      <x:c r="H82" s="26" t="n">
        <x:v>268</x:v>
      </x:c>
      <x:c r="I82" s="26" t="n">
        <x:v>10</x:v>
      </x:c>
      <x:c r="J82" s="26" t="n">
        <x:v>480.82128</x:v>
      </x:c>
      <x:c r="K82" s="26" t="n">
        <x:v>0.40225</x:v>
      </x:c>
      <x:c r="L82" s="26" t="n">
        <x:v>21.18</x:v>
      </x:c>
      <x:c r="M82" s="26" t="n">
        <x:v>184.90956</x:v>
      </x:c>
      <x:c r="N82" s="26" t="n">
        <x:v>0.76072</x:v>
      </x:c>
      <x:c r="O82" s="26" t="n">
        <x:v>21.15</x:v>
      </x:c>
      <x:c r="P82" s="26" t="n">
        <x:v>268.04266</x:v>
      </x:c>
      <x:c r="Q82" s="26" t="n">
        <x:v>1.1713</x:v>
      </x:c>
      <x:c r="R82" s="26" t="n">
        <x:v>29.85</x:v>
      </x:c>
      <x:c r="S82" s="26" t="n">
        <x:v>268.16605</x:v>
      </x:c>
      <x:c r="T82" s="26" t="n">
        <x:v>0.1241</x:v>
      </x:c>
      <x:c r="U82" s="26" t="n">
        <x:v>268.02181</x:v>
      </x:c>
      <x:c r="V82" s="26" t="n">
        <x:v>0.49007</x:v>
      </x:c>
      <x:c r="W82" s="26" t="n">
        <x:v>268.04266</x:v>
      </x:c>
      <x:c r="X82" s="26" t="n">
        <x:v>1.1713</x:v>
      </x:c>
      <x:c r="Y82" s="26" t="n">
        <x:v>268.04071</x:v>
      </x:c>
      <x:c r="Z82" s="26" t="n">
        <x:v>0.04071</x:v>
      </x:c>
      <x:c r="AA82" s="26" t="n">
        <x:v>0.1241</x:v>
      </x:c>
      <x:c r="AB82" s="26" t="n">
        <x:v>0.49007</x:v>
      </x:c>
      <x:c r="AC82" s="26" t="n">
        <x:v>1.1713</x:v>
      </x:c>
      <x:c r="AD82" s="26" t="n">
        <x:v>1.27574</x:v>
      </x:c>
      <x:c r="AE82" s="26" t="n">
        <x:v>27.85</x:v>
      </x:c>
      <x:c r="AF82" s="26" t="str">
        <x:v>Z</x:v>
      </x:c>
      <x:c r="AG82" s="26" t="n">
        <x:v>0.13559</x:v>
      </x:c>
      <x:c r="AH82" s="26" t="n">
        <x:v>-136.04</x:v>
      </x:c>
      <x:c r="AI82" s="26" t="n">
        <x:v>0.112</x:v>
      </x:c>
      <x:c r="AJ82" s="26" t="n">
        <x:v>10.91</x:v>
      </x:c>
      <x:c r="AK82" s="26" t="n">
        <x:v>0.61552</x:v>
      </x:c>
      <x:c r="AL82" s="26" t="n">
        <x:v>-128.1</x:v>
      </x:c>
      <x:c r="AM82" s="26" t="n">
        <x:v>0.31</x:v>
      </x:c>
      <x:c r="AN82" s="26" t="n">
        <x:v>5.69</x:v>
      </x:c>
      <x:c r="AO82" s="26" t="n">
        <x:v>1.4147</x:v>
      </x:c>
      <x:c r="AP82" s="26" t="n">
        <x:v>137.61</x:v>
      </x:c>
      <x:c r="AQ82" s="26" t="n">
        <x:v>0.797</x:v>
      </x:c>
      <x:c r="AR82" s="26" t="n">
        <x:v>1.58</x:v>
      </x:c>
      <x:c r="AS82" s="26" t="n">
        <x:v>1.54905</x:v>
      </x:c>
      <x:c r="AT82" s="26" t="n">
        <x:v>1.81</x:v>
      </x:c>
      <x:c r="AU82" s="26" t="n">
        <x:v>0.0875</x:v>
      </x:c>
      <x:c r="AV82" s="26" t="n">
        <x:v>0.3974</x:v>
      </x:c>
      <x:c r="AW82" s="26" t="n">
        <x:v>0.9133</x:v>
      </x:c>
      <x:c r="AX82" s="26" t="n">
        <x:v>1</x:v>
      </x:c>
    </x:row>
    <x:row r="83">
      <x:c r="A83" s="26" t="str">
        <x:v>K3</x:v>
      </x:c>
      <x:c r="B83" s="26" t="str">
        <x:v>Horizontal / flat</x:v>
      </x:c>
      <x:c r="C83" s="26" t="str">
        <x:v>High</x:v>
      </x:c>
      <x:c r="D83" s="26" t="str">
        <x:v>Pasted text (3).txt</x:v>
      </x:c>
      <x:c r="E83" s="26" t="str">
        <x:v>GAIN_SWEEP</x:v>
      </x:c>
      <x:c r="F83" s="26" t="n">
        <x:v>10</x:v>
      </x:c>
      <x:c r="G83" s="26" t="n">
        <x:v>2</x:v>
      </x:c>
      <x:c r="H83" s="26" t="n">
        <x:v>268</x:v>
      </x:c>
      <x:c r="I83" s="26" t="n">
        <x:v>10</x:v>
      </x:c>
      <x:c r="J83" s="26" t="n">
        <x:v>481.08369</x:v>
      </x:c>
      <x:c r="K83" s="26" t="n">
        <x:v>0.42109</x:v>
      </x:c>
      <x:c r="L83" s="26" t="n">
        <x:v>21.04</x:v>
      </x:c>
      <x:c r="M83" s="26" t="n">
        <x:v>185.53145</x:v>
      </x:c>
      <x:c r="N83" s="26" t="n">
        <x:v>0.68297</x:v>
      </x:c>
      <x:c r="O83" s="26" t="n">
        <x:v>20.25</x:v>
      </x:c>
      <x:c r="P83" s="26" t="n">
        <x:v>268.03436</x:v>
      </x:c>
      <x:c r="Q83" s="26" t="n">
        <x:v>1.18349</x:v>
      </x:c>
      <x:c r="R83" s="26" t="n">
        <x:v>29.65</x:v>
      </x:c>
      <x:c r="S83" s="26" t="n">
        <x:v>268.00621</x:v>
      </x:c>
      <x:c r="T83" s="26" t="n">
        <x:v>0.12348</x:v>
      </x:c>
      <x:c r="U83" s="26" t="n">
        <x:v>268.08037</x:v>
      </x:c>
      <x:c r="V83" s="26" t="n">
        <x:v>0.52224</x:v>
      </x:c>
      <x:c r="W83" s="26" t="n">
        <x:v>268.03436</x:v>
      </x:c>
      <x:c r="X83" s="26" t="n">
        <x:v>1.18349</x:v>
      </x:c>
      <x:c r="Y83" s="26" t="n">
        <x:v>268.04164</x:v>
      </x:c>
      <x:c r="Z83" s="26" t="n">
        <x:v>0.04164</x:v>
      </x:c>
      <x:c r="AA83" s="26" t="n">
        <x:v>0.12348</x:v>
      </x:c>
      <x:c r="AB83" s="26" t="n">
        <x:v>0.52224</x:v>
      </x:c>
      <x:c r="AC83" s="26" t="n">
        <x:v>1.18349</x:v>
      </x:c>
      <x:c r="AD83" s="26" t="n">
        <x:v>1.29947</x:v>
      </x:c>
      <x:c r="AE83" s="26" t="n">
        <x:v>28.12</x:v>
      </x:c>
      <x:c r="AF83" s="26" t="str">
        <x:v>Z</x:v>
      </x:c>
      <x:c r="AG83" s="26" t="n">
        <x:v>0.15357</x:v>
      </x:c>
      <x:c r="AH83" s="26" t="n">
        <x:v>-134.21</x:v>
      </x:c>
      <x:c r="AI83" s="26" t="n">
        <x:v>0.128</x:v>
      </x:c>
      <x:c r="AJ83" s="26" t="n">
        <x:v>11.79</x:v>
      </x:c>
      <x:c r="AK83" s="26" t="n">
        <x:v>0.63094</x:v>
      </x:c>
      <x:c r="AL83" s="26" t="n">
        <x:v>-131.75</x:v>
      </x:c>
      <x:c r="AM83" s="26" t="n">
        <x:v>0.312</x:v>
      </x:c>
      <x:c r="AN83" s="26" t="n">
        <x:v>4.98</x:v>
      </x:c>
      <x:c r="AO83" s="26" t="n">
        <x:v>1.40749</x:v>
      </x:c>
      <x:c r="AP83" s="26" t="n">
        <x:v>137.46</x:v>
      </x:c>
      <x:c r="AQ83" s="26" t="n">
        <x:v>0.791</x:v>
      </x:c>
      <x:c r="AR83" s="26" t="n">
        <x:v>1.09</x:v>
      </x:c>
      <x:c r="AS83" s="26" t="n">
        <x:v>1.5503</x:v>
      </x:c>
      <x:c r="AT83" s="26" t="n">
        <x:v>1.62</x:v>
      </x:c>
      <x:c r="AU83" s="26" t="n">
        <x:v>0.0991</x:v>
      </x:c>
      <x:c r="AV83" s="26" t="n">
        <x:v>0.407</x:v>
      </x:c>
      <x:c r="AW83" s="26" t="n">
        <x:v>0.9079</x:v>
      </x:c>
      <x:c r="AX83" s="26" t="n">
        <x:v>1</x:v>
      </x:c>
    </x:row>
    <x:row r="84">
      <x:c r="A84" s="26" t="str">
        <x:v>K3</x:v>
      </x:c>
      <x:c r="B84" s="26" t="str">
        <x:v>Horizontal / flat</x:v>
      </x:c>
      <x:c r="C84" s="26" t="str">
        <x:v>High</x:v>
      </x:c>
      <x:c r="D84" s="26" t="str">
        <x:v>Pasted text (3).txt</x:v>
      </x:c>
      <x:c r="E84" s="26" t="str">
        <x:v>GAIN_SWEEP</x:v>
      </x:c>
      <x:c r="F84" s="26" t="n">
        <x:v>11</x:v>
      </x:c>
      <x:c r="G84" s="26" t="n">
        <x:v>1</x:v>
      </x:c>
      <x:c r="H84" s="26" t="n">
        <x:v>268</x:v>
      </x:c>
      <x:c r="I84" s="26" t="n">
        <x:v>11</x:v>
      </x:c>
      <x:c r="J84" s="26" t="n">
        <x:v>580.84217</x:v>
      </x:c>
      <x:c r="K84" s="26" t="n">
        <x:v>0.35258</x:v>
      </x:c>
      <x:c r="L84" s="26" t="n">
        <x:v>19.62</x:v>
      </x:c>
      <x:c r="M84" s="26" t="n">
        <x:v>267.9463</x:v>
      </x:c>
      <x:c r="N84" s="26" t="n">
        <x:v>0.59112</x:v>
      </x:c>
      <x:c r="O84" s="26" t="n">
        <x:v>19.21</x:v>
      </x:c>
      <x:c r="P84" s="26" t="n">
        <x:v>268.04182</x:v>
      </x:c>
      <x:c r="Q84" s="26" t="n">
        <x:v>1.39227</x:v>
      </x:c>
      <x:c r="R84" s="26" t="n">
        <x:v>30.71</x:v>
      </x:c>
      <x:c r="S84" s="26" t="n">
        <x:v>268.11134</x:v>
      </x:c>
      <x:c r="T84" s="26" t="n">
        <x:v>0.13468</x:v>
      </x:c>
      <x:c r="U84" s="26" t="n">
        <x:v>267.9463</x:v>
      </x:c>
      <x:c r="V84" s="26" t="n">
        <x:v>0.59112</x:v>
      </x:c>
      <x:c r="W84" s="26" t="n">
        <x:v>268.04182</x:v>
      </x:c>
      <x:c r="X84" s="26" t="n">
        <x:v>1.39227</x:v>
      </x:c>
      <x:c r="Y84" s="26" t="n">
        <x:v>268.02836</x:v>
      </x:c>
      <x:c r="Z84" s="26" t="n">
        <x:v>0.02836</x:v>
      </x:c>
      <x:c r="AA84" s="26" t="n">
        <x:v>0.13468</x:v>
      </x:c>
      <x:c r="AB84" s="26" t="n">
        <x:v>0.58362</x:v>
      </x:c>
      <x:c r="AC84" s="26" t="n">
        <x:v>1.39227</x:v>
      </x:c>
      <x:c r="AD84" s="26" t="n">
        <x:v>1.51564</x:v>
      </x:c>
      <x:c r="AE84" s="26" t="n">
        <x:v>28.02</x:v>
      </x:c>
      <x:c r="AF84" s="26" t="str">
        <x:v>Z</x:v>
      </x:c>
      <x:c r="AG84" s="26" t="n">
        <x:v>0.1679</x:v>
      </x:c>
      <x:c r="AH84" s="26" t="n">
        <x:v>-139.58</x:v>
      </x:c>
      <x:c r="AI84" s="26" t="n">
        <x:v>0.143</x:v>
      </x:c>
      <x:c r="AJ84" s="26" t="n">
        <x:v>11.09</x:v>
      </x:c>
      <x:c r="AK84" s="26" t="n">
        <x:v>0.76742</x:v>
      </x:c>
      <x:c r="AL84" s="26" t="n">
        <x:v>-140.12</x:v>
      </x:c>
      <x:c r="AM84" s="26" t="n">
        <x:v>0.393</x:v>
      </x:c>
      <x:c r="AN84" s="26" t="n">
        <x:v>3</x:v>
      </x:c>
      <x:c r="AO84" s="26" t="n">
        <x:v>1.67137</x:v>
      </x:c>
      <x:c r="AP84" s="26" t="n">
        <x:v>133.25</x:v>
      </x:c>
      <x:c r="AQ84" s="26" t="n">
        <x:v>0.828</x:v>
      </x:c>
      <x:c r="AR84" s="26" t="n">
        <x:v>1.98</x:v>
      </x:c>
      <x:c r="AS84" s="26" t="n">
        <x:v>1.84698</x:v>
      </x:c>
      <x:c r="AT84" s="26" t="n">
        <x:v>1.8</x:v>
      </x:c>
      <x:c r="AU84" s="26" t="n">
        <x:v>0.0909</x:v>
      </x:c>
      <x:c r="AV84" s="26" t="n">
        <x:v>0.4155</x:v>
      </x:c>
      <x:c r="AW84" s="26" t="n">
        <x:v>0.9049</x:v>
      </x:c>
      <x:c r="AX84" s="26" t="n">
        <x:v>1</x:v>
      </x:c>
    </x:row>
    <x:row r="85">
      <x:c r="A85" s="26" t="str">
        <x:v>K3</x:v>
      </x:c>
      <x:c r="B85" s="26" t="str">
        <x:v>Horizontal / flat</x:v>
      </x:c>
      <x:c r="C85" s="26" t="str">
        <x:v>High</x:v>
      </x:c>
      <x:c r="D85" s="26" t="str">
        <x:v>Pasted text (3).txt</x:v>
      </x:c>
      <x:c r="E85" s="26" t="str">
        <x:v>GAIN_SWEEP</x:v>
      </x:c>
      <x:c r="F85" s="26" t="n">
        <x:v>11</x:v>
      </x:c>
      <x:c r="G85" s="26" t="n">
        <x:v>2</x:v>
      </x:c>
      <x:c r="H85" s="26" t="n">
        <x:v>268</x:v>
      </x:c>
      <x:c r="I85" s="26" t="n">
        <x:v>11</x:v>
      </x:c>
      <x:c r="J85" s="26" t="n">
        <x:v>581.03197</x:v>
      </x:c>
      <x:c r="K85" s="26" t="n">
        <x:v>0.38286</x:v>
      </x:c>
      <x:c r="L85" s="26" t="n">
        <x:v>20.11</x:v>
      </x:c>
      <x:c r="M85" s="26" t="n">
        <x:v>267.95207</x:v>
      </x:c>
      <x:c r="N85" s="26" t="n">
        <x:v>0.63844</x:v>
      </x:c>
      <x:c r="O85" s="26" t="n">
        <x:v>19.5</x:v>
      </x:c>
      <x:c r="P85" s="26" t="n">
        <x:v>268.03475</x:v>
      </x:c>
      <x:c r="Q85" s="26" t="n">
        <x:v>1.39769</x:v>
      </x:c>
      <x:c r="R85" s="26" t="n">
        <x:v>30.57</x:v>
      </x:c>
      <x:c r="S85" s="26" t="n">
        <x:v>268.09815</x:v>
      </x:c>
      <x:c r="T85" s="26" t="n">
        <x:v>0.1332</x:v>
      </x:c>
      <x:c r="U85" s="26" t="n">
        <x:v>267.95207</x:v>
      </x:c>
      <x:c r="V85" s="26" t="n">
        <x:v>0.63844</x:v>
      </x:c>
      <x:c r="W85" s="26" t="n">
        <x:v>268.03475</x:v>
      </x:c>
      <x:c r="X85" s="26" t="n">
        <x:v>1.39769</x:v>
      </x:c>
      <x:c r="Y85" s="26" t="n">
        <x:v>268.02143</x:v>
      </x:c>
      <x:c r="Z85" s="26" t="n">
        <x:v>0.02143</x:v>
      </x:c>
      <x:c r="AA85" s="26" t="n">
        <x:v>0.1332</x:v>
      </x:c>
      <x:c r="AB85" s="26" t="n">
        <x:v>0.63257</x:v>
      </x:c>
      <x:c r="AC85" s="26" t="n">
        <x:v>1.39769</x:v>
      </x:c>
      <x:c r="AD85" s="26" t="n">
        <x:v>1.53994</x:v>
      </x:c>
      <x:c r="AE85" s="26" t="n">
        <x:v>26.64</x:v>
      </x:c>
      <x:c r="AF85" s="26" t="str">
        <x:v>Z</x:v>
      </x:c>
      <x:c r="AG85" s="26" t="n">
        <x:v>0.16444</x:v>
      </x:c>
      <x:c r="AH85" s="26" t="n">
        <x:v>-136.16</x:v>
      </x:c>
      <x:c r="AI85" s="26" t="n">
        <x:v>0.137</x:v>
      </x:c>
      <x:c r="AJ85" s="26" t="n">
        <x:v>11.74</x:v>
      </x:c>
      <x:c r="AK85" s="26" t="n">
        <x:v>0.77</x:v>
      </x:c>
      <x:c r="AL85" s="26" t="n">
        <x:v>-139.13</x:v>
      </x:c>
      <x:c r="AM85" s="26" t="n">
        <x:v>0.392</x:v>
      </x:c>
      <x:c r="AN85" s="26" t="n">
        <x:v>8.84</x:v>
      </x:c>
      <x:c r="AO85" s="26" t="n">
        <x:v>1.6659</x:v>
      </x:c>
      <x:c r="AP85" s="26" t="n">
        <x:v>133.39</x:v>
      </x:c>
      <x:c r="AQ85" s="26" t="n">
        <x:v>0.823</x:v>
      </x:c>
      <x:c r="AR85" s="26" t="n">
        <x:v>1.27</x:v>
      </x:c>
      <x:c r="AS85" s="26" t="n">
        <x:v>1.84338</x:v>
      </x:c>
      <x:c r="AT85" s="26" t="n">
        <x:v>2.35</x:v>
      </x:c>
      <x:c r="AU85" s="26" t="n">
        <x:v>0.0892</x:v>
      </x:c>
      <x:c r="AV85" s="26" t="n">
        <x:v>0.4177</x:v>
      </x:c>
      <x:c r="AW85" s="26" t="n">
        <x:v>0.9037</x:v>
      </x:c>
      <x:c r="AX85" s="26" t="n">
        <x:v>1</x:v>
      </x:c>
    </x:row>
    <x:row r="86">
      <x:c r="A86" s="26" t="str">
        <x:v>K3</x:v>
      </x:c>
      <x:c r="B86" s="26" t="str">
        <x:v>Horizontal / flat</x:v>
      </x:c>
      <x:c r="C86" s="26" t="str">
        <x:v>High</x:v>
      </x:c>
      <x:c r="D86" s="26" t="str">
        <x:v>Pasted text (3).txt</x:v>
      </x:c>
      <x:c r="E86" s="26" t="str">
        <x:v>GAIN_SWEEP</x:v>
      </x:c>
      <x:c r="F86" s="26" t="n">
        <x:v>12</x:v>
      </x:c>
      <x:c r="G86" s="26" t="n">
        <x:v>1</x:v>
      </x:c>
      <x:c r="H86" s="26" t="n">
        <x:v>268</x:v>
      </x:c>
      <x:c r="I86" s="26" t="n">
        <x:v>12</x:v>
      </x:c>
      <x:c r="J86" s="26" t="n">
        <x:v>564.40788</x:v>
      </x:c>
      <x:c r="K86" s="26" t="n">
        <x:v>0.41947</x:v>
      </x:c>
      <x:c r="L86" s="26" t="n">
        <x:v>20.28</x:v>
      </x:c>
      <x:c r="M86" s="26" t="n">
        <x:v>267.89713</x:v>
      </x:c>
      <x:c r="N86" s="26" t="n">
        <x:v>0.69862</x:v>
      </x:c>
      <x:c r="O86" s="26" t="n">
        <x:v>19.64</x:v>
      </x:c>
      <x:c r="P86" s="26" t="n">
        <x:v>268.00481</x:v>
      </x:c>
      <x:c r="Q86" s="26" t="n">
        <x:v>1.5773</x:v>
      </x:c>
      <x:c r="R86" s="26" t="n">
        <x:v>30.97</x:v>
      </x:c>
      <x:c r="S86" s="26" t="n">
        <x:v>268.10361</x:v>
      </x:c>
      <x:c r="T86" s="26" t="n">
        <x:v>0.1457</x:v>
      </x:c>
      <x:c r="U86" s="26" t="n">
        <x:v>267.89713</x:v>
      </x:c>
      <x:c r="V86" s="26" t="n">
        <x:v>0.69862</x:v>
      </x:c>
      <x:c r="W86" s="26" t="n">
        <x:v>268.00481</x:v>
      </x:c>
      <x:c r="X86" s="26" t="n">
        <x:v>1.5773</x:v>
      </x:c>
      <x:c r="Y86" s="26" t="n">
        <x:v>267.9881</x:v>
      </x:c>
      <x:c r="Z86" s="26" t="n">
        <x:v>-0.0119</x:v>
      </x:c>
      <x:c r="AA86" s="26" t="n">
        <x:v>0.1457</x:v>
      </x:c>
      <x:c r="AB86" s="26" t="n">
        <x:v>0.66957</x:v>
      </x:c>
      <x:c r="AC86" s="26" t="n">
        <x:v>1.5773</x:v>
      </x:c>
      <x:c r="AD86" s="26" t="n">
        <x:v>1.71971</x:v>
      </x:c>
      <x:c r="AE86" s="26" t="n">
        <x:v>28.05</x:v>
      </x:c>
      <x:c r="AF86" s="26" t="str">
        <x:v>Z</x:v>
      </x:c>
      <x:c r="AG86" s="26" t="n">
        <x:v>0.17138</x:v>
      </x:c>
      <x:c r="AH86" s="26" t="n">
        <x:v>-138.5</x:v>
      </x:c>
      <x:c r="AI86" s="26" t="n">
        <x:v>0.131</x:v>
      </x:c>
      <x:c r="AJ86" s="26" t="n">
        <x:v>7.49</x:v>
      </x:c>
      <x:c r="AK86" s="26" t="n">
        <x:v>0.96681</x:v>
      </x:c>
      <x:c r="AL86" s="26" t="n">
        <x:v>-143.49</x:v>
      </x:c>
      <x:c r="AM86" s="26" t="n">
        <x:v>0.438</x:v>
      </x:c>
      <x:c r="AN86" s="26" t="n">
        <x:v>10.45</x:v>
      </x:c>
      <x:c r="AO86" s="26" t="n">
        <x:v>1.94111</x:v>
      </x:c>
      <x:c r="AP86" s="26" t="n">
        <x:v>127.42</x:v>
      </x:c>
      <x:c r="AQ86" s="26" t="n">
        <x:v>0.831</x:v>
      </x:c>
      <x:c r="AR86" s="26" t="n">
        <x:v>1.51</x:v>
      </x:c>
      <x:c r="AS86" s="26" t="n">
        <x:v>2.1766</x:v>
      </x:c>
      <x:c r="AT86" s="26" t="n">
        <x:v>2.99</x:v>
      </x:c>
      <x:c r="AU86" s="26" t="n">
        <x:v>0.0787</x:v>
      </x:c>
      <x:c r="AV86" s="26" t="n">
        <x:v>0.4442</x:v>
      </x:c>
      <x:c r="AW86" s="26" t="n">
        <x:v>0.8918</x:v>
      </x:c>
      <x:c r="AX86" s="26" t="n">
        <x:v>1</x:v>
      </x:c>
    </x:row>
    <x:row r="87">
      <x:c r="A87" s="26" t="str">
        <x:v>K3</x:v>
      </x:c>
      <x:c r="B87" s="26" t="str">
        <x:v>Horizontal / flat</x:v>
      </x:c>
      <x:c r="C87" s="26" t="str">
        <x:v>High</x:v>
      </x:c>
      <x:c r="D87" s="26" t="str">
        <x:v>Pasted text (3).txt</x:v>
      </x:c>
      <x:c r="E87" s="26" t="str">
        <x:v>GAIN_SWEEP</x:v>
      </x:c>
      <x:c r="F87" s="26" t="n">
        <x:v>12</x:v>
      </x:c>
      <x:c r="G87" s="26" t="n">
        <x:v>2</x:v>
      </x:c>
      <x:c r="H87" s="26" t="n">
        <x:v>268</x:v>
      </x:c>
      <x:c r="I87" s="26" t="n">
        <x:v>12</x:v>
      </x:c>
      <x:c r="J87" s="26" t="n">
        <x:v>748.57519</x:v>
      </x:c>
      <x:c r="K87" s="26" t="n">
        <x:v>0.39809</x:v>
      </x:c>
      <x:c r="L87" s="26" t="n">
        <x:v>19.96</x:v>
      </x:c>
      <x:c r="M87" s="26" t="n">
        <x:v>268.09942</x:v>
      </x:c>
      <x:c r="N87" s="26" t="n">
        <x:v>0.82141</x:v>
      </x:c>
      <x:c r="O87" s="26" t="n">
        <x:v>21.2</x:v>
      </x:c>
      <x:c r="P87" s="26" t="n">
        <x:v>268.01282</x:v>
      </x:c>
      <x:c r="Q87" s="26" t="n">
        <x:v>1.58876</x:v>
      </x:c>
      <x:c r="R87" s="26" t="n">
        <x:v>30.64</x:v>
      </x:c>
      <x:c r="S87" s="26" t="n">
        <x:v>267.8656</x:v>
      </x:c>
      <x:c r="T87" s="26" t="n">
        <x:v>0.14486</x:v>
      </x:c>
      <x:c r="U87" s="26" t="n">
        <x:v>268.09942</x:v>
      </x:c>
      <x:c r="V87" s="26" t="n">
        <x:v>0.82141</x:v>
      </x:c>
      <x:c r="W87" s="26" t="n">
        <x:v>268.01282</x:v>
      </x:c>
      <x:c r="X87" s="26" t="n">
        <x:v>1.58876</x:v>
      </x:c>
      <x:c r="Y87" s="26" t="n">
        <x:v>268.03012</x:v>
      </x:c>
      <x:c r="Z87" s="26" t="n">
        <x:v>0.03012</x:v>
      </x:c>
      <x:c r="AA87" s="26" t="n">
        <x:v>0.13635</x:v>
      </x:c>
      <x:c r="AB87" s="26" t="n">
        <x:v>0.82141</x:v>
      </x:c>
      <x:c r="AC87" s="26" t="n">
        <x:v>1.58876</x:v>
      </x:c>
      <x:c r="AD87" s="26" t="n">
        <x:v>1.79373</x:v>
      </x:c>
      <x:c r="AE87" s="26" t="n">
        <x:v>29.48</x:v>
      </x:c>
      <x:c r="AF87" s="26" t="str">
        <x:v>Z</x:v>
      </x:c>
      <x:c r="AG87" s="26" t="n">
        <x:v>0.17181</x:v>
      </x:c>
      <x:c r="AH87" s="26" t="n">
        <x:v>-137.23</x:v>
      </x:c>
      <x:c r="AI87" s="26" t="n">
        <x:v>0.131</x:v>
      </x:c>
      <x:c r="AJ87" s="26" t="n">
        <x:v>11.02</x:v>
      </x:c>
      <x:c r="AK87" s="26" t="n">
        <x:v>0.96591</x:v>
      </x:c>
      <x:c r="AL87" s="26" t="n">
        <x:v>-143.44</x:v>
      </x:c>
      <x:c r="AM87" s="26" t="n">
        <x:v>0.431</x:v>
      </x:c>
      <x:c r="AN87" s="26" t="n">
        <x:v>6.11</x:v>
      </x:c>
      <x:c r="AO87" s="26" t="n">
        <x:v>1.9373</x:v>
      </x:c>
      <x:c r="AP87" s="26" t="n">
        <x:v>128.41</x:v>
      </x:c>
      <x:c r="AQ87" s="26" t="n">
        <x:v>0.825</x:v>
      </x:c>
      <x:c r="AR87" s="26" t="n">
        <x:v>2.12</x:v>
      </x:c>
      <x:c r="AS87" s="26" t="n">
        <x:v>2.17211</x:v>
      </x:c>
      <x:c r="AT87" s="26" t="n">
        <x:v>2.29</x:v>
      </x:c>
      <x:c r="AU87" s="26" t="n">
        <x:v>0.0791</x:v>
      </x:c>
      <x:c r="AV87" s="26" t="n">
        <x:v>0.4447</x:v>
      </x:c>
      <x:c r="AW87" s="26" t="n">
        <x:v>0.8919</x:v>
      </x:c>
      <x:c r="AX87" s="26" t="n">
        <x:v>1</x:v>
      </x:c>
    </x:row>
    <x:row r="88">
      <x:c r="A88" s="26" t="str">
        <x:v>K3</x:v>
      </x:c>
      <x:c r="B88" s="26" t="str">
        <x:v>Horizontal / flat</x:v>
      </x:c>
      <x:c r="C88" s="26" t="str">
        <x:v>High</x:v>
      </x:c>
      <x:c r="D88" s="26" t="str">
        <x:v>Pasted text (3).txt</x:v>
      </x:c>
      <x:c r="E88" s="26" t="str">
        <x:v>GAIN_SWEEP</x:v>
      </x:c>
      <x:c r="F88" s="26" t="n">
        <x:v>13</x:v>
      </x:c>
      <x:c r="G88" s="26" t="n">
        <x:v>1</x:v>
      </x:c>
      <x:c r="H88" s="26" t="n">
        <x:v>268</x:v>
      </x:c>
      <x:c r="I88" s="26" t="n">
        <x:v>13</x:v>
      </x:c>
      <x:c r="J88" s="26" t="n">
        <x:v>581.19665</x:v>
      </x:c>
      <x:c r="K88" s="26" t="n">
        <x:v>0.35697</x:v>
      </x:c>
      <x:c r="L88" s="26" t="n">
        <x:v>19.68</x:v>
      </x:c>
      <x:c r="M88" s="26" t="n">
        <x:v>268.00939</x:v>
      </x:c>
      <x:c r="N88" s="26" t="n">
        <x:v>0.94442</x:v>
      </x:c>
      <x:c r="O88" s="26" t="n">
        <x:v>22.63</x:v>
      </x:c>
      <x:c r="P88" s="26" t="n">
        <x:v>268.01092</x:v>
      </x:c>
      <x:c r="Q88" s="26" t="n">
        <x:v>1.85105</x:v>
      </x:c>
      <x:c r="R88" s="26" t="n">
        <x:v>31.83</x:v>
      </x:c>
      <x:c r="S88" s="26" t="n">
        <x:v>268.08923</x:v>
      </x:c>
      <x:c r="T88" s="26" t="n">
        <x:v>0.16528</x:v>
      </x:c>
      <x:c r="U88" s="26" t="n">
        <x:v>268.00939</x:v>
      </x:c>
      <x:c r="V88" s="26" t="n">
        <x:v>0.94442</x:v>
      </x:c>
      <x:c r="W88" s="26" t="n">
        <x:v>268.01092</x:v>
      </x:c>
      <x:c r="X88" s="26" t="n">
        <x:v>1.85105</x:v>
      </x:c>
      <x:c r="Y88" s="26" t="n">
        <x:v>268.01125</x:v>
      </x:c>
      <x:c r="Z88" s="26" t="n">
        <x:v>0.01125</x:v>
      </x:c>
      <x:c r="AA88" s="26" t="n">
        <x:v>0.16528</x:v>
      </x:c>
      <x:c r="AB88" s="26" t="n">
        <x:v>0.94442</x:v>
      </x:c>
      <x:c r="AC88" s="26" t="n">
        <x:v>1.85105</x:v>
      </x:c>
      <x:c r="AD88" s="26" t="n">
        <x:v>2.08461</x:v>
      </x:c>
      <x:c r="AE88" s="26" t="n">
        <x:v>30.5</x:v>
      </x:c>
      <x:c r="AF88" s="26" t="str">
        <x:v>Z</x:v>
      </x:c>
      <x:c r="AG88" s="26" t="n">
        <x:v>0.17369</x:v>
      </x:c>
      <x:c r="AH88" s="26" t="n">
        <x:v>-128.42</x:v>
      </x:c>
      <x:c r="AI88" s="26" t="n">
        <x:v>0.15</x:v>
      </x:c>
      <x:c r="AJ88" s="26" t="n">
        <x:v>10.37</x:v>
      </x:c>
      <x:c r="AK88" s="26" t="n">
        <x:v>1.13183</x:v>
      </x:c>
      <x:c r="AL88" s="26" t="n">
        <x:v>-155.5</x:v>
      </x:c>
      <x:c r="AM88" s="26" t="n">
        <x:v>0.501</x:v>
      </x:c>
      <x:c r="AN88" s="26" t="n">
        <x:v>15.98</x:v>
      </x:c>
      <x:c r="AO88" s="26" t="n">
        <x:v>2.24647</x:v>
      </x:c>
      <x:c r="AP88" s="26" t="n">
        <x:v>126.4</x:v>
      </x:c>
      <x:c r="AQ88" s="26" t="n">
        <x:v>0.843</x:v>
      </x:c>
      <x:c r="AR88" s="26" t="n">
        <x:v>0.96</x:v>
      </x:c>
      <x:c r="AS88" s="26" t="n">
        <x:v>2.52564</x:v>
      </x:c>
      <x:c r="AT88" s="26" t="n">
        <x:v>3.37</x:v>
      </x:c>
      <x:c r="AU88" s="26" t="n">
        <x:v>0.0688</x:v>
      </x:c>
      <x:c r="AV88" s="26" t="n">
        <x:v>0.4481</x:v>
      </x:c>
      <x:c r="AW88" s="26" t="n">
        <x:v>0.8895</x:v>
      </x:c>
      <x:c r="AX88" s="26" t="n">
        <x:v>1</x:v>
      </x:c>
    </x:row>
    <x:row r="89">
      <x:c r="A89" s="26" t="str">
        <x:v>K3</x:v>
      </x:c>
      <x:c r="B89" s="26" t="str">
        <x:v>Horizontal / flat</x:v>
      </x:c>
      <x:c r="C89" s="26" t="str">
        <x:v>High</x:v>
      </x:c>
      <x:c r="D89" s="26" t="str">
        <x:v>Pasted text (3).txt</x:v>
      </x:c>
      <x:c r="E89" s="26" t="str">
        <x:v>GAIN_SWEEP</x:v>
      </x:c>
      <x:c r="F89" s="26" t="n">
        <x:v>13</x:v>
      </x:c>
      <x:c r="G89" s="26" t="n">
        <x:v>2</x:v>
      </x:c>
      <x:c r="H89" s="26" t="n">
        <x:v>268</x:v>
      </x:c>
      <x:c r="I89" s="26" t="n">
        <x:v>13</x:v>
      </x:c>
      <x:c r="J89" s="26" t="n">
        <x:v>580.15847</x:v>
      </x:c>
      <x:c r="K89" s="26" t="n">
        <x:v>0.35131</x:v>
      </x:c>
      <x:c r="L89" s="26" t="n">
        <x:v>19.61</x:v>
      </x:c>
      <x:c r="M89" s="26" t="n">
        <x:v>268.07833</x:v>
      </x:c>
      <x:c r="N89" s="26" t="n">
        <x:v>1.11905</x:v>
      </x:c>
      <x:c r="O89" s="26" t="n">
        <x:v>23.84</x:v>
      </x:c>
      <x:c r="P89" s="26" t="n">
        <x:v>268.01889</x:v>
      </x:c>
      <x:c r="Q89" s="26" t="n">
        <x:v>1.91858</x:v>
      </x:c>
      <x:c r="R89" s="26" t="n">
        <x:v>32.04</x:v>
      </x:c>
      <x:c r="S89" s="26" t="n">
        <x:v>268.04641</x:v>
      </x:c>
      <x:c r="T89" s="26" t="n">
        <x:v>0.14297</x:v>
      </x:c>
      <x:c r="U89" s="26" t="n">
        <x:v>268.07833</x:v>
      </x:c>
      <x:c r="V89" s="26" t="n">
        <x:v>1.11905</x:v>
      </x:c>
      <x:c r="W89" s="26" t="n">
        <x:v>268.01889</x:v>
      </x:c>
      <x:c r="X89" s="26" t="n">
        <x:v>1.91858</x:v>
      </x:c>
      <x:c r="Y89" s="26" t="n">
        <x:v>268.03407</x:v>
      </x:c>
      <x:c r="Z89" s="26" t="n">
        <x:v>0.03407</x:v>
      </x:c>
      <x:c r="AA89" s="26" t="n">
        <x:v>0.14297</x:v>
      </x:c>
      <x:c r="AB89" s="26" t="n">
        <x:v>1.11905</x:v>
      </x:c>
      <x:c r="AC89" s="26" t="n">
        <x:v>1.91858</x:v>
      </x:c>
      <x:c r="AD89" s="26" t="n">
        <x:v>2.22569</x:v>
      </x:c>
      <x:c r="AE89" s="26" t="n">
        <x:v>30.73</x:v>
      </x:c>
      <x:c r="AF89" s="26" t="str">
        <x:v>Z</x:v>
      </x:c>
      <x:c r="AG89" s="26" t="n">
        <x:v>0.17673</x:v>
      </x:c>
      <x:c r="AH89" s="26" t="n">
        <x:v>-127.22</x:v>
      </x:c>
      <x:c r="AI89" s="26" t="n">
        <x:v>0.151</x:v>
      </x:c>
      <x:c r="AJ89" s="26" t="n">
        <x:v>16.57</x:v>
      </x:c>
      <x:c r="AK89" s="26" t="n">
        <x:v>1.22826</x:v>
      </x:c>
      <x:c r="AL89" s="26" t="n">
        <x:v>-154.28</x:v>
      </x:c>
      <x:c r="AM89" s="26" t="n">
        <x:v>0.537</x:v>
      </x:c>
      <x:c r="AN89" s="26" t="n">
        <x:v>13.7</x:v>
      </x:c>
      <x:c r="AO89" s="26" t="n">
        <x:v>2.2957</x:v>
      </x:c>
      <x:c r="AP89" s="26" t="n">
        <x:v>126.08</x:v>
      </x:c>
      <x:c r="AQ89" s="26" t="n">
        <x:v>0.849</x:v>
      </x:c>
      <x:c r="AR89" s="26" t="n">
        <x:v>1.13</x:v>
      </x:c>
      <x:c r="AS89" s="26" t="n">
        <x:v>2.61327</x:v>
      </x:c>
      <x:c r="AT89" s="26" t="n">
        <x:v>2.95</x:v>
      </x:c>
      <x:c r="AU89" s="26" t="n">
        <x:v>0.0676</x:v>
      </x:c>
      <x:c r="AV89" s="26" t="n">
        <x:v>0.47</x:v>
      </x:c>
      <x:c r="AW89" s="26" t="n">
        <x:v>0.8785</x:v>
      </x:c>
      <x:c r="AX89" s="26" t="n">
        <x:v>1</x:v>
      </x:c>
    </x:row>
    <x:row r="90">
      <x:c r="A90" s="26" t="str">
        <x:v>K3</x:v>
      </x:c>
      <x:c r="B90" s="26" t="str">
        <x:v>Horizontal / flat</x:v>
      </x:c>
      <x:c r="C90" s="26" t="str">
        <x:v>High</x:v>
      </x:c>
      <x:c r="D90" s="26" t="str">
        <x:v>Pasted text (3).txt</x:v>
      </x:c>
      <x:c r="E90" s="26" t="str">
        <x:v>GAIN_SWEEP</x:v>
      </x:c>
      <x:c r="F90" s="26" t="n">
        <x:v>14</x:v>
      </x:c>
      <x:c r="G90" s="26" t="n">
        <x:v>1</x:v>
      </x:c>
      <x:c r="H90" s="26" t="n">
        <x:v>268</x:v>
      </x:c>
      <x:c r="I90" s="26" t="n">
        <x:v>14</x:v>
      </x:c>
      <x:c r="J90" s="26" t="n">
        <x:v>240.28407</x:v>
      </x:c>
      <x:c r="K90" s="26" t="n">
        <x:v>0.29373</x:v>
      </x:c>
      <x:c r="L90" s="26" t="n">
        <x:v>17.79</x:v>
      </x:c>
      <x:c r="M90" s="26" t="n">
        <x:v>268.02624</x:v>
      </x:c>
      <x:c r="N90" s="26" t="n">
        <x:v>1.17765</x:v>
      </x:c>
      <x:c r="O90" s="26" t="n">
        <x:v>23.26</x:v>
      </x:c>
      <x:c r="P90" s="26" t="n">
        <x:v>268.02472</x:v>
      </x:c>
      <x:c r="Q90" s="26" t="n">
        <x:v>2.18406</x:v>
      </x:c>
      <x:c r="R90" s="26" t="n">
        <x:v>32.3</x:v>
      </x:c>
      <x:c r="S90" s="26" t="n">
        <x:v>268.07489</x:v>
      </x:c>
      <x:c r="T90" s="26" t="n">
        <x:v>0.17358</x:v>
      </x:c>
      <x:c r="U90" s="26" t="n">
        <x:v>268.02624</x:v>
      </x:c>
      <x:c r="V90" s="26" t="n">
        <x:v>1.17765</x:v>
      </x:c>
      <x:c r="W90" s="26" t="n">
        <x:v>268.02472</x:v>
      </x:c>
      <x:c r="X90" s="26" t="n">
        <x:v>2.18406</x:v>
      </x:c>
      <x:c r="Y90" s="26" t="n">
        <x:v>268.02531</x:v>
      </x:c>
      <x:c r="Z90" s="26" t="n">
        <x:v>0.02531</x:v>
      </x:c>
      <x:c r="AA90" s="26" t="n">
        <x:v>0.17358</x:v>
      </x:c>
      <x:c r="AB90" s="26" t="n">
        <x:v>1.17765</x:v>
      </x:c>
      <x:c r="AC90" s="26" t="n">
        <x:v>2.18406</x:v>
      </x:c>
      <x:c r="AD90" s="26" t="n">
        <x:v>2.48739</x:v>
      </x:c>
      <x:c r="AE90" s="26" t="n">
        <x:v>33.33</x:v>
      </x:c>
      <x:c r="AF90" s="26" t="str">
        <x:v>Z</x:v>
      </x:c>
      <x:c r="AG90" s="26" t="n">
        <x:v>0.18635</x:v>
      </x:c>
      <x:c r="AH90" s="26" t="n">
        <x:v>-120.16</x:v>
      </x:c>
      <x:c r="AI90" s="26" t="n">
        <x:v>0.164</x:v>
      </x:c>
      <x:c r="AJ90" s="26" t="n">
        <x:v>8.76</x:v>
      </x:c>
      <x:c r="AK90" s="26" t="n">
        <x:v>1.49838</x:v>
      </x:c>
      <x:c r="AL90" s="26" t="n">
        <x:v>-158.82</x:v>
      </x:c>
      <x:c r="AM90" s="26" t="n">
        <x:v>0.565</x:v>
      </x:c>
      <x:c r="AN90" s="26" t="n">
        <x:v>9.6</x:v>
      </x:c>
      <x:c r="AO90" s="26" t="n">
        <x:v>2.66231</x:v>
      </x:c>
      <x:c r="AP90" s="26" t="n">
        <x:v>124.02</x:v>
      </x:c>
      <x:c r="AQ90" s="26" t="n">
        <x:v>0.854</x:v>
      </x:c>
      <x:c r="AR90" s="26" t="n">
        <x:v>1.31</x:v>
      </x:c>
      <x:c r="AS90" s="26" t="n">
        <x:v>3.06293</x:v>
      </x:c>
      <x:c r="AT90" s="26" t="n">
        <x:v>2.29</x:v>
      </x:c>
      <x:c r="AU90" s="26" t="n">
        <x:v>0.0608</x:v>
      </x:c>
      <x:c r="AV90" s="26" t="n">
        <x:v>0.4892</x:v>
      </x:c>
      <x:c r="AW90" s="26" t="n">
        <x:v>0.8692</x:v>
      </x:c>
      <x:c r="AX90" s="26" t="n">
        <x:v>1</x:v>
      </x:c>
    </x:row>
    <x:row r="91">
      <x:c r="A91" s="26" t="str">
        <x:v>K3</x:v>
      </x:c>
      <x:c r="B91" s="26" t="str">
        <x:v>Horizontal / flat</x:v>
      </x:c>
      <x:c r="C91" s="26" t="str">
        <x:v>High</x:v>
      </x:c>
      <x:c r="D91" s="26" t="str">
        <x:v>Pasted text (3).txt</x:v>
      </x:c>
      <x:c r="E91" s="26" t="str">
        <x:v>GAIN_SWEEP</x:v>
      </x:c>
      <x:c r="F91" s="26" t="n">
        <x:v>14</x:v>
      </x:c>
      <x:c r="G91" s="26" t="n">
        <x:v>2</x:v>
      </x:c>
      <x:c r="H91" s="26" t="n">
        <x:v>268</x:v>
      </x:c>
      <x:c r="I91" s="26" t="n">
        <x:v>14</x:v>
      </x:c>
      <x:c r="J91" s="26" t="n">
        <x:v>480.44819</x:v>
      </x:c>
      <x:c r="K91" s="26" t="n">
        <x:v>0.30604</x:v>
      </x:c>
      <x:c r="L91" s="26" t="n">
        <x:v>17.85</x:v>
      </x:c>
      <x:c r="M91" s="26" t="n">
        <x:v>268.04801</x:v>
      </x:c>
      <x:c r="N91" s="26" t="n">
        <x:v>1.28958</x:v>
      </x:c>
      <x:c r="O91" s="26" t="n">
        <x:v>24.04</x:v>
      </x:c>
      <x:c r="P91" s="26" t="n">
        <x:v>268.01603</x:v>
      </x:c>
      <x:c r="Q91" s="26" t="n">
        <x:v>2.18569</x:v>
      </x:c>
      <x:c r="R91" s="26" t="n">
        <x:v>32.2</x:v>
      </x:c>
      <x:c r="S91" s="26" t="n">
        <x:v>268.04329</x:v>
      </x:c>
      <x:c r="T91" s="26" t="n">
        <x:v>0.15256</x:v>
      </x:c>
      <x:c r="U91" s="26" t="n">
        <x:v>268.04801</x:v>
      </x:c>
      <x:c r="V91" s="26" t="n">
        <x:v>1.28958</x:v>
      </x:c>
      <x:c r="W91" s="26" t="n">
        <x:v>268.01603</x:v>
      </x:c>
      <x:c r="X91" s="26" t="n">
        <x:v>2.18569</x:v>
      </x:c>
      <x:c r="Y91" s="26" t="n">
        <x:v>268.02434</x:v>
      </x:c>
      <x:c r="Z91" s="26" t="n">
        <x:v>0.02434</x:v>
      </x:c>
      <x:c r="AA91" s="26" t="n">
        <x:v>0.15256</x:v>
      </x:c>
      <x:c r="AB91" s="26" t="n">
        <x:v>1.28958</x:v>
      </x:c>
      <x:c r="AC91" s="26" t="n">
        <x:v>2.18569</x:v>
      </x:c>
      <x:c r="AD91" s="26" t="n">
        <x:v>2.54235</x:v>
      </x:c>
      <x:c r="AE91" s="26" t="n">
        <x:v>32.24</x:v>
      </x:c>
      <x:c r="AF91" s="26" t="str">
        <x:v>Z</x:v>
      </x:c>
      <x:c r="AG91" s="26" t="n">
        <x:v>0.16624</x:v>
      </x:c>
      <x:c r="AH91" s="26" t="n">
        <x:v>-107.28</x:v>
      </x:c>
      <x:c r="AI91" s="26" t="n">
        <x:v>0.14</x:v>
      </x:c>
      <x:c r="AJ91" s="26" t="n">
        <x:v>23.93</x:v>
      </x:c>
      <x:c r="AK91" s="26" t="n">
        <x:v>1.6514</x:v>
      </x:c>
      <x:c r="AL91" s="26" t="n">
        <x:v>-159.35</x:v>
      </x:c>
      <x:c r="AM91" s="26" t="n">
        <x:v>0.598</x:v>
      </x:c>
      <x:c r="AN91" s="26" t="n">
        <x:v>7.56</x:v>
      </x:c>
      <x:c r="AO91" s="26" t="n">
        <x:v>2.67129</x:v>
      </x:c>
      <x:c r="AP91" s="26" t="n">
        <x:v>125.03</x:v>
      </x:c>
      <x:c r="AQ91" s="26" t="n">
        <x:v>0.853</x:v>
      </x:c>
      <x:c r="AR91" s="26" t="n">
        <x:v>1.47</x:v>
      </x:c>
      <x:c r="AS91" s="26" t="n">
        <x:v>3.14658</x:v>
      </x:c>
      <x:c r="AT91" s="26" t="n">
        <x:v>2.39</x:v>
      </x:c>
      <x:c r="AU91" s="26" t="n">
        <x:v>0.0528</x:v>
      </x:c>
      <x:c r="AV91" s="26" t="n">
        <x:v>0.5248</x:v>
      </x:c>
      <x:c r="AW91" s="26" t="n">
        <x:v>0.849</x:v>
      </x:c>
      <x:c r="AX91" s="26" t="n">
        <x:v>1</x:v>
      </x:c>
    </x:row>
    <x:row r="92">
      <x:c r="A92" s="26" t="str">
        <x:v>K3</x:v>
      </x:c>
      <x:c r="B92" s="26" t="str">
        <x:v>Horizontal / flat</x:v>
      </x:c>
      <x:c r="C92" s="26" t="str">
        <x:v>High</x:v>
      </x:c>
      <x:c r="D92" s="26" t="str">
        <x:v>Pasted text (3).txt</x:v>
      </x:c>
      <x:c r="E92" s="26" t="str">
        <x:v>GAIN_SWEEP</x:v>
      </x:c>
      <x:c r="F92" s="26" t="n">
        <x:v>15</x:v>
      </x:c>
      <x:c r="G92" s="26" t="n">
        <x:v>1</x:v>
      </x:c>
      <x:c r="H92" s="26" t="n">
        <x:v>268</x:v>
      </x:c>
      <x:c r="I92" s="26" t="n">
        <x:v>15</x:v>
      </x:c>
      <x:c r="J92" s="26" t="n">
        <x:v>240.39717</x:v>
      </x:c>
      <x:c r="K92" s="26" t="n">
        <x:v>0.29597</x:v>
      </x:c>
      <x:c r="L92" s="26" t="n">
        <x:v>17.99</x:v>
      </x:c>
      <x:c r="M92" s="26" t="n">
        <x:v>268.01596</x:v>
      </x:c>
      <x:c r="N92" s="26" t="n">
        <x:v>1.54125</x:v>
      </x:c>
      <x:c r="O92" s="26" t="n">
        <x:v>25.15</x:v>
      </x:c>
      <x:c r="P92" s="26" t="n">
        <x:v>268.03139</x:v>
      </x:c>
      <x:c r="Q92" s="26" t="n">
        <x:v>2.54239</x:v>
      </x:c>
      <x:c r="R92" s="26" t="n">
        <x:v>33.41</x:v>
      </x:c>
      <x:c r="S92" s="26" t="n">
        <x:v>268.07809</x:v>
      </x:c>
      <x:c r="T92" s="26" t="n">
        <x:v>0.17551</x:v>
      </x:c>
      <x:c r="U92" s="26" t="n">
        <x:v>268.01596</x:v>
      </x:c>
      <x:c r="V92" s="26" t="n">
        <x:v>1.54125</x:v>
      </x:c>
      <x:c r="W92" s="26" t="n">
        <x:v>268.03139</x:v>
      </x:c>
      <x:c r="X92" s="26" t="n">
        <x:v>2.54239</x:v>
      </x:c>
      <x:c r="Y92" s="26" t="n">
        <x:v>268.02739</x:v>
      </x:c>
      <x:c r="Z92" s="26" t="n">
        <x:v>0.02739</x:v>
      </x:c>
      <x:c r="AA92" s="26" t="n">
        <x:v>0.17551</x:v>
      </x:c>
      <x:c r="AB92" s="26" t="n">
        <x:v>1.54125</x:v>
      </x:c>
      <x:c r="AC92" s="26" t="n">
        <x:v>2.54239</x:v>
      </x:c>
      <x:c r="AD92" s="26" t="n">
        <x:v>2.97826</x:v>
      </x:c>
      <x:c r="AE92" s="26" t="n">
        <x:v>31.16</x:v>
      </x:c>
      <x:c r="AF92" s="26" t="str">
        <x:v>Z</x:v>
      </x:c>
      <x:c r="AG92" s="26" t="n">
        <x:v>0.20611</x:v>
      </x:c>
      <x:c r="AH92" s="26" t="n">
        <x:v>-98.29</x:v>
      </x:c>
      <x:c r="AI92" s="26" t="n">
        <x:v>0.192</x:v>
      </x:c>
      <x:c r="AJ92" s="26" t="n">
        <x:v>7.01</x:v>
      </x:c>
      <x:c r="AK92" s="26" t="n">
        <x:v>1.92209</x:v>
      </x:c>
      <x:c r="AL92" s="26" t="n">
        <x:v>-165.62</x:v>
      </x:c>
      <x:c r="AM92" s="26" t="n">
        <x:v>0.633</x:v>
      </x:c>
      <x:c r="AN92" s="26" t="n">
        <x:v>2.45</x:v>
      </x:c>
      <x:c r="AO92" s="26" t="n">
        <x:v>3.04224</x:v>
      </x:c>
      <x:c r="AP92" s="26" t="n">
        <x:v>124.4</x:v>
      </x:c>
      <x:c r="AQ92" s="26" t="n">
        <x:v>0.865</x:v>
      </x:c>
      <x:c r="AR92" s="26" t="n">
        <x:v>0.81</x:v>
      </x:c>
      <x:c r="AS92" s="26" t="n">
        <x:v>3.6047</x:v>
      </x:c>
      <x:c r="AT92" s="26" t="n">
        <x:v>0.8</x:v>
      </x:c>
      <x:c r="AU92" s="26" t="n">
        <x:v>0.0572</x:v>
      </x:c>
      <x:c r="AV92" s="26" t="n">
        <x:v>0.5332</x:v>
      </x:c>
      <x:c r="AW92" s="26" t="n">
        <x:v>0.844</x:v>
      </x:c>
      <x:c r="AX92" s="26" t="n">
        <x:v>1</x:v>
      </x:c>
    </x:row>
    <x:row r="93">
      <x:c r="A93" s="26" t="str">
        <x:v>K3</x:v>
      </x:c>
      <x:c r="B93" s="26" t="str">
        <x:v>Horizontal / flat</x:v>
      </x:c>
      <x:c r="C93" s="26" t="str">
        <x:v>High</x:v>
      </x:c>
      <x:c r="D93" s="26" t="str">
        <x:v>Pasted text (3).txt</x:v>
      </x:c>
      <x:c r="E93" s="26" t="str">
        <x:v>GAIN_SWEEP</x:v>
      </x:c>
      <x:c r="F93" s="26" t="n">
        <x:v>15</x:v>
      </x:c>
      <x:c r="G93" s="26" t="n">
        <x:v>2</x:v>
      </x:c>
      <x:c r="H93" s="26" t="n">
        <x:v>268</x:v>
      </x:c>
      <x:c r="I93" s="26" t="n">
        <x:v>15</x:v>
      </x:c>
      <x:c r="J93" s="26" t="n">
        <x:v>240.42202</x:v>
      </x:c>
      <x:c r="K93" s="26" t="n">
        <x:v>0.30312</x:v>
      </x:c>
      <x:c r="L93" s="26" t="n">
        <x:v>18.16</x:v>
      </x:c>
      <x:c r="M93" s="26" t="n">
        <x:v>268.03278</x:v>
      </x:c>
      <x:c r="N93" s="26" t="n">
        <x:v>1.64593</x:v>
      </x:c>
      <x:c r="O93" s="26" t="n">
        <x:v>25.74</x:v>
      </x:c>
      <x:c r="P93" s="26" t="n">
        <x:v>268.02876</x:v>
      </x:c>
      <x:c r="Q93" s="26" t="n">
        <x:v>2.55972</x:v>
      </x:c>
      <x:c r="R93" s="26" t="n">
        <x:v>32.93</x:v>
      </x:c>
      <x:c r="S93" s="26" t="n">
        <x:v>268.05391</x:v>
      </x:c>
      <x:c r="T93" s="26" t="n">
        <x:v>0.15066</x:v>
      </x:c>
      <x:c r="U93" s="26" t="n">
        <x:v>268.03278</x:v>
      </x:c>
      <x:c r="V93" s="26" t="n">
        <x:v>1.64593</x:v>
      </x:c>
      <x:c r="W93" s="26" t="n">
        <x:v>268.02876</x:v>
      </x:c>
      <x:c r="X93" s="26" t="n">
        <x:v>2.55972</x:v>
      </x:c>
      <x:c r="Y93" s="26" t="n">
        <x:v>268.02999</x:v>
      </x:c>
      <x:c r="Z93" s="26" t="n">
        <x:v>0.02999</x:v>
      </x:c>
      <x:c r="AA93" s="26" t="n">
        <x:v>0.15066</x:v>
      </x:c>
      <x:c r="AB93" s="26" t="n">
        <x:v>1.64593</x:v>
      </x:c>
      <x:c r="AC93" s="26" t="n">
        <x:v>2.55972</x:v>
      </x:c>
      <x:c r="AD93" s="26" t="n">
        <x:v>3.04696</x:v>
      </x:c>
      <x:c r="AE93" s="26" t="n">
        <x:v>32.27</x:v>
      </x:c>
      <x:c r="AF93" s="26" t="str">
        <x:v>Z</x:v>
      </x:c>
      <x:c r="AG93" s="26" t="n">
        <x:v>0.20679</x:v>
      </x:c>
      <x:c r="AH93" s="26" t="n">
        <x:v>-70.73</x:v>
      </x:c>
      <x:c r="AI93" s="26" t="n">
        <x:v>0.193</x:v>
      </x:c>
      <x:c r="AJ93" s="26" t="n">
        <x:v>12.22</x:v>
      </x:c>
      <x:c r="AK93" s="26" t="n">
        <x:v>2.04276</x:v>
      </x:c>
      <x:c r="AL93" s="26" t="n">
        <x:v>-165.98</x:v>
      </x:c>
      <x:c r="AM93" s="26" t="n">
        <x:v>0.649</x:v>
      </x:c>
      <x:c r="AN93" s="26" t="n">
        <x:v>2.22</x:v>
      </x:c>
      <x:c r="AO93" s="26" t="n">
        <x:v>3.14532</x:v>
      </x:c>
      <x:c r="AP93" s="26" t="n">
        <x:v>124.08</x:v>
      </x:c>
      <x:c r="AQ93" s="26" t="n">
        <x:v>0.869</x:v>
      </x:c>
      <x:c r="AR93" s="26" t="n">
        <x:v>1.26</x:v>
      </x:c>
      <x:c r="AS93" s="26" t="n">
        <x:v>3.75643</x:v>
      </x:c>
      <x:c r="AT93" s="26" t="n">
        <x:v>1.07</x:v>
      </x:c>
      <x:c r="AU93" s="26" t="n">
        <x:v>0.055</x:v>
      </x:c>
      <x:c r="AV93" s="26" t="n">
        <x:v>0.5438</x:v>
      </x:c>
      <x:c r="AW93" s="26" t="n">
        <x:v>0.8373</x:v>
      </x:c>
      <x:c r="AX93" s="26" t="n">
        <x:v>1</x:v>
      </x:c>
    </x:row>
    <x:row r="94">
      <x:c r="A94" s="26" t="str">
        <x:v>K4</x:v>
      </x:c>
      <x:c r="B94" s="26" t="str">
        <x:v>Horizontal / flat</x:v>
      </x:c>
      <x:c r="C94" s="26" t="str">
        <x:v>Highest tested</x:v>
      </x:c>
      <x:c r="D94" s="26" t="str">
        <x:v>Pasted text (4).txt</x:v>
      </x:c>
      <x:c r="E94" s="26" t="str">
        <x:v>GAIN_SWEEP</x:v>
      </x:c>
      <x:c r="F94" s="26" t="n">
        <x:v>1</x:v>
      </x:c>
      <x:c r="G94" s="26" t="n">
        <x:v>1</x:v>
      </x:c>
      <x:c r="H94" s="26" t="n">
        <x:v>268</x:v>
      </x:c>
      <x:c r="I94" s="26" t="n">
        <x:v>1</x:v>
      </x:c>
      <x:c r="J94" s="26" t="n">
        <x:v>481.53459</x:v>
      </x:c>
      <x:c r="K94" s="26" t="n">
        <x:v>0.9055</x:v>
      </x:c>
      <x:c r="L94" s="26" t="n">
        <x:v>29.17</x:v>
      </x:c>
      <x:c r="M94" s="26" t="n">
        <x:v>481.5232</x:v>
      </x:c>
      <x:c r="N94" s="26" t="n">
        <x:v>0.78441</x:v>
      </x:c>
      <x:c r="O94" s="26" t="n">
        <x:v>24.28</x:v>
      </x:c>
      <x:c r="P94" s="26" t="n">
        <x:v>535.99433</x:v>
      </x:c>
      <x:c r="Q94" s="26" t="n">
        <x:v>0.67636</x:v>
      </x:c>
      <x:c r="R94" s="26" t="n">
        <x:v>25.91</x:v>
      </x:c>
      <x:c r="S94" s="26" t="n">
        <x:v>270.23963</x:v>
      </x:c>
      <x:c r="T94" s="26" t="n">
        <x:v>0.02243</x:v>
      </x:c>
      <x:c r="U94" s="26" t="n">
        <x:v>265.60503</x:v>
      </x:c>
      <x:c r="V94" s="26" t="n">
        <x:v>0.06821</x:v>
      </x:c>
      <x:c r="W94" s="26" t="n">
        <x:v>267.15368</x:v>
      </x:c>
      <x:c r="X94" s="26" t="n">
        <x:v>0.03342</x:v>
      </x:c>
      <x:c r="Y94" s="26" t="n">
        <x:v>265.6952</x:v>
      </x:c>
      <x:c r="Z94" s="26" t="n">
        <x:v>-2.3048</x:v>
      </x:c>
      <x:c r="AA94" s="26" t="n">
        <x:v>0.01619</x:v>
      </x:c>
      <x:c r="AB94" s="26" t="n">
        <x:v>0.06821</x:v>
      </x:c>
      <x:c r="AC94" s="26" t="n">
        <x:v>0.02423</x:v>
      </x:c>
      <x:c r="AD94" s="26" t="n">
        <x:v>0.07417</x:v>
      </x:c>
      <x:c r="AE94" s="26" t="n">
        <x:v>7.65</x:v>
      </x:c>
      <x:c r="AF94" s="26" t="str">
        <x:v>Y</x:v>
      </x:c>
      <x:c r="AG94" s="26" t="n">
        <x:v>0.03046</x:v>
      </x:c>
      <x:c r="AH94" s="26" t="n">
        <x:v>-38.87</x:v>
      </x:c>
      <x:c r="AI94" s="26" t="n">
        <x:v>0.021</x:v>
      </x:c>
      <x:c r="AJ94" s="26" t="n">
        <x:v>54.98</x:v>
      </x:c>
      <x:c r="AK94" s="26" t="n">
        <x:v>0.08434</x:v>
      </x:c>
      <x:c r="AL94" s="26" t="n">
        <x:v>-2.84</x:v>
      </x:c>
      <x:c r="AM94" s="26" t="n">
        <x:v>0.048</x:v>
      </x:c>
      <x:c r="AN94" s="26" t="n">
        <x:v>37.4</x:v>
      </x:c>
      <x:c r="AO94" s="26" t="n">
        <x:v>0.03365</x:v>
      </x:c>
      <x:c r="AP94" s="26" t="n">
        <x:v>7</x:v>
      </x:c>
      <x:c r="AQ94" s="26" t="n">
        <x:v>0.026</x:v>
      </x:c>
      <x:c r="AR94" s="26" t="n">
        <x:v>49.21</x:v>
      </x:c>
      <x:c r="AS94" s="26" t="n">
        <x:v>0.09955</x:v>
      </x:c>
      <x:c r="AT94" s="26" t="n">
        <x:v>25.17</x:v>
      </x:c>
      <x:c r="AU94" s="26" t="n">
        <x:v>0.306</x:v>
      </x:c>
      <x:c r="AV94" s="26" t="n">
        <x:v>0.8472</x:v>
      </x:c>
      <x:c r="AW94" s="26" t="n">
        <x:v>0.338</x:v>
      </x:c>
      <x:c r="AX94" s="26" t="n">
        <x:v>1</x:v>
      </x:c>
    </x:row>
    <x:row r="95">
      <x:c r="A95" s="26" t="str">
        <x:v>K4</x:v>
      </x:c>
      <x:c r="B95" s="26" t="str">
        <x:v>Horizontal / flat</x:v>
      </x:c>
      <x:c r="C95" s="26" t="str">
        <x:v>Highest tested</x:v>
      </x:c>
      <x:c r="D95" s="26" t="str">
        <x:v>Pasted text (4).txt</x:v>
      </x:c>
      <x:c r="E95" s="26" t="str">
        <x:v>GAIN_SWEEP</x:v>
      </x:c>
      <x:c r="F95" s="26" t="n">
        <x:v>1</x:v>
      </x:c>
      <x:c r="G95" s="26" t="n">
        <x:v>2</x:v>
      </x:c>
      <x:c r="H95" s="26" t="n">
        <x:v>268</x:v>
      </x:c>
      <x:c r="I95" s="26" t="n">
        <x:v>1</x:v>
      </x:c>
      <x:c r="J95" s="26" t="n">
        <x:v>480.67158</x:v>
      </x:c>
      <x:c r="K95" s="26" t="n">
        <x:v>0.86888</x:v>
      </x:c>
      <x:c r="L95" s="26" t="n">
        <x:v>28.7</x:v>
      </x:c>
      <x:c r="M95" s="26" t="n">
        <x:v>480.66394</x:v>
      </x:c>
      <x:c r="N95" s="26" t="n">
        <x:v>0.75969</x:v>
      </x:c>
      <x:c r="O95" s="26" t="n">
        <x:v>23.96</x:v>
      </x:c>
      <x:c r="P95" s="26" t="n">
        <x:v>535.98218</x:v>
      </x:c>
      <x:c r="Q95" s="26" t="n">
        <x:v>0.66694</x:v>
      </x:c>
      <x:c r="R95" s="26" t="n">
        <x:v>25.61</x:v>
      </x:c>
      <x:c r="S95" s="26" t="n">
        <x:v>263.88589</x:v>
      </x:c>
      <x:c r="T95" s="26" t="n">
        <x:v>0.02861</x:v>
      </x:c>
      <x:c r="U95" s="26" t="n">
        <x:v>267.42615</x:v>
      </x:c>
      <x:c r="V95" s="26" t="n">
        <x:v>0.06317</x:v>
      </x:c>
      <x:c r="W95" s="26" t="n">
        <x:v>262.9318</x:v>
      </x:c>
      <x:c r="X95" s="26" t="n">
        <x:v>0.02746</x:v>
      </x:c>
      <x:c r="Y95" s="26" t="n">
        <x:v>267.31347</x:v>
      </x:c>
      <x:c r="Z95" s="26" t="n">
        <x:v>-0.68653</x:v>
      </x:c>
      <x:c r="AA95" s="26" t="n">
        <x:v>0.01353</x:v>
      </x:c>
      <x:c r="AB95" s="26" t="n">
        <x:v>0.06317</x:v>
      </x:c>
      <x:c r="AC95" s="26" t="n">
        <x:v>0.01023</x:v>
      </x:c>
      <x:c r="AD95" s="26" t="n">
        <x:v>0.0654</x:v>
      </x:c>
      <x:c r="AE95" s="26" t="n">
        <x:v>6.86</x:v>
      </x:c>
      <x:c r="AF95" s="26" t="str">
        <x:v>Y</x:v>
      </x:c>
      <x:c r="AG95" s="26" t="n">
        <x:v>0.02087</x:v>
      </x:c>
      <x:c r="AH95" s="26" t="n">
        <x:v>70.13</x:v>
      </x:c>
      <x:c r="AI95" s="26" t="n">
        <x:v>0.015</x:v>
      </x:c>
      <x:c r="AJ95" s="26" t="n">
        <x:v>56.69</x:v>
      </x:c>
      <x:c r="AK95" s="26" t="n">
        <x:v>0.06737</x:v>
      </x:c>
      <x:c r="AL95" s="26" t="n">
        <x:v>159.84</x:v>
      </x:c>
      <x:c r="AM95" s="26" t="n">
        <x:v>0.038</x:v>
      </x:c>
      <x:c r="AN95" s="26" t="n">
        <x:v>54.7</x:v>
      </x:c>
      <x:c r="AO95" s="26" t="n">
        <x:v>0.02382</x:v>
      </x:c>
      <x:c r="AP95" s="26" t="n">
        <x:v>159.08</x:v>
      </x:c>
      <x:c r="AQ95" s="26" t="n">
        <x:v>0.018</x:v>
      </x:c>
      <x:c r="AR95" s="26" t="n">
        <x:v>93.19</x:v>
      </x:c>
      <x:c r="AS95" s="26" t="n">
        <x:v>0.07835</x:v>
      </x:c>
      <x:c r="AT95" s="26" t="n">
        <x:v>45.01</x:v>
      </x:c>
      <x:c r="AU95" s="26" t="n">
        <x:v>0.2663</x:v>
      </x:c>
      <x:c r="AV95" s="26" t="n">
        <x:v>0.8598</x:v>
      </x:c>
      <x:c r="AW95" s="26" t="n">
        <x:v>0.3041</x:v>
      </x:c>
      <x:c r="AX95" s="26" t="n">
        <x:v>1</x:v>
      </x:c>
    </x:row>
    <x:row r="96">
      <x:c r="A96" s="26" t="str">
        <x:v>K4</x:v>
      </x:c>
      <x:c r="B96" s="26" t="str">
        <x:v>Horizontal / flat</x:v>
      </x:c>
      <x:c r="C96" s="26" t="str">
        <x:v>Highest tested</x:v>
      </x:c>
      <x:c r="D96" s="26" t="str">
        <x:v>Pasted text (4).txt</x:v>
      </x:c>
      <x:c r="E96" s="26" t="str">
        <x:v>GAIN_SWEEP</x:v>
      </x:c>
      <x:c r="F96" s="26" t="n">
        <x:v>2</x:v>
      </x:c>
      <x:c r="G96" s="26" t="n">
        <x:v>1</x:v>
      </x:c>
      <x:c r="H96" s="26" t="n">
        <x:v>268</x:v>
      </x:c>
      <x:c r="I96" s="26" t="n">
        <x:v>2</x:v>
      </x:c>
      <x:c r="J96" s="26" t="n">
        <x:v>480.92679</x:v>
      </x:c>
      <x:c r="K96" s="26" t="n">
        <x:v>0.58221</x:v>
      </x:c>
      <x:c r="L96" s="26" t="n">
        <x:v>24.1</x:v>
      </x:c>
      <x:c r="M96" s="26" t="n">
        <x:v>721.31759</x:v>
      </x:c>
      <x:c r="N96" s="26" t="n">
        <x:v>0.64802</x:v>
      </x:c>
      <x:c r="O96" s="26" t="n">
        <x:v>19.89</x:v>
      </x:c>
      <x:c r="P96" s="26" t="n">
        <x:v>508.28504</x:v>
      </x:c>
      <x:c r="Q96" s="26" t="n">
        <x:v>0.48979</x:v>
      </x:c>
      <x:c r="R96" s="26" t="n">
        <x:v>22.31</x:v>
      </x:c>
      <x:c r="S96" s="26" t="n">
        <x:v>268.75432</x:v>
      </x:c>
      <x:c r="T96" s="26" t="n">
        <x:v>0.0261</x:v>
      </x:c>
      <x:c r="U96" s="26" t="n">
        <x:v>269.00214</x:v>
      </x:c>
      <x:c r="V96" s="26" t="n">
        <x:v>0.21824</x:v>
      </x:c>
      <x:c r="W96" s="26" t="n">
        <x:v>267.74804</x:v>
      </x:c>
      <x:c r="X96" s="26" t="n">
        <x:v>0.10396</x:v>
      </x:c>
      <x:c r="Y96" s="26" t="n">
        <x:v>268.82635</x:v>
      </x:c>
      <x:c r="Z96" s="26" t="n">
        <x:v>0.82635</x:v>
      </x:c>
      <x:c r="AA96" s="26" t="n">
        <x:v>0.0261</x:v>
      </x:c>
      <x:c r="AB96" s="26" t="n">
        <x:v>0.21824</x:v>
      </x:c>
      <x:c r="AC96" s="26" t="n">
        <x:v>0.09198</x:v>
      </x:c>
      <x:c r="AD96" s="26" t="n">
        <x:v>0.23826</x:v>
      </x:c>
      <x:c r="AE96" s="26" t="n">
        <x:v>15.6</x:v>
      </x:c>
      <x:c r="AF96" s="26" t="str">
        <x:v>Y</x:v>
      </x:c>
      <x:c r="AG96" s="26" t="n">
        <x:v>0.02917</x:v>
      </x:c>
      <x:c r="AH96" s="26" t="n">
        <x:v>62.64</x:v>
      </x:c>
      <x:c r="AI96" s="26" t="n">
        <x:v>0.021</x:v>
      </x:c>
      <x:c r="AJ96" s="26" t="n">
        <x:v>76.81</x:v>
      </x:c>
      <x:c r="AK96" s="26" t="n">
        <x:v>0.19874</x:v>
      </x:c>
      <x:c r="AL96" s="26" t="n">
        <x:v>10.64</x:v>
      </x:c>
      <x:c r="AM96" s="26" t="n">
        <x:v>0.095</x:v>
      </x:c>
      <x:c r="AN96" s="26" t="n">
        <x:v>27.32</x:v>
      </x:c>
      <x:c r="AO96" s="26" t="n">
        <x:v>0.12625</x:v>
      </x:c>
      <x:c r="AP96" s="26" t="n">
        <x:v>150.41</x:v>
      </x:c>
      <x:c r="AQ96" s="26" t="n">
        <x:v>0.097</x:v>
      </x:c>
      <x:c r="AR96" s="26" t="n">
        <x:v>26.93</x:v>
      </x:c>
      <x:c r="AS96" s="26" t="n">
        <x:v>0.2404</x:v>
      </x:c>
      <x:c r="AT96" s="26" t="n">
        <x:v>21.69</x:v>
      </x:c>
      <x:c r="AU96" s="26" t="n">
        <x:v>0.1213</x:v>
      </x:c>
      <x:c r="AV96" s="26" t="n">
        <x:v>0.8267</x:v>
      </x:c>
      <x:c r="AW96" s="26" t="n">
        <x:v>0.5252</x:v>
      </x:c>
      <x:c r="AX96" s="26" t="n">
        <x:v>1</x:v>
      </x:c>
    </x:row>
    <x:row r="97">
      <x:c r="A97" s="26" t="str">
        <x:v>K4</x:v>
      </x:c>
      <x:c r="B97" s="26" t="str">
        <x:v>Horizontal / flat</x:v>
      </x:c>
      <x:c r="C97" s="26" t="str">
        <x:v>Highest tested</x:v>
      </x:c>
      <x:c r="D97" s="26" t="str">
        <x:v>Pasted text (4).txt</x:v>
      </x:c>
      <x:c r="E97" s="26" t="str">
        <x:v>GAIN_SWEEP</x:v>
      </x:c>
      <x:c r="F97" s="26" t="n">
        <x:v>2</x:v>
      </x:c>
      <x:c r="G97" s="26" t="n">
        <x:v>2</x:v>
      </x:c>
      <x:c r="H97" s="26" t="n">
        <x:v>268</x:v>
      </x:c>
      <x:c r="I97" s="26" t="n">
        <x:v>2</x:v>
      </x:c>
      <x:c r="J97" s="26" t="n">
        <x:v>480.83092</x:v>
      </x:c>
      <x:c r="K97" s="26" t="n">
        <x:v>0.56902</x:v>
      </x:c>
      <x:c r="L97" s="26" t="n">
        <x:v>23.66</x:v>
      </x:c>
      <x:c r="M97" s="26" t="n">
        <x:v>508.20164</x:v>
      </x:c>
      <x:c r="N97" s="26" t="n">
        <x:v>0.64981</x:v>
      </x:c>
      <x:c r="O97" s="26" t="n">
        <x:v>19.98</x:v>
      </x:c>
      <x:c r="P97" s="26" t="n">
        <x:v>508.2398</x:v>
      </x:c>
      <x:c r="Q97" s="26" t="n">
        <x:v>0.49249</x:v>
      </x:c>
      <x:c r="R97" s="26" t="n">
        <x:v>22.55</x:v>
      </x:c>
      <x:c r="S97" s="26" t="n">
        <x:v>271.80074</x:v>
      </x:c>
      <x:c r="T97" s="26" t="n">
        <x:v>0.02198</x:v>
      </x:c>
      <x:c r="U97" s="26" t="n">
        <x:v>268.79256</x:v>
      </x:c>
      <x:c r="V97" s="26" t="n">
        <x:v>0.20183</x:v>
      </x:c>
      <x:c r="W97" s="26" t="n">
        <x:v>268.0963</x:v>
      </x:c>
      <x:c r="X97" s="26" t="n">
        <x:v>0.09616</x:v>
      </x:c>
      <x:c r="Y97" s="26" t="n">
        <x:v>268.66784</x:v>
      </x:c>
      <x:c r="Z97" s="26" t="n">
        <x:v>0.66784</x:v>
      </x:c>
      <x:c r="AA97" s="26" t="n">
        <x:v>0.01738</x:v>
      </x:c>
      <x:c r="AB97" s="26" t="n">
        <x:v>0.20183</x:v>
      </x:c>
      <x:c r="AC97" s="26" t="n">
        <x:v>0.09616</x:v>
      </x:c>
      <x:c r="AD97" s="26" t="n">
        <x:v>0.22424</x:v>
      </x:c>
      <x:c r="AE97" s="26" t="n">
        <x:v>16.32</x:v>
      </x:c>
      <x:c r="AF97" s="26" t="str">
        <x:v>Y</x:v>
      </x:c>
      <x:c r="AG97" s="26" t="n">
        <x:v>0.02016</x:v>
      </x:c>
      <x:c r="AH97" s="26" t="n">
        <x:v>-75.5</x:v>
      </x:c>
      <x:c r="AI97" s="26" t="n">
        <x:v>0.015</x:v>
      </x:c>
      <x:c r="AJ97" s="26" t="n">
        <x:v>48.92</x:v>
      </x:c>
      <x:c r="AK97" s="26" t="n">
        <x:v>0.21575</x:v>
      </x:c>
      <x:c r="AL97" s="26" t="n">
        <x:v>-148.42</x:v>
      </x:c>
      <x:c r="AM97" s="26" t="n">
        <x:v>0.104</x:v>
      </x:c>
      <x:c r="AN97" s="26" t="n">
        <x:v>33.99</x:v>
      </x:c>
      <x:c r="AO97" s="26" t="n">
        <x:v>0.11102</x:v>
      </x:c>
      <x:c r="AP97" s="26" t="n">
        <x:v>151.45</x:v>
      </x:c>
      <x:c r="AQ97" s="26" t="n">
        <x:v>0.086</x:v>
      </x:c>
      <x:c r="AR97" s="26" t="n">
        <x:v>15.53</x:v>
      </x:c>
      <x:c r="AS97" s="26" t="n">
        <x:v>0.24454</x:v>
      </x:c>
      <x:c r="AT97" s="26" t="n">
        <x:v>29.27</x:v>
      </x:c>
      <x:c r="AU97" s="26" t="n">
        <x:v>0.0824</x:v>
      </x:c>
      <x:c r="AV97" s="26" t="n">
        <x:v>0.8823</x:v>
      </x:c>
      <x:c r="AW97" s="26" t="n">
        <x:v>0.454</x:v>
      </x:c>
      <x:c r="AX97" s="26" t="n">
        <x:v>1</x:v>
      </x:c>
    </x:row>
    <x:row r="98">
      <x:c r="A98" s="26" t="str">
        <x:v>K4</x:v>
      </x:c>
      <x:c r="B98" s="26" t="str">
        <x:v>Horizontal / flat</x:v>
      </x:c>
      <x:c r="C98" s="26" t="str">
        <x:v>Highest tested</x:v>
      </x:c>
      <x:c r="D98" s="26" t="str">
        <x:v>Pasted text (4).txt</x:v>
      </x:c>
      <x:c r="E98" s="26" t="str">
        <x:v>GAIN_SWEEP</x:v>
      </x:c>
      <x:c r="F98" s="26" t="n">
        <x:v>3</x:v>
      </x:c>
      <x:c r="G98" s="26" t="n">
        <x:v>1</x:v>
      </x:c>
      <x:c r="H98" s="26" t="n">
        <x:v>268</x:v>
      </x:c>
      <x:c r="I98" s="26" t="n">
        <x:v>3</x:v>
      </x:c>
      <x:c r="J98" s="26" t="n">
        <x:v>480.84787</x:v>
      </x:c>
      <x:c r="K98" s="26" t="n">
        <x:v>1.19969</x:v>
      </x:c>
      <x:c r="L98" s="26" t="n">
        <x:v>27.75</x:v>
      </x:c>
      <x:c r="M98" s="26" t="n">
        <x:v>480.87856</x:v>
      </x:c>
      <x:c r="N98" s="26" t="n">
        <x:v>0.98916</x:v>
      </x:c>
      <x:c r="O98" s="26" t="n">
        <x:v>22.98</x:v>
      </x:c>
      <x:c r="P98" s="26" t="n">
        <x:v>480.84888</x:v>
      </x:c>
      <x:c r="Q98" s="26" t="n">
        <x:v>0.53615</x:v>
      </x:c>
      <x:c r="R98" s="26" t="n">
        <x:v>22.33</x:v>
      </x:c>
      <x:c r="S98" s="26" t="n">
        <x:v>266.21776</x:v>
      </x:c>
      <x:c r="T98" s="26" t="n">
        <x:v>0.03199</x:v>
      </x:c>
      <x:c r="U98" s="26" t="n">
        <x:v>268.56836</x:v>
      </x:c>
      <x:c r="V98" s="26" t="n">
        <x:v>0.17674</x:v>
      </x:c>
      <x:c r="W98" s="26" t="n">
        <x:v>268.07363</x:v>
      </x:c>
      <x:c r="X98" s="26" t="n">
        <x:v>0.22178</x:v>
      </x:c>
      <x:c r="Y98" s="26" t="n">
        <x:v>268.23628</x:v>
      </x:c>
      <x:c r="Z98" s="26" t="n">
        <x:v>0.23628</x:v>
      </x:c>
      <x:c r="AA98" s="26" t="n">
        <x:v>0.01662</x:v>
      </x:c>
      <x:c r="AB98" s="26" t="n">
        <x:v>0.17674</x:v>
      </x:c>
      <x:c r="AC98" s="26" t="n">
        <x:v>0.22178</x:v>
      </x:c>
      <x:c r="AD98" s="26" t="n">
        <x:v>0.28408</x:v>
      </x:c>
      <x:c r="AE98" s="26" t="n">
        <x:v>16.1</x:v>
      </x:c>
      <x:c r="AF98" s="26" t="str">
        <x:v>Z</x:v>
      </x:c>
      <x:c r="AG98" s="26" t="n">
        <x:v>0.03462</x:v>
      </x:c>
      <x:c r="AH98" s="26" t="n">
        <x:v>-87.08</x:v>
      </x:c>
      <x:c r="AI98" s="26" t="n">
        <x:v>0.016</x:v>
      </x:c>
      <x:c r="AJ98" s="26" t="n">
        <x:v>62.52</x:v>
      </x:c>
      <x:c r="AK98" s="26" t="n">
        <x:v>0.17255</x:v>
      </x:c>
      <x:c r="AL98" s="26" t="n">
        <x:v>-131.72</x:v>
      </x:c>
      <x:c r="AM98" s="26" t="n">
        <x:v>0.074</x:v>
      </x:c>
      <x:c r="AN98" s="26" t="n">
        <x:v>31.1</x:v>
      </x:c>
      <x:c r="AO98" s="26" t="n">
        <x:v>0.25915</x:v>
      </x:c>
      <x:c r="AP98" s="26" t="n">
        <x:v>156.24</x:v>
      </x:c>
      <x:c r="AQ98" s="26" t="n">
        <x:v>0.176</x:v>
      </x:c>
      <x:c r="AR98" s="26" t="n">
        <x:v>8.52</x:v>
      </x:c>
      <x:c r="AS98" s="26" t="n">
        <x:v>0.31721</x:v>
      </x:c>
      <x:c r="AT98" s="26" t="n">
        <x:v>8.46</x:v>
      </x:c>
      <x:c r="AU98" s="26" t="n">
        <x:v>0.1091</x:v>
      </x:c>
      <x:c r="AV98" s="26" t="n">
        <x:v>0.544</x:v>
      </x:c>
      <x:c r="AW98" s="26" t="n">
        <x:v>0.817</x:v>
      </x:c>
      <x:c r="AX98" s="26" t="n">
        <x:v>1</x:v>
      </x:c>
    </x:row>
    <x:row r="99">
      <x:c r="A99" s="26" t="str">
        <x:v>K4</x:v>
      </x:c>
      <x:c r="B99" s="26" t="str">
        <x:v>Horizontal / flat</x:v>
      </x:c>
      <x:c r="C99" s="26" t="str">
        <x:v>Highest tested</x:v>
      </x:c>
      <x:c r="D99" s="26" t="str">
        <x:v>Pasted text (4).txt</x:v>
      </x:c>
      <x:c r="E99" s="26" t="str">
        <x:v>GAIN_SWEEP</x:v>
      </x:c>
      <x:c r="F99" s="26" t="n">
        <x:v>3</x:v>
      </x:c>
      <x:c r="G99" s="26" t="n">
        <x:v>2</x:v>
      </x:c>
      <x:c r="H99" s="26" t="n">
        <x:v>268</x:v>
      </x:c>
      <x:c r="I99" s="26" t="n">
        <x:v>3</x:v>
      </x:c>
      <x:c r="J99" s="26" t="n">
        <x:v>480.78908</x:v>
      </x:c>
      <x:c r="K99" s="26" t="n">
        <x:v>1.20784</x:v>
      </x:c>
      <x:c r="L99" s="26" t="n">
        <x:v>27.92</x:v>
      </x:c>
      <x:c r="M99" s="26" t="n">
        <x:v>480.81331</x:v>
      </x:c>
      <x:c r="N99" s="26" t="n">
        <x:v>0.98662</x:v>
      </x:c>
      <x:c r="O99" s="26" t="n">
        <x:v>22.82</x:v>
      </x:c>
      <x:c r="P99" s="26" t="n">
        <x:v>480.819</x:v>
      </x:c>
      <x:c r="Q99" s="26" t="n">
        <x:v>0.53216</x:v>
      </x:c>
      <x:c r="R99" s="26" t="n">
        <x:v>21.96</x:v>
      </x:c>
      <x:c r="S99" s="26" t="n">
        <x:v>260.15625</x:v>
      </x:c>
      <x:c r="T99" s="26" t="n">
        <x:v>0.03871</x:v>
      </x:c>
      <x:c r="U99" s="26" t="n">
        <x:v>268.576</x:v>
      </x:c>
      <x:c r="V99" s="26" t="n">
        <x:v>0.15426</x:v>
      </x:c>
      <x:c r="W99" s="26" t="n">
        <x:v>268.06546</x:v>
      </x:c>
      <x:c r="X99" s="26" t="n">
        <x:v>0.23687</x:v>
      </x:c>
      <x:c r="Y99" s="26" t="n">
        <x:v>268.19147</x:v>
      </x:c>
      <x:c r="Z99" s="26" t="n">
        <x:v>0.19147</x:v>
      </x:c>
      <x:c r="AA99" s="26" t="n">
        <x:v>0.0211</x:v>
      </x:c>
      <x:c r="AB99" s="26" t="n">
        <x:v>0.15426</x:v>
      </x:c>
      <x:c r="AC99" s="26" t="n">
        <x:v>0.23687</x:v>
      </x:c>
      <x:c r="AD99" s="26" t="n">
        <x:v>0.28346</x:v>
      </x:c>
      <x:c r="AE99" s="26" t="n">
        <x:v>15.94</x:v>
      </x:c>
      <x:c r="AF99" s="26" t="str">
        <x:v>Z</x:v>
      </x:c>
      <x:c r="AG99" s="26" t="n">
        <x:v>0.04402</x:v>
      </x:c>
      <x:c r="AH99" s="26" t="n">
        <x:v>-77.17</x:v>
      </x:c>
      <x:c r="AI99" s="26" t="n">
        <x:v>0.021</x:v>
      </x:c>
      <x:c r="AJ99" s="26" t="n">
        <x:v>39.88</x:v>
      </x:c>
      <x:c r="AK99" s="26" t="n">
        <x:v>0.17154</x:v>
      </x:c>
      <x:c r="AL99" s="26" t="n">
        <x:v>-145.76</x:v>
      </x:c>
      <x:c r="AM99" s="26" t="n">
        <x:v>0.074</x:v>
      </x:c>
      <x:c r="AN99" s="26" t="n">
        <x:v>56.42</x:v>
      </x:c>
      <x:c r="AO99" s="26" t="n">
        <x:v>0.26383</x:v>
      </x:c>
      <x:c r="AP99" s="26" t="n">
        <x:v>153.94</x:v>
      </x:c>
      <x:c r="AQ99" s="26" t="n">
        <x:v>0.182</x:v>
      </x:c>
      <x:c r="AR99" s="26" t="n">
        <x:v>12.72</x:v>
      </x:c>
      <x:c r="AS99" s="26" t="n">
        <x:v>0.3249</x:v>
      </x:c>
      <x:c r="AT99" s="26" t="n">
        <x:v>21.91</x:v>
      </x:c>
      <x:c r="AU99" s="26" t="n">
        <x:v>0.1355</x:v>
      </x:c>
      <x:c r="AV99" s="26" t="n">
        <x:v>0.528</x:v>
      </x:c>
      <x:c r="AW99" s="26" t="n">
        <x:v>0.812</x:v>
      </x:c>
      <x:c r="AX99" s="26" t="n">
        <x:v>1</x:v>
      </x:c>
    </x:row>
    <x:row r="100">
      <x:c r="A100" s="26" t="str">
        <x:v>K4</x:v>
      </x:c>
      <x:c r="B100" s="26" t="str">
        <x:v>Horizontal / flat</x:v>
      </x:c>
      <x:c r="C100" s="26" t="str">
        <x:v>Highest tested</x:v>
      </x:c>
      <x:c r="D100" s="26" t="str">
        <x:v>Pasted text (4).txt</x:v>
      </x:c>
      <x:c r="E100" s="26" t="str">
        <x:v>GAIN_SWEEP</x:v>
      </x:c>
      <x:c r="F100" s="26" t="n">
        <x:v>4</x:v>
      </x:c>
      <x:c r="G100" s="26" t="n">
        <x:v>1</x:v>
      </x:c>
      <x:c r="H100" s="26" t="n">
        <x:v>268</x:v>
      </x:c>
      <x:c r="I100" s="26" t="n">
        <x:v>4</x:v>
      </x:c>
      <x:c r="J100" s="26" t="n">
        <x:v>480.78641</x:v>
      </x:c>
      <x:c r="K100" s="26" t="n">
        <x:v>1.14193</x:v>
      </x:c>
      <x:c r="L100" s="26" t="n">
        <x:v>26.26</x:v>
      </x:c>
      <x:c r="M100" s="26" t="n">
        <x:v>184.94788</x:v>
      </x:c>
      <x:c r="N100" s="26" t="n">
        <x:v>1.29877</x:v>
      </x:c>
      <x:c r="O100" s="26" t="n">
        <x:v>23.71</x:v>
      </x:c>
      <x:c r="P100" s="26" t="n">
        <x:v>480.77833</x:v>
      </x:c>
      <x:c r="Q100" s="26" t="n">
        <x:v>0.5029</x:v>
      </x:c>
      <x:c r="R100" s="26" t="n">
        <x:v>20.94</x:v>
      </x:c>
      <x:c r="S100" s="26" t="n">
        <x:v>260.18572</x:v>
      </x:c>
      <x:c r="T100" s="26" t="n">
        <x:v>0.04388</x:v>
      </x:c>
      <x:c r="U100" s="26" t="n">
        <x:v>268.29725</x:v>
      </x:c>
      <x:c r="V100" s="26" t="n">
        <x:v>0.22995</x:v>
      </x:c>
      <x:c r="W100" s="26" t="n">
        <x:v>268.06426</x:v>
      </x:c>
      <x:c r="X100" s="26" t="n">
        <x:v>0.37325</x:v>
      </x:c>
      <x:c r="Y100" s="26" t="n">
        <x:v>268.12694</x:v>
      </x:c>
      <x:c r="Z100" s="26" t="n">
        <x:v>0.12694</x:v>
      </x:c>
      <x:c r="AA100" s="26" t="n">
        <x:v>0.02985</x:v>
      </x:c>
      <x:c r="AB100" s="26" t="n">
        <x:v>0.22995</x:v>
      </x:c>
      <x:c r="AC100" s="26" t="n">
        <x:v>0.37325</x:v>
      </x:c>
      <x:c r="AD100" s="26" t="n">
        <x:v>0.43941</x:v>
      </x:c>
      <x:c r="AE100" s="26" t="n">
        <x:v>18.38</x:v>
      </x:c>
      <x:c r="AF100" s="26" t="str">
        <x:v>Z</x:v>
      </x:c>
      <x:c r="AG100" s="26" t="n">
        <x:v>0.07314</x:v>
      </x:c>
      <x:c r="AH100" s="26" t="n">
        <x:v>-114.99</x:v>
      </x:c>
      <x:c r="AI100" s="26" t="n">
        <x:v>0.032</x:v>
      </x:c>
      <x:c r="AJ100" s="26" t="n">
        <x:v>29.04</x:v>
      </x:c>
      <x:c r="AK100" s="26" t="n">
        <x:v>0.27646</x:v>
      </x:c>
      <x:c r="AL100" s="26" t="n">
        <x:v>-154.69</x:v>
      </x:c>
      <x:c r="AM100" s="26" t="n">
        <x:v>0.094</x:v>
      </x:c>
      <x:c r="AN100" s="26" t="n">
        <x:v>50.78</x:v>
      </x:c>
      <x:c r="AO100" s="26" t="n">
        <x:v>0.43865</x:v>
      </x:c>
      <x:c r="AP100" s="26" t="n">
        <x:v>150.53</x:v>
      </x:c>
      <x:c r="AQ100" s="26" t="n">
        <x:v>0.277</x:v>
      </x:c>
      <x:c r="AR100" s="26" t="n">
        <x:v>10.08</x:v>
      </x:c>
      <x:c r="AS100" s="26" t="n">
        <x:v>0.53363</x:v>
      </x:c>
      <x:c r="AT100" s="26" t="n">
        <x:v>17.68</x:v>
      </x:c>
      <x:c r="AU100" s="26" t="n">
        <x:v>0.1371</x:v>
      </x:c>
      <x:c r="AV100" s="26" t="n">
        <x:v>0.5181</x:v>
      </x:c>
      <x:c r="AW100" s="26" t="n">
        <x:v>0.822</x:v>
      </x:c>
      <x:c r="AX100" s="26" t="n">
        <x:v>1</x:v>
      </x:c>
    </x:row>
    <x:row r="101">
      <x:c r="A101" s="26" t="str">
        <x:v>K4</x:v>
      </x:c>
      <x:c r="B101" s="26" t="str">
        <x:v>Horizontal / flat</x:v>
      </x:c>
      <x:c r="C101" s="26" t="str">
        <x:v>Highest tested</x:v>
      </x:c>
      <x:c r="D101" s="26" t="str">
        <x:v>Pasted text (4).txt</x:v>
      </x:c>
      <x:c r="E101" s="26" t="str">
        <x:v>GAIN_SWEEP</x:v>
      </x:c>
      <x:c r="F101" s="26" t="n">
        <x:v>4</x:v>
      </x:c>
      <x:c r="G101" s="26" t="n">
        <x:v>2</x:v>
      </x:c>
      <x:c r="H101" s="26" t="n">
        <x:v>268</x:v>
      </x:c>
      <x:c r="I101" s="26" t="n">
        <x:v>4</x:v>
      </x:c>
      <x:c r="J101" s="26" t="n">
        <x:v>480.91903</x:v>
      </x:c>
      <x:c r="K101" s="26" t="n">
        <x:v>1.20432</x:v>
      </x:c>
      <x:c r="L101" s="26" t="n">
        <x:v>26.77</x:v>
      </x:c>
      <x:c r="M101" s="26" t="n">
        <x:v>185.24203</x:v>
      </x:c>
      <x:c r="N101" s="26" t="n">
        <x:v>1.35479</x:v>
      </x:c>
      <x:c r="O101" s="26" t="n">
        <x:v>24</x:v>
      </x:c>
      <x:c r="P101" s="26" t="n">
        <x:v>480.88836</x:v>
      </x:c>
      <x:c r="Q101" s="26" t="n">
        <x:v>0.56049</x:v>
      </x:c>
      <x:c r="R101" s="26" t="n">
        <x:v>21.9</x:v>
      </x:c>
      <x:c r="S101" s="26" t="n">
        <x:v>260.15625</x:v>
      </x:c>
      <x:c r="T101" s="26" t="n">
        <x:v>0.03358</x:v>
      </x:c>
      <x:c r="U101" s="26" t="n">
        <x:v>267.93952</x:v>
      </x:c>
      <x:c r="V101" s="26" t="n">
        <x:v>0.19574</x:v>
      </x:c>
      <x:c r="W101" s="26" t="n">
        <x:v>268.04404</x:v>
      </x:c>
      <x:c r="X101" s="26" t="n">
        <x:v>0.37177</x:v>
      </x:c>
      <x:c r="Y101" s="26" t="n">
        <x:v>268.03474</x:v>
      </x:c>
      <x:c r="Z101" s="26" t="n">
        <x:v>0.03474</x:v>
      </x:c>
      <x:c r="AA101" s="26" t="n">
        <x:v>0.02301</x:v>
      </x:c>
      <x:c r="AB101" s="26" t="n">
        <x:v>0.19343</x:v>
      </x:c>
      <x:c r="AC101" s="26" t="n">
        <x:v>0.37177</x:v>
      </x:c>
      <x:c r="AD101" s="26" t="n">
        <x:v>0.41971</x:v>
      </x:c>
      <x:c r="AE101" s="26" t="n">
        <x:v>18.61</x:v>
      </x:c>
      <x:c r="AF101" s="26" t="str">
        <x:v>Z</x:v>
      </x:c>
      <x:c r="AG101" s="26" t="n">
        <x:v>0.06626</x:v>
      </x:c>
      <x:c r="AH101" s="26" t="n">
        <x:v>-126.54</x:v>
      </x:c>
      <x:c r="AI101" s="26" t="n">
        <x:v>0.029</x:v>
      </x:c>
      <x:c r="AJ101" s="26" t="n">
        <x:v>19.55</x:v>
      </x:c>
      <x:c r="AK101" s="26" t="n">
        <x:v>0.27891</x:v>
      </x:c>
      <x:c r="AL101" s="26" t="n">
        <x:v>-142.33</x:v>
      </x:c>
      <x:c r="AM101" s="26" t="n">
        <x:v>0.094</x:v>
      </x:c>
      <x:c r="AN101" s="26" t="n">
        <x:v>18.75</x:v>
      </x:c>
      <x:c r="AO101" s="26" t="n">
        <x:v>0.43837</x:v>
      </x:c>
      <x:c r="AP101" s="26" t="n">
        <x:v>150.44</x:v>
      </x:c>
      <x:c r="AQ101" s="26" t="n">
        <x:v>0.275</x:v>
      </x:c>
      <x:c r="AR101" s="26" t="n">
        <x:v>6.21</x:v>
      </x:c>
      <x:c r="AS101" s="26" t="n">
        <x:v>0.52487</x:v>
      </x:c>
      <x:c r="AT101" s="26" t="n">
        <x:v>8.96</x:v>
      </x:c>
      <x:c r="AU101" s="26" t="n">
        <x:v>0.1262</x:v>
      </x:c>
      <x:c r="AV101" s="26" t="n">
        <x:v>0.5314</x:v>
      </x:c>
      <x:c r="AW101" s="26" t="n">
        <x:v>0.8352</x:v>
      </x:c>
      <x:c r="AX101" s="26" t="n">
        <x:v>1</x:v>
      </x:c>
    </x:row>
    <x:row r="102">
      <x:c r="A102" s="26" t="str">
        <x:v>K4</x:v>
      </x:c>
      <x:c r="B102" s="26" t="str">
        <x:v>Horizontal / flat</x:v>
      </x:c>
      <x:c r="C102" s="26" t="str">
        <x:v>Highest tested</x:v>
      </x:c>
      <x:c r="D102" s="26" t="str">
        <x:v>Pasted text (4).txt</x:v>
      </x:c>
      <x:c r="E102" s="26" t="str">
        <x:v>GAIN_SWEEP</x:v>
      </x:c>
      <x:c r="F102" s="26" t="n">
        <x:v>5</x:v>
      </x:c>
      <x:c r="G102" s="26" t="n">
        <x:v>1</x:v>
      </x:c>
      <x:c r="H102" s="26" t="n">
        <x:v>268</x:v>
      </x:c>
      <x:c r="I102" s="26" t="n">
        <x:v>5</x:v>
      </x:c>
      <x:c r="J102" s="26" t="n">
        <x:v>480.85346</x:v>
      </x:c>
      <x:c r="K102" s="26" t="n">
        <x:v>0.97356</x:v>
      </x:c>
      <x:c r="L102" s="26" t="n">
        <x:v>26.84</x:v>
      </x:c>
      <x:c r="M102" s="26" t="n">
        <x:v>480.85982</x:v>
      </x:c>
      <x:c r="N102" s="26" t="n">
        <x:v>0.8965</x:v>
      </x:c>
      <x:c r="O102" s="26" t="n">
        <x:v>20.66</x:v>
      </x:c>
      <x:c r="P102" s="26" t="n">
        <x:v>267.98</x:v>
      </x:c>
      <x:c r="Q102" s="26" t="n">
        <x:v>0.51298</x:v>
      </x:c>
      <x:c r="R102" s="26" t="n">
        <x:v>21.48</x:v>
      </x:c>
      <x:c r="S102" s="26" t="n">
        <x:v>268.4334</x:v>
      </x:c>
      <x:c r="T102" s="26" t="n">
        <x:v>0.03788</x:v>
      </x:c>
      <x:c r="U102" s="26" t="n">
        <x:v>268.1638</x:v>
      </x:c>
      <x:c r="V102" s="26" t="n">
        <x:v>0.26498</x:v>
      </x:c>
      <x:c r="W102" s="26" t="n">
        <x:v>267.98</x:v>
      </x:c>
      <x:c r="X102" s="26" t="n">
        <x:v>0.51298</x:v>
      </x:c>
      <x:c r="Y102" s="26" t="n">
        <x:v>268.01802</x:v>
      </x:c>
      <x:c r="Z102" s="26" t="n">
        <x:v>0.01802</x:v>
      </x:c>
      <x:c r="AA102" s="26" t="n">
        <x:v>0.03788</x:v>
      </x:c>
      <x:c r="AB102" s="26" t="n">
        <x:v>0.26498</x:v>
      </x:c>
      <x:c r="AC102" s="26" t="n">
        <x:v>0.51298</x:v>
      </x:c>
      <x:c r="AD102" s="26" t="n">
        <x:v>0.57862</x:v>
      </x:c>
      <x:c r="AE102" s="26" t="n">
        <x:v>20.24</x:v>
      </x:c>
      <x:c r="AF102" s="26" t="str">
        <x:v>Z</x:v>
      </x:c>
      <x:c r="AG102" s="26" t="n">
        <x:v>0.04566</x:v>
      </x:c>
      <x:c r="AH102" s="26" t="n">
        <x:v>-132.91</x:v>
      </x:c>
      <x:c r="AI102" s="26" t="n">
        <x:v>0.025</x:v>
      </x:c>
      <x:c r="AJ102" s="26" t="n">
        <x:v>12.82</x:v>
      </x:c>
      <x:c r="AK102" s="26" t="n">
        <x:v>0.379</x:v>
      </x:c>
      <x:c r="AL102" s="26" t="n">
        <x:v>-126.16</x:v>
      </x:c>
      <x:c r="AM102" s="26" t="n">
        <x:v>0.144</x:v>
      </x:c>
      <x:c r="AN102" s="26" t="n">
        <x:v>23.57</x:v>
      </x:c>
      <x:c r="AO102" s="26" t="n">
        <x:v>0.66072</x:v>
      </x:c>
      <x:c r="AP102" s="26" t="n">
        <x:v>144.38</x:v>
      </x:c>
      <x:c r="AQ102" s="26" t="n">
        <x:v>0.423</x:v>
      </x:c>
      <x:c r="AR102" s="26" t="n">
        <x:v>0.6</x:v>
      </x:c>
      <x:c r="AS102" s="26" t="n">
        <x:v>0.76622</x:v>
      </x:c>
      <x:c r="AT102" s="26" t="n">
        <x:v>5.85</x:v>
      </x:c>
      <x:c r="AU102" s="26" t="n">
        <x:v>0.0596</x:v>
      </x:c>
      <x:c r="AV102" s="26" t="n">
        <x:v>0.4946</x:v>
      </x:c>
      <x:c r="AW102" s="26" t="n">
        <x:v>0.8623</x:v>
      </x:c>
      <x:c r="AX102" s="26" t="n">
        <x:v>1</x:v>
      </x:c>
    </x:row>
    <x:row r="103">
      <x:c r="A103" s="26" t="str">
        <x:v>K4</x:v>
      </x:c>
      <x:c r="B103" s="26" t="str">
        <x:v>Horizontal / flat</x:v>
      </x:c>
      <x:c r="C103" s="26" t="str">
        <x:v>Highest tested</x:v>
      </x:c>
      <x:c r="D103" s="26" t="str">
        <x:v>Pasted text (4).txt</x:v>
      </x:c>
      <x:c r="E103" s="26" t="str">
        <x:v>GAIN_SWEEP</x:v>
      </x:c>
      <x:c r="F103" s="26" t="n">
        <x:v>5</x:v>
      </x:c>
      <x:c r="G103" s="26" t="n">
        <x:v>2</x:v>
      </x:c>
      <x:c r="H103" s="26" t="n">
        <x:v>268</x:v>
      </x:c>
      <x:c r="I103" s="26" t="n">
        <x:v>5</x:v>
      </x:c>
      <x:c r="J103" s="26" t="n">
        <x:v>481.07888</x:v>
      </x:c>
      <x:c r="K103" s="26" t="n">
        <x:v>1.01643</x:v>
      </x:c>
      <x:c r="L103" s="26" t="n">
        <x:v>27.05</x:v>
      </x:c>
      <x:c r="M103" s="26" t="n">
        <x:v>185.61427</x:v>
      </x:c>
      <x:c r="N103" s="26" t="n">
        <x:v>0.92734</x:v>
      </x:c>
      <x:c r="O103" s="26" t="n">
        <x:v>20.93</x:v>
      </x:c>
      <x:c r="P103" s="26" t="n">
        <x:v>268.03849</x:v>
      </x:c>
      <x:c r="Q103" s="26" t="n">
        <x:v>0.52317</x:v>
      </x:c>
      <x:c r="R103" s="26" t="n">
        <x:v>21.82</x:v>
      </x:c>
      <x:c r="S103" s="26" t="n">
        <x:v>268.45889</x:v>
      </x:c>
      <x:c r="T103" s="26" t="n">
        <x:v>0.06008</x:v>
      </x:c>
      <x:c r="U103" s="26" t="n">
        <x:v>267.97338</x:v>
      </x:c>
      <x:c r="V103" s="26" t="n">
        <x:v>0.23184</x:v>
      </x:c>
      <x:c r="W103" s="26" t="n">
        <x:v>268.03849</x:v>
      </x:c>
      <x:c r="X103" s="26" t="n">
        <x:v>0.52317</x:v>
      </x:c>
      <x:c r="Y103" s="26" t="n">
        <x:v>268.036</x:v>
      </x:c>
      <x:c r="Z103" s="26" t="n">
        <x:v>0.036</x:v>
      </x:c>
      <x:c r="AA103" s="26" t="n">
        <x:v>0.06008</x:v>
      </x:c>
      <x:c r="AB103" s="26" t="n">
        <x:v>0.23184</x:v>
      </x:c>
      <x:c r="AC103" s="26" t="n">
        <x:v>0.52317</x:v>
      </x:c>
      <x:c r="AD103" s="26" t="n">
        <x:v>0.57538</x:v>
      </x:c>
      <x:c r="AE103" s="26" t="n">
        <x:v>19.88</x:v>
      </x:c>
      <x:c r="AF103" s="26" t="str">
        <x:v>Z</x:v>
      </x:c>
      <x:c r="AG103" s="26" t="n">
        <x:v>0.04096</x:v>
      </x:c>
      <x:c r="AH103" s="26" t="n">
        <x:v>-150.47</x:v>
      </x:c>
      <x:c r="AI103" s="26" t="n">
        <x:v>0.023</x:v>
      </x:c>
      <x:c r="AJ103" s="26" t="n">
        <x:v>67.34</x:v>
      </x:c>
      <x:c r="AK103" s="26" t="n">
        <x:v>0.31958</x:v>
      </x:c>
      <x:c r="AL103" s="26" t="n">
        <x:v>-133.84</x:v>
      </x:c>
      <x:c r="AM103" s="26" t="n">
        <x:v>0.122</x:v>
      </x:c>
      <x:c r="AN103" s="26" t="n">
        <x:v>33.29</x:v>
      </x:c>
      <x:c r="AO103" s="26" t="n">
        <x:v>0.63731</x:v>
      </x:c>
      <x:c r="AP103" s="26" t="n">
        <x:v>142.56</x:v>
      </x:c>
      <x:c r="AQ103" s="26" t="n">
        <x:v>0.412</x:v>
      </x:c>
      <x:c r="AR103" s="26" t="n">
        <x:v>4.62</x:v>
      </x:c>
      <x:c r="AS103" s="26" t="n">
        <x:v>0.71931</x:v>
      </x:c>
      <x:c r="AT103" s="26" t="n">
        <x:v>8.4</x:v>
      </x:c>
      <x:c r="AU103" s="26" t="n">
        <x:v>0.0569</x:v>
      </x:c>
      <x:c r="AV103" s="26" t="n">
        <x:v>0.4443</x:v>
      </x:c>
      <x:c r="AW103" s="26" t="n">
        <x:v>0.886</x:v>
      </x:c>
      <x:c r="AX103" s="26" t="n">
        <x:v>1</x:v>
      </x:c>
    </x:row>
    <x:row r="104">
      <x:c r="A104" s="26" t="str">
        <x:v>K4</x:v>
      </x:c>
      <x:c r="B104" s="26" t="str">
        <x:v>Horizontal / flat</x:v>
      </x:c>
      <x:c r="C104" s="26" t="str">
        <x:v>Highest tested</x:v>
      </x:c>
      <x:c r="D104" s="26" t="str">
        <x:v>Pasted text (4).txt</x:v>
      </x:c>
      <x:c r="E104" s="26" t="str">
        <x:v>GAIN_SWEEP</x:v>
      </x:c>
      <x:c r="F104" s="26" t="n">
        <x:v>6</x:v>
      </x:c>
      <x:c r="G104" s="26" t="n">
        <x:v>1</x:v>
      </x:c>
      <x:c r="H104" s="26" t="n">
        <x:v>268</x:v>
      </x:c>
      <x:c r="I104" s="26" t="n">
        <x:v>6</x:v>
      </x:c>
      <x:c r="J104" s="26" t="n">
        <x:v>480.83872</x:v>
      </x:c>
      <x:c r="K104" s="26" t="n">
        <x:v>0.84214</x:v>
      </x:c>
      <x:c r="L104" s="26" t="n">
        <x:v>24.7</x:v>
      </x:c>
      <x:c r="M104" s="26" t="n">
        <x:v>480.88591</x:v>
      </x:c>
      <x:c r="N104" s="26" t="n">
        <x:v>0.82289</x:v>
      </x:c>
      <x:c r="O104" s="26" t="n">
        <x:v>19.94</x:v>
      </x:c>
      <x:c r="P104" s="26" t="n">
        <x:v>267.97792</x:v>
      </x:c>
      <x:c r="Q104" s="26" t="n">
        <x:v>0.74149</x:v>
      </x:c>
      <x:c r="R104" s="26" t="n">
        <x:v>23.99</x:v>
      </x:c>
      <x:c r="S104" s="26" t="n">
        <x:v>268.01144</x:v>
      </x:c>
      <x:c r="T104" s="26" t="n">
        <x:v>0.05713</x:v>
      </x:c>
      <x:c r="U104" s="26" t="n">
        <x:v>268.35356</x:v>
      </x:c>
      <x:c r="V104" s="26" t="n">
        <x:v>0.42813</x:v>
      </x:c>
      <x:c r="W104" s="26" t="n">
        <x:v>267.97792</x:v>
      </x:c>
      <x:c r="X104" s="26" t="n">
        <x:v>0.74149</x:v>
      </x:c>
      <x:c r="Y104" s="26" t="n">
        <x:v>268.07139</x:v>
      </x:c>
      <x:c r="Z104" s="26" t="n">
        <x:v>0.07139</x:v>
      </x:c>
      <x:c r="AA104" s="26" t="n">
        <x:v>0.05713</x:v>
      </x:c>
      <x:c r="AB104" s="26" t="n">
        <x:v>0.42813</x:v>
      </x:c>
      <x:c r="AC104" s="26" t="n">
        <x:v>0.74149</x:v>
      </x:c>
      <x:c r="AD104" s="26" t="n">
        <x:v>0.85812</x:v>
      </x:c>
      <x:c r="AE104" s="26" t="n">
        <x:v>24.63</x:v>
      </x:c>
      <x:c r="AF104" s="26" t="str">
        <x:v>Z</x:v>
      </x:c>
      <x:c r="AG104" s="26" t="n">
        <x:v>0.07378</x:v>
      </x:c>
      <x:c r="AH104" s="26" t="n">
        <x:v>-123.54</x:v>
      </x:c>
      <x:c r="AI104" s="26" t="n">
        <x:v>0.04</x:v>
      </x:c>
      <x:c r="AJ104" s="26" t="n">
        <x:v>25.93</x:v>
      </x:c>
      <x:c r="AK104" s="26" t="n">
        <x:v>0.49534</x:v>
      </x:c>
      <x:c r="AL104" s="26" t="n">
        <x:v>-132.54</x:v>
      </x:c>
      <x:c r="AM104" s="26" t="n">
        <x:v>0.213</x:v>
      </x:c>
      <x:c r="AN104" s="26" t="n">
        <x:v>15.11</x:v>
      </x:c>
      <x:c r="AO104" s="26" t="n">
        <x:v>0.90912</x:v>
      </x:c>
      <x:c r="AP104" s="26" t="n">
        <x:v>142.15</x:v>
      </x:c>
      <x:c r="AQ104" s="26" t="n">
        <x:v>0.525</x:v>
      </x:c>
      <x:c r="AR104" s="26" t="n">
        <x:v>3.86</x:v>
      </x:c>
      <x:c r="AS104" s="26" t="n">
        <x:v>1.03914</x:v>
      </x:c>
      <x:c r="AT104" s="26" t="n">
        <x:v>6.14</x:v>
      </x:c>
      <x:c r="AU104" s="26" t="n">
        <x:v>0.071</x:v>
      </x:c>
      <x:c r="AV104" s="26" t="n">
        <x:v>0.4767</x:v>
      </x:c>
      <x:c r="AW104" s="26" t="n">
        <x:v>0.8749</x:v>
      </x:c>
      <x:c r="AX104" s="26" t="n">
        <x:v>1</x:v>
      </x:c>
    </x:row>
    <x:row r="105">
      <x:c r="A105" s="26" t="str">
        <x:v>K4</x:v>
      </x:c>
      <x:c r="B105" s="26" t="str">
        <x:v>Horizontal / flat</x:v>
      </x:c>
      <x:c r="C105" s="26" t="str">
        <x:v>Highest tested</x:v>
      </x:c>
      <x:c r="D105" s="26" t="str">
        <x:v>Pasted text (4).txt</x:v>
      </x:c>
      <x:c r="E105" s="26" t="str">
        <x:v>GAIN_SWEEP</x:v>
      </x:c>
      <x:c r="F105" s="26" t="n">
        <x:v>6</x:v>
      </x:c>
      <x:c r="G105" s="26" t="n">
        <x:v>2</x:v>
      </x:c>
      <x:c r="H105" s="26" t="n">
        <x:v>268</x:v>
      </x:c>
      <x:c r="I105" s="26" t="n">
        <x:v>6</x:v>
      </x:c>
      <x:c r="J105" s="26" t="n">
        <x:v>480.95398</x:v>
      </x:c>
      <x:c r="K105" s="26" t="n">
        <x:v>0.87859</x:v>
      </x:c>
      <x:c r="L105" s="26" t="n">
        <x:v>24.93</x:v>
      </x:c>
      <x:c r="M105" s="26" t="n">
        <x:v>480.98645</x:v>
      </x:c>
      <x:c r="N105" s="26" t="n">
        <x:v>0.87202</x:v>
      </x:c>
      <x:c r="O105" s="26" t="n">
        <x:v>20.48</x:v>
      </x:c>
      <x:c r="P105" s="26" t="n">
        <x:v>268.02965</x:v>
      </x:c>
      <x:c r="Q105" s="26" t="n">
        <x:v>0.75229</x:v>
      </x:c>
      <x:c r="R105" s="26" t="n">
        <x:v>24.19</x:v>
      </x:c>
      <x:c r="S105" s="26" t="n">
        <x:v>267.96437</x:v>
      </x:c>
      <x:c r="T105" s="26" t="n">
        <x:v>0.05618</x:v>
      </x:c>
      <x:c r="U105" s="26" t="n">
        <x:v>268.38226</x:v>
      </x:c>
      <x:c r="V105" s="26" t="n">
        <x:v>0.49161</x:v>
      </x:c>
      <x:c r="W105" s="26" t="n">
        <x:v>268.02965</x:v>
      </x:c>
      <x:c r="X105" s="26" t="n">
        <x:v>0.75229</x:v>
      </x:c>
      <x:c r="Y105" s="26" t="n">
        <x:v>268.13026</x:v>
      </x:c>
      <x:c r="Z105" s="26" t="n">
        <x:v>0.13026</x:v>
      </x:c>
      <x:c r="AA105" s="26" t="n">
        <x:v>0.05606</x:v>
      </x:c>
      <x:c r="AB105" s="26" t="n">
        <x:v>0.49161</x:v>
      </x:c>
      <x:c r="AC105" s="26" t="n">
        <x:v>0.75229</x:v>
      </x:c>
      <x:c r="AD105" s="26" t="n">
        <x:v>0.90043</x:v>
      </x:c>
      <x:c r="AE105" s="26" t="n">
        <x:v>25.23</x:v>
      </x:c>
      <x:c r="AF105" s="26" t="str">
        <x:v>Z</x:v>
      </x:c>
      <x:c r="AG105" s="26" t="n">
        <x:v>0.07692</x:v>
      </x:c>
      <x:c r="AH105" s="26" t="n">
        <x:v>-134.14</x:v>
      </x:c>
      <x:c r="AI105" s="26" t="n">
        <x:v>0.042</x:v>
      </x:c>
      <x:c r="AJ105" s="26" t="n">
        <x:v>36.18</x:v>
      </x:c>
      <x:c r="AK105" s="26" t="n">
        <x:v>0.44814</x:v>
      </x:c>
      <x:c r="AL105" s="26" t="n">
        <x:v>-141.46</x:v>
      </x:c>
      <x:c r="AM105" s="26" t="n">
        <x:v>0.191</x:v>
      </x:c>
      <x:c r="AN105" s="26" t="n">
        <x:v>29.09</x:v>
      </x:c>
      <x:c r="AO105" s="26" t="n">
        <x:v>0.89085</x:v>
      </x:c>
      <x:c r="AP105" s="26" t="n">
        <x:v>141.6</x:v>
      </x:c>
      <x:c r="AQ105" s="26" t="n">
        <x:v>0.521</x:v>
      </x:c>
      <x:c r="AR105" s="26" t="n">
        <x:v>4.73</x:v>
      </x:c>
      <x:c r="AS105" s="26" t="n">
        <x:v>1.00432</x:v>
      </x:c>
      <x:c r="AT105" s="26" t="n">
        <x:v>9.53</x:v>
      </x:c>
      <x:c r="AU105" s="26" t="n">
        <x:v>0.0766</x:v>
      </x:c>
      <x:c r="AV105" s="26" t="n">
        <x:v>0.4462</x:v>
      </x:c>
      <x:c r="AW105" s="26" t="n">
        <x:v>0.887</x:v>
      </x:c>
      <x:c r="AX105" s="26" t="n">
        <x:v>1</x:v>
      </x:c>
    </x:row>
    <x:row r="106">
      <x:c r="A106" s="26" t="str">
        <x:v>K4</x:v>
      </x:c>
      <x:c r="B106" s="26" t="str">
        <x:v>Horizontal / flat</x:v>
      </x:c>
      <x:c r="C106" s="26" t="str">
        <x:v>Highest tested</x:v>
      </x:c>
      <x:c r="D106" s="26" t="str">
        <x:v>Pasted text (4).txt</x:v>
      </x:c>
      <x:c r="E106" s="26" t="str">
        <x:v>GAIN_SWEEP</x:v>
      </x:c>
      <x:c r="F106" s="26" t="n">
        <x:v>7</x:v>
      </x:c>
      <x:c r="G106" s="26" t="n">
        <x:v>1</x:v>
      </x:c>
      <x:c r="H106" s="26" t="n">
        <x:v>268</x:v>
      </x:c>
      <x:c r="I106" s="26" t="n">
        <x:v>7</x:v>
      </x:c>
      <x:c r="J106" s="26" t="n">
        <x:v>481.049</x:v>
      </x:c>
      <x:c r="K106" s="26" t="n">
        <x:v>0.55624</x:v>
      </x:c>
      <x:c r="L106" s="26" t="n">
        <x:v>22.26</x:v>
      </x:c>
      <x:c r="M106" s="26" t="n">
        <x:v>481.05647</x:v>
      </x:c>
      <x:c r="N106" s="26" t="n">
        <x:v>0.58183</x:v>
      </x:c>
      <x:c r="O106" s="26" t="n">
        <x:v>17.67</x:v>
      </x:c>
      <x:c r="P106" s="26" t="n">
        <x:v>268.00326</x:v>
      </x:c>
      <x:c r="Q106" s="26" t="n">
        <x:v>1.00978</x:v>
      </x:c>
      <x:c r="R106" s="26" t="n">
        <x:v>27.02</x:v>
      </x:c>
      <x:c r="S106" s="26" t="n">
        <x:v>268.03637</x:v>
      </x:c>
      <x:c r="T106" s="26" t="n">
        <x:v>0.07209</x:v>
      </x:c>
      <x:c r="U106" s="26" t="n">
        <x:v>268.00832</x:v>
      </x:c>
      <x:c r="V106" s="26" t="n">
        <x:v>0.5109</x:v>
      </x:c>
      <x:c r="W106" s="26" t="n">
        <x:v>268.00326</x:v>
      </x:c>
      <x:c r="X106" s="26" t="n">
        <x:v>1.00978</x:v>
      </x:c>
      <x:c r="Y106" s="26" t="n">
        <x:v>268.00442</x:v>
      </x:c>
      <x:c r="Z106" s="26" t="n">
        <x:v>0.00442</x:v>
      </x:c>
      <x:c r="AA106" s="26" t="n">
        <x:v>0.07209</x:v>
      </x:c>
      <x:c r="AB106" s="26" t="n">
        <x:v>0.5109</x:v>
      </x:c>
      <x:c r="AC106" s="26" t="n">
        <x:v>1.00978</x:v>
      </x:c>
      <x:c r="AD106" s="26" t="n">
        <x:v>1.13396</x:v>
      </x:c>
      <x:c r="AE106" s="26" t="n">
        <x:v>25.51</x:v>
      </x:c>
      <x:c r="AF106" s="26" t="str">
        <x:v>Z</x:v>
      </x:c>
      <x:c r="AG106" s="26" t="n">
        <x:v>0.10267</x:v>
      </x:c>
      <x:c r="AH106" s="26" t="n">
        <x:v>-121.07</x:v>
      </x:c>
      <x:c r="AI106" s="26" t="n">
        <x:v>0.064</x:v>
      </x:c>
      <x:c r="AJ106" s="26" t="n">
        <x:v>12.9</x:v>
      </x:c>
      <x:c r="AK106" s="26" t="n">
        <x:v>0.64812</x:v>
      </x:c>
      <x:c r="AL106" s="26" t="n">
        <x:v>-146.47</x:v>
      </x:c>
      <x:c r="AM106" s="26" t="n">
        <x:v>0.296</x:v>
      </x:c>
      <x:c r="AN106" s="26" t="n">
        <x:v>4.42</x:v>
      </x:c>
      <x:c r="AO106" s="26" t="n">
        <x:v>1.25503</x:v>
      </x:c>
      <x:c r="AP106" s="26" t="n">
        <x:v>136.61</x:v>
      </x:c>
      <x:c r="AQ106" s="26" t="n">
        <x:v>0.677</x:v>
      </x:c>
      <x:c r="AR106" s="26" t="n">
        <x:v>2.17</x:v>
      </x:c>
      <x:c r="AS106" s="26" t="n">
        <x:v>1.41643</x:v>
      </x:c>
      <x:c r="AT106" s="26" t="n">
        <x:v>2.24</x:v>
      </x:c>
      <x:c r="AU106" s="26" t="n">
        <x:v>0.0725</x:v>
      </x:c>
      <x:c r="AV106" s="26" t="n">
        <x:v>0.4576</x:v>
      </x:c>
      <x:c r="AW106" s="26" t="n">
        <x:v>0.886</x:v>
      </x:c>
      <x:c r="AX106" s="26" t="n">
        <x:v>1</x:v>
      </x:c>
    </x:row>
    <x:row r="107">
      <x:c r="A107" s="26" t="str">
        <x:v>K4</x:v>
      </x:c>
      <x:c r="B107" s="26" t="str">
        <x:v>Horizontal / flat</x:v>
      </x:c>
      <x:c r="C107" s="26" t="str">
        <x:v>Highest tested</x:v>
      </x:c>
      <x:c r="D107" s="26" t="str">
        <x:v>Pasted text (4).txt</x:v>
      </x:c>
      <x:c r="E107" s="26" t="str">
        <x:v>GAIN_SWEEP</x:v>
      </x:c>
      <x:c r="F107" s="26" t="n">
        <x:v>7</x:v>
      </x:c>
      <x:c r="G107" s="26" t="n">
        <x:v>2</x:v>
      </x:c>
      <x:c r="H107" s="26" t="n">
        <x:v>268</x:v>
      </x:c>
      <x:c r="I107" s="26" t="n">
        <x:v>7</x:v>
      </x:c>
      <x:c r="J107" s="26" t="n">
        <x:v>480.63568</x:v>
      </x:c>
      <x:c r="K107" s="26" t="n">
        <x:v>0.54835</x:v>
      </x:c>
      <x:c r="L107" s="26" t="n">
        <x:v>21.86</x:v>
      </x:c>
      <x:c r="M107" s="26" t="n">
        <x:v>480.70328</x:v>
      </x:c>
      <x:c r="N107" s="26" t="n">
        <x:v>0.60443</x:v>
      </x:c>
      <x:c r="O107" s="26" t="n">
        <x:v>17.88</x:v>
      </x:c>
      <x:c r="P107" s="26" t="n">
        <x:v>268.04577</x:v>
      </x:c>
      <x:c r="Q107" s="26" t="n">
        <x:v>1.0337</x:v>
      </x:c>
      <x:c r="R107" s="26" t="n">
        <x:v>26.99</x:v>
      </x:c>
      <x:c r="S107" s="26" t="n">
        <x:v>268.11337</x:v>
      </x:c>
      <x:c r="T107" s="26" t="n">
        <x:v>0.0786</x:v>
      </x:c>
      <x:c r="U107" s="26" t="n">
        <x:v>267.96518</x:v>
      </x:c>
      <x:c r="V107" s="26" t="n">
        <x:v>0.52805</x:v>
      </x:c>
      <x:c r="W107" s="26" t="n">
        <x:v>268.04577</x:v>
      </x:c>
      <x:c r="X107" s="26" t="n">
        <x:v>1.0337</x:v>
      </x:c>
      <x:c r="Y107" s="26" t="n">
        <x:v>268.02951</x:v>
      </x:c>
      <x:c r="Z107" s="26" t="n">
        <x:v>0.02951</x:v>
      </x:c>
      <x:c r="AA107" s="26" t="n">
        <x:v>0.0786</x:v>
      </x:c>
      <x:c r="AB107" s="26" t="n">
        <x:v>0.52702</x:v>
      </x:c>
      <x:c r="AC107" s="26" t="n">
        <x:v>1.0337</x:v>
      </x:c>
      <x:c r="AD107" s="26" t="n">
        <x:v>1.16295</x:v>
      </x:c>
      <x:c r="AE107" s="26" t="n">
        <x:v>26.1</x:v>
      </x:c>
      <x:c r="AF107" s="26" t="str">
        <x:v>Z</x:v>
      </x:c>
      <x:c r="AG107" s="26" t="n">
        <x:v>0.07161</x:v>
      </x:c>
      <x:c r="AH107" s="26" t="n">
        <x:v>-112.23</x:v>
      </x:c>
      <x:c r="AI107" s="26" t="n">
        <x:v>0.045</x:v>
      </x:c>
      <x:c r="AJ107" s="26" t="n">
        <x:v>30.41</x:v>
      </x:c>
      <x:c r="AK107" s="26" t="n">
        <x:v>0.63934</x:v>
      </x:c>
      <x:c r="AL107" s="26" t="n">
        <x:v>-149.15</x:v>
      </x:c>
      <x:c r="AM107" s="26" t="n">
        <x:v>0.292</x:v>
      </x:c>
      <x:c r="AN107" s="26" t="n">
        <x:v>1.59</x:v>
      </x:c>
      <x:c r="AO107" s="26" t="n">
        <x:v>1.23123</x:v>
      </x:c>
      <x:c r="AP107" s="26" t="n">
        <x:v>135.95</x:v>
      </x:c>
      <x:c r="AQ107" s="26" t="n">
        <x:v>0.667</x:v>
      </x:c>
      <x:c r="AR107" s="26" t="n">
        <x:v>1.67</x:v>
      </x:c>
      <x:c r="AS107" s="26" t="n">
        <x:v>1.38938</x:v>
      </x:c>
      <x:c r="AT107" s="26" t="n">
        <x:v>1.28</x:v>
      </x:c>
      <x:c r="AU107" s="26" t="n">
        <x:v>0.0515</x:v>
      </x:c>
      <x:c r="AV107" s="26" t="n">
        <x:v>0.4602</x:v>
      </x:c>
      <x:c r="AW107" s="26" t="n">
        <x:v>0.8862</x:v>
      </x:c>
      <x:c r="AX107" s="26" t="n">
        <x:v>1</x:v>
      </x:c>
    </x:row>
    <x:row r="108">
      <x:c r="A108" s="26" t="str">
        <x:v>K4</x:v>
      </x:c>
      <x:c r="B108" s="26" t="str">
        <x:v>Horizontal / flat</x:v>
      </x:c>
      <x:c r="C108" s="26" t="str">
        <x:v>Highest tested</x:v>
      </x:c>
      <x:c r="D108" s="26" t="str">
        <x:v>Pasted text (4).txt</x:v>
      </x:c>
      <x:c r="E108" s="26" t="str">
        <x:v>GAIN_SWEEP</x:v>
      </x:c>
      <x:c r="F108" s="26" t="n">
        <x:v>8</x:v>
      </x:c>
      <x:c r="G108" s="26" t="n">
        <x:v>1</x:v>
      </x:c>
      <x:c r="H108" s="26" t="n">
        <x:v>268</x:v>
      </x:c>
      <x:c r="I108" s="26" t="n">
        <x:v>8</x:v>
      </x:c>
      <x:c r="J108" s="26" t="n">
        <x:v>480.81857</x:v>
      </x:c>
      <x:c r="K108" s="26" t="n">
        <x:v>0.56126</x:v>
      </x:c>
      <x:c r="L108" s="26" t="n">
        <x:v>21.74</x:v>
      </x:c>
      <x:c r="M108" s="26" t="n">
        <x:v>267.9861</x:v>
      </x:c>
      <x:c r="N108" s="26" t="n">
        <x:v>0.70145</x:v>
      </x:c>
      <x:c r="O108" s="26" t="n">
        <x:v>18.06</x:v>
      </x:c>
      <x:c r="P108" s="26" t="n">
        <x:v>268.01447</x:v>
      </x:c>
      <x:c r="Q108" s="26" t="n">
        <x:v>1.30713</x:v>
      </x:c>
      <x:c r="R108" s="26" t="n">
        <x:v>28.42</x:v>
      </x:c>
      <x:c r="S108" s="26" t="n">
        <x:v>267.99728</x:v>
      </x:c>
      <x:c r="T108" s="26" t="n">
        <x:v>0.11162</x:v>
      </x:c>
      <x:c r="U108" s="26" t="n">
        <x:v>267.9861</x:v>
      </x:c>
      <x:c r="V108" s="26" t="n">
        <x:v>0.70145</x:v>
      </x:c>
      <x:c r="W108" s="26" t="n">
        <x:v>268.01447</x:v>
      </x:c>
      <x:c r="X108" s="26" t="n">
        <x:v>1.30713</x:v>
      </x:c>
      <x:c r="Y108" s="26" t="n">
        <x:v>268.00819</x:v>
      </x:c>
      <x:c r="Z108" s="26" t="n">
        <x:v>0.00819</x:v>
      </x:c>
      <x:c r="AA108" s="26" t="n">
        <x:v>0.11162</x:v>
      </x:c>
      <x:c r="AB108" s="26" t="n">
        <x:v>0.70145</x:v>
      </x:c>
      <x:c r="AC108" s="26" t="n">
        <x:v>1.30713</x:v>
      </x:c>
      <x:c r="AD108" s="26" t="n">
        <x:v>1.48764</x:v>
      </x:c>
      <x:c r="AE108" s="26" t="n">
        <x:v>26.94</x:v>
      </x:c>
      <x:c r="AF108" s="26" t="str">
        <x:v>Z</x:v>
      </x:c>
      <x:c r="AG108" s="26" t="n">
        <x:v>0.10992</x:v>
      </x:c>
      <x:c r="AH108" s="26" t="n">
        <x:v>-103.62</x:v>
      </x:c>
      <x:c r="AI108" s="26" t="n">
        <x:v>0.07</x:v>
      </x:c>
      <x:c r="AJ108" s="26" t="n">
        <x:v>25.4</x:v>
      </x:c>
      <x:c r="AK108" s="26" t="n">
        <x:v>0.85072</x:v>
      </x:c>
      <x:c r="AL108" s="26" t="n">
        <x:v>-150.62</x:v>
      </x:c>
      <x:c r="AM108" s="26" t="n">
        <x:v>0.344</x:v>
      </x:c>
      <x:c r="AN108" s="26" t="n">
        <x:v>7.14</x:v>
      </x:c>
      <x:c r="AO108" s="26" t="n">
        <x:v>1.57391</x:v>
      </x:c>
      <x:c r="AP108" s="26" t="n">
        <x:v>132.85</x:v>
      </x:c>
      <x:c r="AQ108" s="26" t="n">
        <x:v>0.721</x:v>
      </x:c>
      <x:c r="AR108" s="26" t="n">
        <x:v>3.45</x:v>
      </x:c>
      <x:c r="AS108" s="26" t="n">
        <x:v>1.79326</x:v>
      </x:c>
      <x:c r="AT108" s="26" t="n">
        <x:v>3.5</x:v>
      </x:c>
      <x:c r="AU108" s="26" t="n">
        <x:v>0.0613</x:v>
      </x:c>
      <x:c r="AV108" s="26" t="n">
        <x:v>0.4744</x:v>
      </x:c>
      <x:c r="AW108" s="26" t="n">
        <x:v>0.8777</x:v>
      </x:c>
      <x:c r="AX108" s="26" t="n">
        <x:v>1</x:v>
      </x:c>
    </x:row>
    <x:row r="109">
      <x:c r="A109" s="26" t="str">
        <x:v>K4</x:v>
      </x:c>
      <x:c r="B109" s="26" t="str">
        <x:v>Horizontal / flat</x:v>
      </x:c>
      <x:c r="C109" s="26" t="str">
        <x:v>Highest tested</x:v>
      </x:c>
      <x:c r="D109" s="26" t="str">
        <x:v>Pasted text (4).txt</x:v>
      </x:c>
      <x:c r="E109" s="26" t="str">
        <x:v>GAIN_SWEEP</x:v>
      </x:c>
      <x:c r="F109" s="26" t="n">
        <x:v>8</x:v>
      </x:c>
      <x:c r="G109" s="26" t="n">
        <x:v>2</x:v>
      </x:c>
      <x:c r="H109" s="26" t="n">
        <x:v>268</x:v>
      </x:c>
      <x:c r="I109" s="26" t="n">
        <x:v>8</x:v>
      </x:c>
      <x:c r="J109" s="26" t="n">
        <x:v>480.86967</x:v>
      </x:c>
      <x:c r="K109" s="26" t="n">
        <x:v>0.56122</x:v>
      </x:c>
      <x:c r="L109" s="26" t="n">
        <x:v>21.88</x:v>
      </x:c>
      <x:c r="M109" s="26" t="n">
        <x:v>268.02687</x:v>
      </x:c>
      <x:c r="N109" s="26" t="n">
        <x:v>0.74781</x:v>
      </x:c>
      <x:c r="O109" s="26" t="n">
        <x:v>18.71</x:v>
      </x:c>
      <x:c r="P109" s="26" t="n">
        <x:v>268.00583</x:v>
      </x:c>
      <x:c r="Q109" s="26" t="n">
        <x:v>1.31844</x:v>
      </x:c>
      <x:c r="R109" s="26" t="n">
        <x:v>28.46</x:v>
      </x:c>
      <x:c r="S109" s="26" t="n">
        <x:v>268.02862</x:v>
      </x:c>
      <x:c r="T109" s="26" t="n">
        <x:v>0.1007</x:v>
      </x:c>
      <x:c r="U109" s="26" t="n">
        <x:v>268.02687</x:v>
      </x:c>
      <x:c r="V109" s="26" t="n">
        <x:v>0.74781</x:v>
      </x:c>
      <x:c r="W109" s="26" t="n">
        <x:v>268.00583</x:v>
      </x:c>
      <x:c r="X109" s="26" t="n">
        <x:v>1.31844</x:v>
      </x:c>
      <x:c r="Y109" s="26" t="n">
        <x:v>268.01107</x:v>
      </x:c>
      <x:c r="Z109" s="26" t="n">
        <x:v>0.01107</x:v>
      </x:c>
      <x:c r="AA109" s="26" t="n">
        <x:v>0.1007</x:v>
      </x:c>
      <x:c r="AB109" s="26" t="n">
        <x:v>0.74781</x:v>
      </x:c>
      <x:c r="AC109" s="26" t="n">
        <x:v>1.31844</x:v>
      </x:c>
      <x:c r="AD109" s="26" t="n">
        <x:v>1.51909</x:v>
      </x:c>
      <x:c r="AE109" s="26" t="n">
        <x:v>28.54</x:v>
      </x:c>
      <x:c r="AF109" s="26" t="str">
        <x:v>Z</x:v>
      </x:c>
      <x:c r="AG109" s="26" t="n">
        <x:v>0.09759</x:v>
      </x:c>
      <x:c r="AH109" s="26" t="n">
        <x:v>-101.68</x:v>
      </x:c>
      <x:c r="AI109" s="26" t="n">
        <x:v>0.061</x:v>
      </x:c>
      <x:c r="AJ109" s="26" t="n">
        <x:v>15.17</x:v>
      </x:c>
      <x:c r="AK109" s="26" t="n">
        <x:v>0.86477</x:v>
      </x:c>
      <x:c r="AL109" s="26" t="n">
        <x:v>-152.86</x:v>
      </x:c>
      <x:c r="AM109" s="26" t="n">
        <x:v>0.342</x:v>
      </x:c>
      <x:c r="AN109" s="26" t="n">
        <x:v>7.07</x:v>
      </x:c>
      <x:c r="AO109" s="26" t="n">
        <x:v>1.56612</x:v>
      </x:c>
      <x:c r="AP109" s="26" t="n">
        <x:v>132.21</x:v>
      </x:c>
      <x:c r="AQ109" s="26" t="n">
        <x:v>0.72</x:v>
      </x:c>
      <x:c r="AR109" s="26" t="n">
        <x:v>2.66</x:v>
      </x:c>
      <x:c r="AS109" s="26" t="n">
        <x:v>1.79216</x:v>
      </x:c>
      <x:c r="AT109" s="26" t="n">
        <x:v>3.29</x:v>
      </x:c>
      <x:c r="AU109" s="26" t="n">
        <x:v>0.0545</x:v>
      </x:c>
      <x:c r="AV109" s="26" t="n">
        <x:v>0.4825</x:v>
      </x:c>
      <x:c r="AW109" s="26" t="n">
        <x:v>0.8739</x:v>
      </x:c>
      <x:c r="AX109" s="26" t="n">
        <x:v>1</x:v>
      </x:c>
    </x:row>
    <x:row r="110">
      <x:c r="A110" s="26" t="str">
        <x:v>K4</x:v>
      </x:c>
      <x:c r="B110" s="26" t="str">
        <x:v>Horizontal / flat</x:v>
      </x:c>
      <x:c r="C110" s="26" t="str">
        <x:v>Highest tested</x:v>
      </x:c>
      <x:c r="D110" s="26" t="str">
        <x:v>Pasted text (4).txt</x:v>
      </x:c>
      <x:c r="E110" s="26" t="str">
        <x:v>GAIN_SWEEP</x:v>
      </x:c>
      <x:c r="F110" s="26" t="n">
        <x:v>9</x:v>
      </x:c>
      <x:c r="G110" s="26" t="n">
        <x:v>1</x:v>
      </x:c>
      <x:c r="H110" s="26" t="n">
        <x:v>268</x:v>
      </x:c>
      <x:c r="I110" s="26" t="n">
        <x:v>9</x:v>
      </x:c>
      <x:c r="J110" s="26" t="n">
        <x:v>564.46158</x:v>
      </x:c>
      <x:c r="K110" s="26" t="n">
        <x:v>0.84109</x:v>
      </x:c>
      <x:c r="L110" s="26" t="n">
        <x:v>22.65</x:v>
      </x:c>
      <x:c r="M110" s="26" t="n">
        <x:v>268.16533</x:v>
      </x:c>
      <x:c r="N110" s="26" t="n">
        <x:v>1.06344</x:v>
      </x:c>
      <x:c r="O110" s="26" t="n">
        <x:v>19.73</x:v>
      </x:c>
      <x:c r="P110" s="26" t="n">
        <x:v>268.0259</x:v>
      </x:c>
      <x:c r="Q110" s="26" t="n">
        <x:v>1.68182</x:v>
      </x:c>
      <x:c r="R110" s="26" t="n">
        <x:v>28.66</x:v>
      </x:c>
      <x:c r="S110" s="26" t="n">
        <x:v>267.91148</x:v>
      </x:c>
      <x:c r="T110" s="26" t="n">
        <x:v>0.12067</x:v>
      </x:c>
      <x:c r="U110" s="26" t="n">
        <x:v>268.16533</x:v>
      </x:c>
      <x:c r="V110" s="26" t="n">
        <x:v>1.06344</x:v>
      </x:c>
      <x:c r="W110" s="26" t="n">
        <x:v>268.0259</x:v>
      </x:c>
      <x:c r="X110" s="26" t="n">
        <x:v>1.68182</x:v>
      </x:c>
      <x:c r="Y110" s="26" t="n">
        <x:v>268.06496</x:v>
      </x:c>
      <x:c r="Z110" s="26" t="n">
        <x:v>0.06496</x:v>
      </x:c>
      <x:c r="AA110" s="26" t="n">
        <x:v>0.11853</x:v>
      </x:c>
      <x:c r="AB110" s="26" t="n">
        <x:v>1.06344</x:v>
      </x:c>
      <x:c r="AC110" s="26" t="n">
        <x:v>1.68182</x:v>
      </x:c>
      <x:c r="AD110" s="26" t="n">
        <x:v>1.99336</x:v>
      </x:c>
      <x:c r="AE110" s="26" t="n">
        <x:v>25.12</x:v>
      </x:c>
      <x:c r="AF110" s="26" t="str">
        <x:v>Z</x:v>
      </x:c>
      <x:c r="AG110" s="26" t="n">
        <x:v>0.16045</x:v>
      </x:c>
      <x:c r="AH110" s="26" t="n">
        <x:v>-112.41</x:v>
      </x:c>
      <x:c r="AI110" s="26" t="n">
        <x:v>0.089</x:v>
      </x:c>
      <x:c r="AJ110" s="26" t="n">
        <x:v>6.45</x:v>
      </x:c>
      <x:c r="AK110" s="26" t="n">
        <x:v>1.15843</x:v>
      </x:c>
      <x:c r="AL110" s="26" t="n">
        <x:v>-155.1</x:v>
      </x:c>
      <x:c r="AM110" s="26" t="n">
        <x:v>0.382</x:v>
      </x:c>
      <x:c r="AN110" s="26" t="n">
        <x:v>14.48</x:v>
      </x:c>
      <x:c r="AO110" s="26" t="n">
        <x:v>2.0764</x:v>
      </x:c>
      <x:c r="AP110" s="26" t="n">
        <x:v>125.86</x:v>
      </x:c>
      <x:c r="AQ110" s="26" t="n">
        <x:v>0.741</x:v>
      </x:c>
      <x:c r="AR110" s="26" t="n">
        <x:v>2.52</x:v>
      </x:c>
      <x:c r="AS110" s="26" t="n">
        <x:v>2.38706</x:v>
      </x:c>
      <x:c r="AT110" s="26" t="n">
        <x:v>3.59</x:v>
      </x:c>
      <x:c r="AU110" s="26" t="n">
        <x:v>0.0672</x:v>
      </x:c>
      <x:c r="AV110" s="26" t="n">
        <x:v>0.4853</x:v>
      </x:c>
      <x:c r="AW110" s="26" t="n">
        <x:v>0.8699</x:v>
      </x:c>
      <x:c r="AX110" s="26" t="n">
        <x:v>1</x:v>
      </x:c>
    </x:row>
    <x:row r="111">
      <x:c r="A111" s="26" t="str">
        <x:v>K4</x:v>
      </x:c>
      <x:c r="B111" s="26" t="str">
        <x:v>Horizontal / flat</x:v>
      </x:c>
      <x:c r="C111" s="26" t="str">
        <x:v>Highest tested</x:v>
      </x:c>
      <x:c r="D111" s="26" t="str">
        <x:v>Pasted text (4).txt</x:v>
      </x:c>
      <x:c r="E111" s="26" t="str">
        <x:v>GAIN_SWEEP</x:v>
      </x:c>
      <x:c r="F111" s="26" t="n">
        <x:v>9</x:v>
      </x:c>
      <x:c r="G111" s="26" t="n">
        <x:v>2</x:v>
      </x:c>
      <x:c r="H111" s="26" t="n">
        <x:v>268</x:v>
      </x:c>
      <x:c r="I111" s="26" t="n">
        <x:v>9</x:v>
      </x:c>
      <x:c r="J111" s="26" t="n">
        <x:v>564.86509</x:v>
      </x:c>
      <x:c r="K111" s="26" t="n">
        <x:v>0.57824</x:v>
      </x:c>
      <x:c r="L111" s="26" t="n">
        <x:v>21.44</x:v>
      </x:c>
      <x:c r="M111" s="26" t="n">
        <x:v>267.83216</x:v>
      </x:c>
      <x:c r="N111" s="26" t="n">
        <x:v>0.97019</x:v>
      </x:c>
      <x:c r="O111" s="26" t="n">
        <x:v>20.09</x:v>
      </x:c>
      <x:c r="P111" s="26" t="n">
        <x:v>268.03349</x:v>
      </x:c>
      <x:c r="Q111" s="26" t="n">
        <x:v>1.75315</x:v>
      </x:c>
      <x:c r="R111" s="26" t="n">
        <x:v>29.54</x:v>
      </x:c>
      <x:c r="S111" s="26" t="n">
        <x:v>267.94547</x:v>
      </x:c>
      <x:c r="T111" s="26" t="n">
        <x:v>0.12328</x:v>
      </x:c>
      <x:c r="U111" s="26" t="n">
        <x:v>267.83216</x:v>
      </x:c>
      <x:c r="V111" s="26" t="n">
        <x:v>0.97019</x:v>
      </x:c>
      <x:c r="W111" s="26" t="n">
        <x:v>268.03349</x:v>
      </x:c>
      <x:c r="X111" s="26" t="n">
        <x:v>1.75315</x:v>
      </x:c>
      <x:c r="Y111" s="26" t="n">
        <x:v>267.98613</x:v>
      </x:c>
      <x:c r="Z111" s="26" t="n">
        <x:v>-0.01387</x:v>
      </x:c>
      <x:c r="AA111" s="26" t="n">
        <x:v>0.12177</x:v>
      </x:c>
      <x:c r="AB111" s="26" t="n">
        <x:v>0.89225</x:v>
      </x:c>
      <x:c r="AC111" s="26" t="n">
        <x:v>1.75315</x:v>
      </x:c>
      <x:c r="AD111" s="26" t="n">
        <x:v>1.97091</x:v>
      </x:c>
      <x:c r="AE111" s="26" t="n">
        <x:v>27.98</x:v>
      </x:c>
      <x:c r="AF111" s="26" t="str">
        <x:v>Z</x:v>
      </x:c>
      <x:c r="AG111" s="26" t="n">
        <x:v>0.16321</x:v>
      </x:c>
      <x:c r="AH111" s="26" t="n">
        <x:v>-102.31</x:v>
      </x:c>
      <x:c r="AI111" s="26" t="n">
        <x:v>0.09</x:v>
      </x:c>
      <x:c r="AJ111" s="26" t="n">
        <x:v>3.17</x:v>
      </x:c>
      <x:c r="AK111" s="26" t="n">
        <x:v>1.27977</x:v>
      </x:c>
      <x:c r="AL111" s="26" t="n">
        <x:v>-155.57</x:v>
      </x:c>
      <x:c r="AM111" s="26" t="n">
        <x:v>0.417</x:v>
      </x:c>
      <x:c r="AN111" s="26" t="n">
        <x:v>12.37</x:v>
      </x:c>
      <x:c r="AO111" s="26" t="n">
        <x:v>2.13785</x:v>
      </x:c>
      <x:c r="AP111" s="26" t="n">
        <x:v>126.32</x:v>
      </x:c>
      <x:c r="AQ111" s="26" t="n">
        <x:v>0.781</x:v>
      </x:c>
      <x:c r="AR111" s="26" t="n">
        <x:v>1.19</x:v>
      </x:c>
      <x:c r="AS111" s="26" t="n">
        <x:v>2.50037</x:v>
      </x:c>
      <x:c r="AT111" s="26" t="n">
        <x:v>2.67</x:v>
      </x:c>
      <x:c r="AU111" s="26" t="n">
        <x:v>0.0653</x:v>
      </x:c>
      <x:c r="AV111" s="26" t="n">
        <x:v>0.5118</x:v>
      </x:c>
      <x:c r="AW111" s="26" t="n">
        <x:v>0.855</x:v>
      </x:c>
      <x:c r="AX111" s="26" t="n">
        <x:v>1</x:v>
      </x:c>
    </x:row>
    <x:row r="112">
      <x:c r="A112" s="26" t="str">
        <x:v>K4</x:v>
      </x:c>
      <x:c r="B112" s="26" t="str">
        <x:v>Horizontal / flat</x:v>
      </x:c>
      <x:c r="C112" s="26" t="str">
        <x:v>Highest tested</x:v>
      </x:c>
      <x:c r="D112" s="26" t="str">
        <x:v>Pasted text (4).txt</x:v>
      </x:c>
      <x:c r="E112" s="26" t="str">
        <x:v>GAIN_SWEEP</x:v>
      </x:c>
      <x:c r="F112" s="26" t="n">
        <x:v>10</x:v>
      </x:c>
      <x:c r="G112" s="26" t="n">
        <x:v>1</x:v>
      </x:c>
      <x:c r="H112" s="26" t="n">
        <x:v>268</x:v>
      </x:c>
      <x:c r="I112" s="26" t="n">
        <x:v>10</x:v>
      </x:c>
      <x:c r="J112" s="26" t="n">
        <x:v>480.807</x:v>
      </x:c>
      <x:c r="K112" s="26" t="n">
        <x:v>0.60764</x:v>
      </x:c>
      <x:c r="L112" s="26" t="n">
        <x:v>21.25</x:v>
      </x:c>
      <x:c r="M112" s="26" t="n">
        <x:v>268.02488</x:v>
      </x:c>
      <x:c r="N112" s="26" t="n">
        <x:v>1.29514</x:v>
      </x:c>
      <x:c r="O112" s="26" t="n">
        <x:v>21.9</x:v>
      </x:c>
      <x:c r="P112" s="26" t="n">
        <x:v>268.02689</x:v>
      </x:c>
      <x:c r="Q112" s="26" t="n">
        <x:v>2.12103</x:v>
      </x:c>
      <x:c r="R112" s="26" t="n">
        <x:v>30.34</x:v>
      </x:c>
      <x:c r="S112" s="26" t="n">
        <x:v>267.99805</x:v>
      </x:c>
      <x:c r="T112" s="26" t="n">
        <x:v>0.12969</x:v>
      </x:c>
      <x:c r="U112" s="26" t="n">
        <x:v>268.02488</x:v>
      </x:c>
      <x:c r="V112" s="26" t="n">
        <x:v>1.29514</x:v>
      </x:c>
      <x:c r="W112" s="26" t="n">
        <x:v>268.02689</x:v>
      </x:c>
      <x:c r="X112" s="26" t="n">
        <x:v>2.12103</x:v>
      </x:c>
      <x:c r="Y112" s="26" t="n">
        <x:v>268.02628</x:v>
      </x:c>
      <x:c r="Z112" s="26" t="n">
        <x:v>0.02628</x:v>
      </x:c>
      <x:c r="AA112" s="26" t="n">
        <x:v>0.12969</x:v>
      </x:c>
      <x:c r="AB112" s="26" t="n">
        <x:v>1.29514</x:v>
      </x:c>
      <x:c r="AC112" s="26" t="n">
        <x:v>2.12103</x:v>
      </x:c>
      <x:c r="AD112" s="26" t="n">
        <x:v>2.48857</x:v>
      </x:c>
      <x:c r="AE112" s="26" t="n">
        <x:v>29.78</x:v>
      </x:c>
      <x:c r="AF112" s="26" t="str">
        <x:v>Z</x:v>
      </x:c>
      <x:c r="AG112" s="26" t="n">
        <x:v>0.18756</x:v>
      </x:c>
      <x:c r="AH112" s="26" t="n">
        <x:v>-90.26</x:v>
      </x:c>
      <x:c r="AI112" s="26" t="n">
        <x:v>0.114</x:v>
      </x:c>
      <x:c r="AJ112" s="26" t="n">
        <x:v>13.47</x:v>
      </x:c>
      <x:c r="AK112" s="26" t="n">
        <x:v>1.61148</x:v>
      </x:c>
      <x:c r="AL112" s="26" t="n">
        <x:v>-162.21</x:v>
      </x:c>
      <x:c r="AM112" s="26" t="n">
        <x:v>0.476</x:v>
      </x:c>
      <x:c r="AN112" s="26" t="n">
        <x:v>3.23</x:v>
      </x:c>
      <x:c r="AO112" s="26" t="n">
        <x:v>2.57841</x:v>
      </x:c>
      <x:c r="AP112" s="26" t="n">
        <x:v>124.48</x:v>
      </x:c>
      <x:c r="AQ112" s="26" t="n">
        <x:v>0.803</x:v>
      </x:c>
      <x:c r="AR112" s="26" t="n">
        <x:v>1.02</x:v>
      </x:c>
      <x:c r="AS112" s="26" t="n">
        <x:v>3.04672</x:v>
      </x:c>
      <x:c r="AT112" s="26" t="n">
        <x:v>1.14</x:v>
      </x:c>
      <x:c r="AU112" s="26" t="n">
        <x:v>0.0616</x:v>
      </x:c>
      <x:c r="AV112" s="26" t="n">
        <x:v>0.5289</x:v>
      </x:c>
      <x:c r="AW112" s="26" t="n">
        <x:v>0.8463</x:v>
      </x:c>
      <x:c r="AX112" s="26" t="n">
        <x:v>1</x:v>
      </x:c>
    </x:row>
    <x:row r="113">
      <x:c r="A113" s="26" t="str">
        <x:v>K4</x:v>
      </x:c>
      <x:c r="B113" s="26" t="str">
        <x:v>Horizontal / flat</x:v>
      </x:c>
      <x:c r="C113" s="26" t="str">
        <x:v>Highest tested</x:v>
      </x:c>
      <x:c r="D113" s="26" t="str">
        <x:v>Pasted text (4).txt</x:v>
      </x:c>
      <x:c r="E113" s="26" t="str">
        <x:v>GAIN_SWEEP</x:v>
      </x:c>
      <x:c r="F113" s="26" t="n">
        <x:v>10</x:v>
      </x:c>
      <x:c r="G113" s="26" t="n">
        <x:v>2</x:v>
      </x:c>
      <x:c r="H113" s="26" t="n">
        <x:v>268</x:v>
      </x:c>
      <x:c r="I113" s="26" t="n">
        <x:v>10</x:v>
      </x:c>
      <x:c r="J113" s="26" t="n">
        <x:v>480.57072</x:v>
      </x:c>
      <x:c r="K113" s="26" t="n">
        <x:v>0.557</x:v>
      </x:c>
      <x:c r="L113" s="26" t="n">
        <x:v>20.48</x:v>
      </x:c>
      <x:c r="M113" s="26" t="n">
        <x:v>268.03672</x:v>
      </x:c>
      <x:c r="N113" s="26" t="n">
        <x:v>1.36032</x:v>
      </x:c>
      <x:c r="O113" s="26" t="n">
        <x:v>22.13</x:v>
      </x:c>
      <x:c r="P113" s="26" t="n">
        <x:v>268.02444</x:v>
      </x:c>
      <x:c r="Q113" s="26" t="n">
        <x:v>2.14883</x:v>
      </x:c>
      <x:c r="R113" s="26" t="n">
        <x:v>30.36</x:v>
      </x:c>
      <x:c r="S113" s="26" t="n">
        <x:v>268.17232</x:v>
      </x:c>
      <x:c r="T113" s="26" t="n">
        <x:v>0.15762</x:v>
      </x:c>
      <x:c r="U113" s="26" t="n">
        <x:v>268.03672</x:v>
      </x:c>
      <x:c r="V113" s="26" t="n">
        <x:v>1.36032</x:v>
      </x:c>
      <x:c r="W113" s="26" t="n">
        <x:v>268.02444</x:v>
      </x:c>
      <x:c r="X113" s="26" t="n">
        <x:v>2.14883</x:v>
      </x:c>
      <x:c r="Y113" s="26" t="n">
        <x:v>268.02845</x:v>
      </x:c>
      <x:c r="Z113" s="26" t="n">
        <x:v>0.02845</x:v>
      </x:c>
      <x:c r="AA113" s="26" t="n">
        <x:v>0.15762</x:v>
      </x:c>
      <x:c r="AB113" s="26" t="n">
        <x:v>1.36032</x:v>
      </x:c>
      <x:c r="AC113" s="26" t="n">
        <x:v>2.14883</x:v>
      </x:c>
      <x:c r="AD113" s="26" t="n">
        <x:v>2.5481</x:v>
      </x:c>
      <x:c r="AE113" s="26" t="n">
        <x:v>30.14</x:v>
      </x:c>
      <x:c r="AF113" s="26" t="str">
        <x:v>Z</x:v>
      </x:c>
      <x:c r="AG113" s="26" t="n">
        <x:v>0.15907</x:v>
      </x:c>
      <x:c r="AH113" s="26" t="n">
        <x:v>-98.09</x:v>
      </x:c>
      <x:c r="AI113" s="26" t="n">
        <x:v>0.096</x:v>
      </x:c>
      <x:c r="AJ113" s="26" t="n">
        <x:v>22.24</x:v>
      </x:c>
      <x:c r="AK113" s="26" t="n">
        <x:v>1.6115</x:v>
      </x:c>
      <x:c r="AL113" s="26" t="n">
        <x:v>-163.07</x:v>
      </x:c>
      <x:c r="AM113" s="26" t="n">
        <x:v>0.477</x:v>
      </x:c>
      <x:c r="AN113" s="26" t="n">
        <x:v>1.64</x:v>
      </x:c>
      <x:c r="AO113" s="26" t="n">
        <x:v>2.57986</x:v>
      </x:c>
      <x:c r="AP113" s="26" t="n">
        <x:v>123.9</x:v>
      </x:c>
      <x:c r="AQ113" s="26" t="n">
        <x:v>0.796</x:v>
      </x:c>
      <x:c r="AR113" s="26" t="n">
        <x:v>0.91</x:v>
      </x:c>
      <x:c r="AS113" s="26" t="n">
        <x:v>3.04623</x:v>
      </x:c>
      <x:c r="AT113" s="26" t="n">
        <x:v>0.71</x:v>
      </x:c>
      <x:c r="AU113" s="26" t="n">
        <x:v>0.0522</x:v>
      </x:c>
      <x:c r="AV113" s="26" t="n">
        <x:v>0.529</x:v>
      </x:c>
      <x:c r="AW113" s="26" t="n">
        <x:v>0.8469</x:v>
      </x:c>
      <x:c r="AX113" s="26" t="n">
        <x:v>1</x:v>
      </x:c>
    </x:row>
    <x:row r="114">
      <x:c r="A114" s="26" t="str">
        <x:v>K4</x:v>
      </x:c>
      <x:c r="B114" s="26" t="str">
        <x:v>Horizontal / flat</x:v>
      </x:c>
      <x:c r="C114" s="26" t="str">
        <x:v>Highest tested</x:v>
      </x:c>
      <x:c r="D114" s="26" t="str">
        <x:v>Pasted text (4).txt</x:v>
      </x:c>
      <x:c r="E114" s="26" t="str">
        <x:v>GAIN_SWEEP</x:v>
      </x:c>
      <x:c r="F114" s="26" t="n">
        <x:v>11</x:v>
      </x:c>
      <x:c r="G114" s="26" t="n">
        <x:v>1</x:v>
      </x:c>
      <x:c r="H114" s="26" t="n">
        <x:v>268</x:v>
      </x:c>
      <x:c r="I114" s="26" t="n">
        <x:v>11</x:v>
      </x:c>
      <x:c r="J114" s="26" t="n">
        <x:v>240.45594</x:v>
      </x:c>
      <x:c r="K114" s="26" t="n">
        <x:v>0.42887</x:v>
      </x:c>
      <x:c r="L114" s="26" t="n">
        <x:v>18</x:v>
      </x:c>
      <x:c r="M114" s="26" t="n">
        <x:v>268.06113</x:v>
      </x:c>
      <x:c r="N114" s="26" t="n">
        <x:v>1.69411</x:v>
      </x:c>
      <x:c r="O114" s="26" t="n">
        <x:v>23.62</x:v>
      </x:c>
      <x:c r="P114" s="26" t="n">
        <x:v>268.02276</x:v>
      </x:c>
      <x:c r="Q114" s="26" t="n">
        <x:v>2.51653</x:v>
      </x:c>
      <x:c r="R114" s="26" t="n">
        <x:v>31.4</x:v>
      </x:c>
      <x:c r="S114" s="26" t="n">
        <x:v>268.07897</x:v>
      </x:c>
      <x:c r="T114" s="26" t="n">
        <x:v>0.17542</x:v>
      </x:c>
      <x:c r="U114" s="26" t="n">
        <x:v>268.06113</x:v>
      </x:c>
      <x:c r="V114" s="26" t="n">
        <x:v>1.69411</x:v>
      </x:c>
      <x:c r="W114" s="26" t="n">
        <x:v>268.02276</x:v>
      </x:c>
      <x:c r="X114" s="26" t="n">
        <x:v>2.51653</x:v>
      </x:c>
      <x:c r="Y114" s="26" t="n">
        <x:v>268.03488</x:v>
      </x:c>
      <x:c r="Z114" s="26" t="n">
        <x:v>0.03488</x:v>
      </x:c>
      <x:c r="AA114" s="26" t="n">
        <x:v>0.17542</x:v>
      </x:c>
      <x:c r="AB114" s="26" t="n">
        <x:v>1.69411</x:v>
      </x:c>
      <x:c r="AC114" s="26" t="n">
        <x:v>2.51653</x:v>
      </x:c>
      <x:c r="AD114" s="26" t="n">
        <x:v>3.0387</x:v>
      </x:c>
      <x:c r="AE114" s="26" t="n">
        <x:v>29.34</x:v>
      </x:c>
      <x:c r="AF114" s="26" t="str">
        <x:v>Z</x:v>
      </x:c>
      <x:c r="AG114" s="26" t="n">
        <x:v>0.20405</x:v>
      </x:c>
      <x:c r="AH114" s="26" t="n">
        <x:v>-76.01</x:v>
      </x:c>
      <x:c r="AI114" s="26" t="n">
        <x:v>0.127</x:v>
      </x:c>
      <x:c r="AJ114" s="26" t="n">
        <x:v>14.25</x:v>
      </x:c>
      <x:c r="AK114" s="26" t="n">
        <x:v>2.02714</x:v>
      </x:c>
      <x:c r="AL114" s="26" t="n">
        <x:v>-167.54</x:v>
      </x:c>
      <x:c r="AM114" s="26" t="n">
        <x:v>0.561</x:v>
      </x:c>
      <x:c r="AN114" s="26" t="n">
        <x:v>3.1</x:v>
      </x:c>
      <x:c r="AO114" s="26" t="n">
        <x:v>3.05278</x:v>
      </x:c>
      <x:c r="AP114" s="26" t="n">
        <x:v>121.96</x:v>
      </x:c>
      <x:c r="AQ114" s="26" t="n">
        <x:v>0.81</x:v>
      </x:c>
      <x:c r="AR114" s="26" t="n">
        <x:v>2.27</x:v>
      </x:c>
      <x:c r="AS114" s="26" t="n">
        <x:v>3.67075</x:v>
      </x:c>
      <x:c r="AT114" s="26" t="n">
        <x:v>1.85</x:v>
      </x:c>
      <x:c r="AU114" s="26" t="n">
        <x:v>0.0556</x:v>
      </x:c>
      <x:c r="AV114" s="26" t="n">
        <x:v>0.5522</x:v>
      </x:c>
      <x:c r="AW114" s="26" t="n">
        <x:v>0.8317</x:v>
      </x:c>
      <x:c r="AX114" s="26" t="n">
        <x:v>1</x:v>
      </x:c>
    </x:row>
    <x:row r="115">
      <x:c r="A115" s="26" t="str">
        <x:v>K4</x:v>
      </x:c>
      <x:c r="B115" s="26" t="str">
        <x:v>Horizontal / flat</x:v>
      </x:c>
      <x:c r="C115" s="26" t="str">
        <x:v>Highest tested</x:v>
      </x:c>
      <x:c r="D115" s="26" t="str">
        <x:v>Pasted text (4).txt</x:v>
      </x:c>
      <x:c r="E115" s="26" t="str">
        <x:v>GAIN_SWEEP</x:v>
      </x:c>
      <x:c r="F115" s="26" t="n">
        <x:v>11</x:v>
      </x:c>
      <x:c r="G115" s="26" t="n">
        <x:v>2</x:v>
      </x:c>
      <x:c r="H115" s="26" t="n">
        <x:v>268</x:v>
      </x:c>
      <x:c r="I115" s="26" t="n">
        <x:v>11</x:v>
      </x:c>
      <x:c r="J115" s="26" t="n">
        <x:v>240.45891</x:v>
      </x:c>
      <x:c r="K115" s="26" t="n">
        <x:v>0.42237</x:v>
      </x:c>
      <x:c r="L115" s="26" t="n">
        <x:v>17.95</x:v>
      </x:c>
      <x:c r="M115" s="26" t="n">
        <x:v>267.94488</x:v>
      </x:c>
      <x:c r="N115" s="26" t="n">
        <x:v>1.66403</x:v>
      </x:c>
      <x:c r="O115" s="26" t="n">
        <x:v>23.78</x:v>
      </x:c>
      <x:c r="P115" s="26" t="n">
        <x:v>268.04355</x:v>
      </x:c>
      <x:c r="Q115" s="26" t="n">
        <x:v>2.6132</x:v>
      </x:c>
      <x:c r="R115" s="26" t="n">
        <x:v>31.36</x:v>
      </x:c>
      <x:c r="S115" s="26" t="n">
        <x:v>267.97389</x:v>
      </x:c>
      <x:c r="T115" s="26" t="n">
        <x:v>0.15036</x:v>
      </x:c>
      <x:c r="U115" s="26" t="n">
        <x:v>267.94488</x:v>
      </x:c>
      <x:c r="V115" s="26" t="n">
        <x:v>1.66403</x:v>
      </x:c>
      <x:c r="W115" s="26" t="n">
        <x:v>268.04355</x:v>
      </x:c>
      <x:c r="X115" s="26" t="n">
        <x:v>2.6132</x:v>
      </x:c>
      <x:c r="Y115" s="26" t="n">
        <x:v>268.01543</x:v>
      </x:c>
      <x:c r="Z115" s="26" t="n">
        <x:v>0.01543</x:v>
      </x:c>
      <x:c r="AA115" s="26" t="n">
        <x:v>0.15036</x:v>
      </x:c>
      <x:c r="AB115" s="26" t="n">
        <x:v>1.64172</x:v>
      </x:c>
      <x:c r="AC115" s="26" t="n">
        <x:v>2.6132</x:v>
      </x:c>
      <x:c r="AD115" s="26" t="n">
        <x:v>3.08977</x:v>
      </x:c>
      <x:c r="AE115" s="26" t="n">
        <x:v>33.13</x:v>
      </x:c>
      <x:c r="AF115" s="26" t="str">
        <x:v>Z</x:v>
      </x:c>
      <x:c r="AG115" s="26" t="n">
        <x:v>0.1969</x:v>
      </x:c>
      <x:c r="AH115" s="26" t="n">
        <x:v>-95.77</x:v>
      </x:c>
      <x:c r="AI115" s="26" t="n">
        <x:v>0.123</x:v>
      </x:c>
      <x:c r="AJ115" s="26" t="n">
        <x:v>15.83</x:v>
      </x:c>
      <x:c r="AK115" s="26" t="n">
        <x:v>2.12153</x:v>
      </x:c>
      <x:c r="AL115" s="26" t="n">
        <x:v>-168.89</x:v>
      </x:c>
      <x:c r="AM115" s="26" t="n">
        <x:v>0.569</x:v>
      </x:c>
      <x:c r="AN115" s="26" t="n">
        <x:v>1.44</x:v>
      </x:c>
      <x:c r="AO115" s="26" t="n">
        <x:v>3.23275</x:v>
      </x:c>
      <x:c r="AP115" s="26" t="n">
        <x:v>119.9</x:v>
      </x:c>
      <x:c r="AQ115" s="26" t="n">
        <x:v>0.819</x:v>
      </x:c>
      <x:c r="AR115" s="26" t="n">
        <x:v>4.99</x:v>
      </x:c>
      <x:c r="AS115" s="26" t="n">
        <x:v>3.87248</x:v>
      </x:c>
      <x:c r="AT115" s="26" t="n">
        <x:v>3.72</x:v>
      </x:c>
      <x:c r="AU115" s="26" t="n">
        <x:v>0.0508</x:v>
      </x:c>
      <x:c r="AV115" s="26" t="n">
        <x:v>0.5478</x:v>
      </x:c>
      <x:c r="AW115" s="26" t="n">
        <x:v>0.8348</x:v>
      </x:c>
      <x:c r="AX115" s="26" t="n">
        <x:v>1</x:v>
      </x:c>
    </x:row>
    <x:row r="116">
      <x:c r="A116" s="26" t="str">
        <x:v>K4</x:v>
      </x:c>
      <x:c r="B116" s="26" t="str">
        <x:v>Horizontal / flat</x:v>
      </x:c>
      <x:c r="C116" s="26" t="str">
        <x:v>Highest tested</x:v>
      </x:c>
      <x:c r="D116" s="26" t="str">
        <x:v>Pasted text (4).txt</x:v>
      </x:c>
      <x:c r="E116" s="26" t="str">
        <x:v>GAIN_SWEEP</x:v>
      </x:c>
      <x:c r="F116" s="26" t="n">
        <x:v>12</x:v>
      </x:c>
      <x:c r="G116" s="26" t="n">
        <x:v>1</x:v>
      </x:c>
      <x:c r="H116" s="26" t="n">
        <x:v>268</x:v>
      </x:c>
      <x:c r="I116" s="26" t="n">
        <x:v>12</x:v>
      </x:c>
      <x:c r="J116" s="26" t="n">
        <x:v>481.28475</x:v>
      </x:c>
      <x:c r="K116" s="26" t="n">
        <x:v>0.43813</x:v>
      </x:c>
      <x:c r="L116" s="26" t="n">
        <x:v>17.78</x:v>
      </x:c>
      <x:c r="M116" s="26" t="n">
        <x:v>267.97774</x:v>
      </x:c>
      <x:c r="N116" s="26" t="n">
        <x:v>2.07706</x:v>
      </x:c>
      <x:c r="O116" s="26" t="n">
        <x:v>24.82</x:v>
      </x:c>
      <x:c r="P116" s="26" t="n">
        <x:v>268.03988</x:v>
      </x:c>
      <x:c r="Q116" s="26" t="n">
        <x:v>3.01277</x:v>
      </x:c>
      <x:c r="R116" s="26" t="n">
        <x:v>31.57</x:v>
      </x:c>
      <x:c r="S116" s="26" t="n">
        <x:v>267.93941</x:v>
      </x:c>
      <x:c r="T116" s="26" t="n">
        <x:v>0.19911</x:v>
      </x:c>
      <x:c r="U116" s="26" t="n">
        <x:v>267.97774</x:v>
      </x:c>
      <x:c r="V116" s="26" t="n">
        <x:v>2.07706</x:v>
      </x:c>
      <x:c r="W116" s="26" t="n">
        <x:v>268.03988</x:v>
      </x:c>
      <x:c r="X116" s="26" t="n">
        <x:v>3.01277</x:v>
      </x:c>
      <x:c r="Y116" s="26" t="n">
        <x:v>268.01982</x:v>
      </x:c>
      <x:c r="Z116" s="26" t="n">
        <x:v>0.01982</x:v>
      </x:c>
      <x:c r="AA116" s="26" t="n">
        <x:v>0.19611</x:v>
      </x:c>
      <x:c r="AB116" s="26" t="n">
        <x:v>2.07706</x:v>
      </x:c>
      <x:c r="AC116" s="26" t="n">
        <x:v>3.01277</x:v>
      </x:c>
      <x:c r="AD116" s="26" t="n">
        <x:v>3.66462</x:v>
      </x:c>
      <x:c r="AE116" s="26" t="n">
        <x:v>31.48</x:v>
      </x:c>
      <x:c r="AF116" s="26" t="str">
        <x:v>Z</x:v>
      </x:c>
      <x:c r="AG116" s="26" t="n">
        <x:v>0.2593</x:v>
      </x:c>
      <x:c r="AH116" s="26" t="n">
        <x:v>-97.77</x:v>
      </x:c>
      <x:c r="AI116" s="26" t="n">
        <x:v>0.151</x:v>
      </x:c>
      <x:c r="AJ116" s="26" t="n">
        <x:v>5.12</x:v>
      </x:c>
      <x:c r="AK116" s="26" t="n">
        <x:v>2.54911</x:v>
      </x:c>
      <x:c r="AL116" s="26" t="n">
        <x:v>-175.03</x:v>
      </x:c>
      <x:c r="AM116" s="26" t="n">
        <x:v>0.609</x:v>
      </x:c>
      <x:c r="AN116" s="26" t="n">
        <x:v>4.51</x:v>
      </x:c>
      <x:c r="AO116" s="26" t="n">
        <x:v>3.59542</x:v>
      </x:c>
      <x:c r="AP116" s="26" t="n">
        <x:v>120.09</x:v>
      </x:c>
      <x:c r="AQ116" s="26" t="n">
        <x:v>0.819</x:v>
      </x:c>
      <x:c r="AR116" s="26" t="n">
        <x:v>0.86</x:v>
      </x:c>
      <x:c r="AS116" s="26" t="n">
        <x:v>4.41584</x:v>
      </x:c>
      <x:c r="AT116" s="26" t="n">
        <x:v>1.61</x:v>
      </x:c>
      <x:c r="AU116" s="26" t="n">
        <x:v>0.0587</x:v>
      </x:c>
      <x:c r="AV116" s="26" t="n">
        <x:v>0.5773</x:v>
      </x:c>
      <x:c r="AW116" s="26" t="n">
        <x:v>0.8142</x:v>
      </x:c>
      <x:c r="AX116" s="26" t="n">
        <x:v>1</x:v>
      </x:c>
    </x:row>
    <x:row r="117">
      <x:c r="A117" s="26" t="str">
        <x:v>K4</x:v>
      </x:c>
      <x:c r="B117" s="26" t="str">
        <x:v>Horizontal / flat</x:v>
      </x:c>
      <x:c r="C117" s="26" t="str">
        <x:v>Highest tested</x:v>
      </x:c>
      <x:c r="D117" s="26" t="str">
        <x:v>Pasted text (4).txt</x:v>
      </x:c>
      <x:c r="E117" s="26" t="str">
        <x:v>GAIN_SWEEP</x:v>
      </x:c>
      <x:c r="F117" s="26" t="n">
        <x:v>12</x:v>
      </x:c>
      <x:c r="G117" s="26" t="n">
        <x:v>2</x:v>
      </x:c>
      <x:c r="H117" s="26" t="n">
        <x:v>268</x:v>
      </x:c>
      <x:c r="I117" s="26" t="n">
        <x:v>12</x:v>
      </x:c>
      <x:c r="J117" s="26" t="n">
        <x:v>480.12479</x:v>
      </x:c>
      <x:c r="K117" s="26" t="n">
        <x:v>0.44454</x:v>
      </x:c>
      <x:c r="L117" s="26" t="n">
        <x:v>18.42</x:v>
      </x:c>
      <x:c r="M117" s="26" t="n">
        <x:v>268.02341</x:v>
      </x:c>
      <x:c r="N117" s="26" t="n">
        <x:v>2.06304</x:v>
      </x:c>
      <x:c r="O117" s="26" t="n">
        <x:v>24.9</x:v>
      </x:c>
      <x:c r="P117" s="26" t="n">
        <x:v>268.02675</x:v>
      </x:c>
      <x:c r="Q117" s="26" t="n">
        <x:v>3.14029</x:v>
      </x:c>
      <x:c r="R117" s="26" t="n">
        <x:v>31.78</x:v>
      </x:c>
      <x:c r="S117" s="26" t="n">
        <x:v>267.9496</x:v>
      </x:c>
      <x:c r="T117" s="26" t="n">
        <x:v>0.21319</x:v>
      </x:c>
      <x:c r="U117" s="26" t="n">
        <x:v>268.02341</x:v>
      </x:c>
      <x:c r="V117" s="26" t="n">
        <x:v>2.06304</x:v>
      </x:c>
      <x:c r="W117" s="26" t="n">
        <x:v>268.02675</x:v>
      </x:c>
      <x:c r="X117" s="26" t="n">
        <x:v>3.14029</x:v>
      </x:c>
      <x:c r="Y117" s="26" t="n">
        <x:v>268.02555</x:v>
      </x:c>
      <x:c r="Z117" s="26" t="n">
        <x:v>0.02555</x:v>
      </x:c>
      <x:c r="AA117" s="26" t="n">
        <x:v>0.21107</x:v>
      </x:c>
      <x:c r="AB117" s="26" t="n">
        <x:v>2.06304</x:v>
      </x:c>
      <x:c r="AC117" s="26" t="n">
        <x:v>3.14029</x:v>
      </x:c>
      <x:c r="AD117" s="26" t="n">
        <x:v>3.76326</x:v>
      </x:c>
      <x:c r="AE117" s="26" t="n">
        <x:v>33.17</x:v>
      </x:c>
      <x:c r="AF117" s="26" t="str">
        <x:v>Z</x:v>
      </x:c>
      <x:c r="AG117" s="26" t="n">
        <x:v>0.28476</x:v>
      </x:c>
      <x:c r="AH117" s="26" t="n">
        <x:v>-129.1</x:v>
      </x:c>
      <x:c r="AI117" s="26" t="n">
        <x:v>0.171</x:v>
      </x:c>
      <x:c r="AJ117" s="26" t="n">
        <x:v>6.21</x:v>
      </x:c>
      <x:c r="AK117" s="26" t="n">
        <x:v>2.69904</x:v>
      </x:c>
      <x:c r="AL117" s="26" t="n">
        <x:v>178.31</x:v>
      </x:c>
      <x:c r="AM117" s="26" t="n">
        <x:v>0.618</x:v>
      </x:c>
      <x:c r="AN117" s="26" t="n">
        <x:v>3.27</x:v>
      </x:c>
      <x:c r="AO117" s="26" t="n">
        <x:v>3.91287</x:v>
      </x:c>
      <x:c r="AP117" s="26" t="n">
        <x:v>117.64</x:v>
      </x:c>
      <x:c r="AQ117" s="26" t="n">
        <x:v>0.82</x:v>
      </x:c>
      <x:c r="AR117" s="26" t="n">
        <x:v>2.7</x:v>
      </x:c>
      <x:c r="AS117" s="26" t="n">
        <x:v>4.76283</x:v>
      </x:c>
      <x:c r="AT117" s="26" t="n">
        <x:v>2.01</x:v>
      </x:c>
      <x:c r="AU117" s="26" t="n">
        <x:v>0.0598</x:v>
      </x:c>
      <x:c r="AV117" s="26" t="n">
        <x:v>0.5667</x:v>
      </x:c>
      <x:c r="AW117" s="26" t="n">
        <x:v>0.8215</x:v>
      </x:c>
      <x:c r="AX117" s="26" t="n">
        <x:v>1</x:v>
      </x:c>
    </x:row>
    <x:row r="118">
      <x:c r="A118" s="26" t="str">
        <x:v>K4</x:v>
      </x:c>
      <x:c r="B118" s="26" t="str">
        <x:v>Horizontal / flat</x:v>
      </x:c>
      <x:c r="C118" s="26" t="str">
        <x:v>Highest tested</x:v>
      </x:c>
      <x:c r="D118" s="26" t="str">
        <x:v>Pasted text (4).txt</x:v>
      </x:c>
      <x:c r="E118" s="26" t="str">
        <x:v>GAIN_SWEEP</x:v>
      </x:c>
      <x:c r="F118" s="26" t="n">
        <x:v>13</x:v>
      </x:c>
      <x:c r="G118" s="26" t="n">
        <x:v>1</x:v>
      </x:c>
      <x:c r="H118" s="26" t="n">
        <x:v>268</x:v>
      </x:c>
      <x:c r="I118" s="26" t="n">
        <x:v>13</x:v>
      </x:c>
      <x:c r="J118" s="26" t="n">
        <x:v>480.75019</x:v>
      </x:c>
      <x:c r="K118" s="26" t="n">
        <x:v>0.44467</x:v>
      </x:c>
      <x:c r="L118" s="26" t="n">
        <x:v>17.89</x:v>
      </x:c>
      <x:c r="M118" s="26" t="n">
        <x:v>268.06788</x:v>
      </x:c>
      <x:c r="N118" s="26" t="n">
        <x:v>2.90687</x:v>
      </x:c>
      <x:c r="O118" s="26" t="n">
        <x:v>27.35</x:v>
      </x:c>
      <x:c r="P118" s="26" t="n">
        <x:v>268.0152</x:v>
      </x:c>
      <x:c r="Q118" s="26" t="n">
        <x:v>3.77439</x:v>
      </x:c>
      <x:c r="R118" s="26" t="n">
        <x:v>33.04</x:v>
      </x:c>
      <x:c r="S118" s="26" t="n">
        <x:v>267.81699</x:v>
      </x:c>
      <x:c r="T118" s="26" t="n">
        <x:v>0.25591</x:v>
      </x:c>
      <x:c r="U118" s="26" t="n">
        <x:v>268.06788</x:v>
      </x:c>
      <x:c r="V118" s="26" t="n">
        <x:v>2.90687</x:v>
      </x:c>
      <x:c r="W118" s="26" t="n">
        <x:v>268.0152</x:v>
      </x:c>
      <x:c r="X118" s="26" t="n">
        <x:v>3.77439</x:v>
      </x:c>
      <x:c r="Y118" s="26" t="n">
        <x:v>268.03429</x:v>
      </x:c>
      <x:c r="Z118" s="26" t="n">
        <x:v>0.03429</x:v>
      </x:c>
      <x:c r="AA118" s="26" t="n">
        <x:v>0.2347</x:v>
      </x:c>
      <x:c r="AB118" s="26" t="n">
        <x:v>2.90687</x:v>
      </x:c>
      <x:c r="AC118" s="26" t="n">
        <x:v>3.77439</x:v>
      </x:c>
      <x:c r="AD118" s="26" t="n">
        <x:v>4.7698</x:v>
      </x:c>
      <x:c r="AE118" s="26" t="n">
        <x:v>33.8</x:v>
      </x:c>
      <x:c r="AF118" s="26" t="str">
        <x:v>Z</x:v>
      </x:c>
      <x:c r="AG118" s="26" t="n">
        <x:v>0.33882</x:v>
      </x:c>
      <x:c r="AH118" s="26" t="n">
        <x:v>-104.2</x:v>
      </x:c>
      <x:c r="AI118" s="26" t="n">
        <x:v>0.21</x:v>
      </x:c>
      <x:c r="AJ118" s="26" t="n">
        <x:v>6.39</x:v>
      </x:c>
      <x:c r="AK118" s="26" t="n">
        <x:v>3.64282</x:v>
      </x:c>
      <x:c r="AL118" s="26" t="n">
        <x:v>172.68</x:v>
      </x:c>
      <x:c r="AM118" s="26" t="n">
        <x:v>0.711</x:v>
      </x:c>
      <x:c r="AN118" s="26" t="n">
        <x:v>3.98</x:v>
      </x:c>
      <x:c r="AO118" s="26" t="n">
        <x:v>4.69528</x:v>
      </x:c>
      <x:c r="AP118" s="26" t="n">
        <x:v>116.25</x:v>
      </x:c>
      <x:c r="AQ118" s="26" t="n">
        <x:v>0.847</x:v>
      </x:c>
      <x:c r="AR118" s="26" t="n">
        <x:v>1.07</x:v>
      </x:c>
      <x:c r="AS118" s="26" t="n">
        <x:v>5.9532</x:v>
      </x:c>
      <x:c r="AT118" s="26" t="n">
        <x:v>1.81</x:v>
      </x:c>
      <x:c r="AU118" s="26" t="n">
        <x:v>0.0569</x:v>
      </x:c>
      <x:c r="AV118" s="26" t="n">
        <x:v>0.6119</x:v>
      </x:c>
      <x:c r="AW118" s="26" t="n">
        <x:v>0.7887</x:v>
      </x:c>
      <x:c r="AX118" s="26" t="n">
        <x:v>1</x:v>
      </x:c>
    </x:row>
    <x:row r="119">
      <x:c r="A119" s="26" t="str">
        <x:v>K4</x:v>
      </x:c>
      <x:c r="B119" s="26" t="str">
        <x:v>Horizontal / flat</x:v>
      </x:c>
      <x:c r="C119" s="26" t="str">
        <x:v>Highest tested</x:v>
      </x:c>
      <x:c r="D119" s="26" t="str">
        <x:v>Pasted text (4).txt</x:v>
      </x:c>
      <x:c r="E119" s="26" t="str">
        <x:v>GAIN_SWEEP</x:v>
      </x:c>
      <x:c r="F119" s="26" t="n">
        <x:v>13</x:v>
      </x:c>
      <x:c r="G119" s="26" t="n">
        <x:v>2</x:v>
      </x:c>
      <x:c r="H119" s="26" t="n">
        <x:v>268</x:v>
      </x:c>
      <x:c r="I119" s="26" t="n">
        <x:v>13</x:v>
      </x:c>
      <x:c r="J119" s="26" t="n">
        <x:v>240.46431</x:v>
      </x:c>
      <x:c r="K119" s="26" t="n">
        <x:v>0.44393</x:v>
      </x:c>
      <x:c r="L119" s="26" t="n">
        <x:v>17.94</x:v>
      </x:c>
      <x:c r="M119" s="26" t="n">
        <x:v>268.05644</x:v>
      </x:c>
      <x:c r="N119" s="26" t="n">
        <x:v>3.30094</x:v>
      </x:c>
      <x:c r="O119" s="26" t="n">
        <x:v>28.67</x:v>
      </x:c>
      <x:c r="P119" s="26" t="n">
        <x:v>268.02598</x:v>
      </x:c>
      <x:c r="Q119" s="26" t="n">
        <x:v>4.05098</x:v>
      </x:c>
      <x:c r="R119" s="26" t="n">
        <x:v>33.54</x:v>
      </x:c>
      <x:c r="S119" s="26" t="n">
        <x:v>268.21806</x:v>
      </x:c>
      <x:c r="T119" s="26" t="n">
        <x:v>0.30364</x:v>
      </x:c>
      <x:c r="U119" s="26" t="n">
        <x:v>268.05644</x:v>
      </x:c>
      <x:c r="V119" s="26" t="n">
        <x:v>3.30094</x:v>
      </x:c>
      <x:c r="W119" s="26" t="n">
        <x:v>268.02598</x:v>
      </x:c>
      <x:c r="X119" s="26" t="n">
        <x:v>4.05098</x:v>
      </x:c>
      <x:c r="Y119" s="26" t="n">
        <x:v>268.03866</x:v>
      </x:c>
      <x:c r="Z119" s="26" t="n">
        <x:v>0.03866</x:v>
      </x:c>
      <x:c r="AA119" s="26" t="n">
        <x:v>0.30364</x:v>
      </x:c>
      <x:c r="AB119" s="26" t="n">
        <x:v>3.30094</x:v>
      </x:c>
      <x:c r="AC119" s="26" t="n">
        <x:v>4.05098</x:v>
      </x:c>
      <x:c r="AD119" s="26" t="n">
        <x:v>5.23439</x:v>
      </x:c>
      <x:c r="AE119" s="26" t="n">
        <x:v>34.14</x:v>
      </x:c>
      <x:c r="AF119" s="26" t="str">
        <x:v>Z</x:v>
      </x:c>
      <x:c r="AG119" s="26" t="n">
        <x:v>0.33396</x:v>
      </x:c>
      <x:c r="AH119" s="26" t="n">
        <x:v>-118.66</x:v>
      </x:c>
      <x:c r="AI119" s="26" t="n">
        <x:v>0.199</x:v>
      </x:c>
      <x:c r="AJ119" s="26" t="n">
        <x:v>18.56</x:v>
      </x:c>
      <x:c r="AK119" s="26" t="n">
        <x:v>4.02175</x:v>
      </x:c>
      <x:c r="AL119" s="26" t="n">
        <x:v>171.08</x:v>
      </x:c>
      <x:c r="AM119" s="26" t="n">
        <x:v>0.733</x:v>
      </x:c>
      <x:c r="AN119" s="26" t="n">
        <x:v>2.32</x:v>
      </x:c>
      <x:c r="AO119" s="26" t="n">
        <x:v>5.0548</x:v>
      </x:c>
      <x:c r="AP119" s="26" t="n">
        <x:v>116.35</x:v>
      </x:c>
      <x:c r="AQ119" s="26" t="n">
        <x:v>0.86</x:v>
      </x:c>
      <x:c r="AR119" s="26" t="n">
        <x:v>1</x:v>
      </x:c>
      <x:c r="AS119" s="26" t="n">
        <x:v>6.46861</x:v>
      </x:c>
      <x:c r="AT119" s="26" t="n">
        <x:v>1.36</x:v>
      </x:c>
      <x:c r="AU119" s="26" t="n">
        <x:v>0.0516</x:v>
      </x:c>
      <x:c r="AV119" s="26" t="n">
        <x:v>0.6217</x:v>
      </x:c>
      <x:c r="AW119" s="26" t="n">
        <x:v>0.7814</x:v>
      </x:c>
      <x:c r="AX119" s="26" t="n">
        <x:v>1</x:v>
      </x:c>
    </x:row>
    <x:row r="120">
      <x:c r="A120" s="26" t="str">
        <x:v>K4</x:v>
      </x:c>
      <x:c r="B120" s="26" t="str">
        <x:v>Horizontal / flat</x:v>
      </x:c>
      <x:c r="C120" s="26" t="str">
        <x:v>Highest tested</x:v>
      </x:c>
      <x:c r="D120" s="26" t="str">
        <x:v>Pasted text (4).txt</x:v>
      </x:c>
      <x:c r="E120" s="26" t="str">
        <x:v>GAIN_SWEEP</x:v>
      </x:c>
      <x:c r="F120" s="26" t="n">
        <x:v>14</x:v>
      </x:c>
      <x:c r="G120" s="26" t="n">
        <x:v>1</x:v>
      </x:c>
      <x:c r="H120" s="26" t="n">
        <x:v>268</x:v>
      </x:c>
      <x:c r="I120" s="26" t="n">
        <x:v>14</x:v>
      </x:c>
      <x:c r="J120" s="26" t="n">
        <x:v>240.14588</x:v>
      </x:c>
      <x:c r="K120" s="26" t="n">
        <x:v>0.53496</x:v>
      </x:c>
      <x:c r="L120" s="26" t="n">
        <x:v>17.82</x:v>
      </x:c>
      <x:c r="M120" s="26" t="n">
        <x:v>268.02684</x:v>
      </x:c>
      <x:c r="N120" s="26" t="n">
        <x:v>4.32201</x:v>
      </x:c>
      <x:c r="O120" s="26" t="n">
        <x:v>29.31</x:v>
      </x:c>
      <x:c r="P120" s="26" t="n">
        <x:v>268.03428</x:v>
      </x:c>
      <x:c r="Q120" s="26" t="n">
        <x:v>4.65051</x:v>
      </x:c>
      <x:c r="R120" s="26" t="n">
        <x:v>33.54</x:v>
      </x:c>
      <x:c r="S120" s="26" t="n">
        <x:v>267.94702</x:v>
      </x:c>
      <x:c r="T120" s="26" t="n">
        <x:v>0.24229</x:v>
      </x:c>
      <x:c r="U120" s="26" t="n">
        <x:v>268.02684</x:v>
      </x:c>
      <x:c r="V120" s="26" t="n">
        <x:v>4.32201</x:v>
      </x:c>
      <x:c r="W120" s="26" t="n">
        <x:v>268.03428</x:v>
      </x:c>
      <x:c r="X120" s="26" t="n">
        <x:v>4.65051</x:v>
      </x:c>
      <x:c r="Y120" s="26" t="n">
        <x:v>268.03072</x:v>
      </x:c>
      <x:c r="Z120" s="26" t="n">
        <x:v>0.03072</x:v>
      </x:c>
      <x:c r="AA120" s="26" t="n">
        <x:v>0.23966</x:v>
      </x:c>
      <x:c r="AB120" s="26" t="n">
        <x:v>4.32201</x:v>
      </x:c>
      <x:c r="AC120" s="26" t="n">
        <x:v>4.65051</x:v>
      </x:c>
      <x:c r="AD120" s="26" t="n">
        <x:v>6.3533</x:v>
      </x:c>
      <x:c r="AE120" s="26" t="n">
        <x:v>33.96</x:v>
      </x:c>
      <x:c r="AF120" s="26" t="str">
        <x:v>Z</x:v>
      </x:c>
      <x:c r="AG120" s="26" t="n">
        <x:v>0.3139</x:v>
      </x:c>
      <x:c r="AH120" s="26" t="n">
        <x:v>-138</x:v>
      </x:c>
      <x:c r="AI120" s="26" t="n">
        <x:v>0.16</x:v>
      </x:c>
      <x:c r="AJ120" s="26" t="n">
        <x:v>13.17</x:v>
      </x:c>
      <x:c r="AK120" s="26" t="n">
        <x:v>5.10293</x:v>
      </x:c>
      <x:c r="AL120" s="26" t="n">
        <x:v>170.8</x:v>
      </x:c>
      <x:c r="AM120" s="26" t="n">
        <x:v>0.763</x:v>
      </x:c>
      <x:c r="AN120" s="26" t="n">
        <x:v>3</x:v>
      </x:c>
      <x:c r="AO120" s="26" t="n">
        <x:v>5.51338</x:v>
      </x:c>
      <x:c r="AP120" s="26" t="n">
        <x:v>118.2</x:v>
      </x:c>
      <x:c r="AQ120" s="26" t="n">
        <x:v>0.852</x:v>
      </x:c>
      <x:c r="AR120" s="26" t="n">
        <x:v>0.91</x:v>
      </x:c>
      <x:c r="AS120" s="26" t="n">
        <x:v>7.52019</x:v>
      </x:c>
      <x:c r="AT120" s="26" t="n">
        <x:v>1</x:v>
      </x:c>
      <x:c r="AU120" s="26" t="n">
        <x:v>0.0417</x:v>
      </x:c>
      <x:c r="AV120" s="26" t="n">
        <x:v>0.6786</x:v>
      </x:c>
      <x:c r="AW120" s="26" t="n">
        <x:v>0.7331</x:v>
      </x:c>
      <x:c r="AX120" s="26" t="n">
        <x:v>1</x:v>
      </x:c>
    </x:row>
    <x:row r="121">
      <x:c r="A121" s="26" t="str">
        <x:v>K4</x:v>
      </x:c>
      <x:c r="B121" s="26" t="str">
        <x:v>Horizontal / flat</x:v>
      </x:c>
      <x:c r="C121" s="26" t="str">
        <x:v>Highest tested</x:v>
      </x:c>
      <x:c r="D121" s="26" t="str">
        <x:v>Pasted text (4).txt</x:v>
      </x:c>
      <x:c r="E121" s="26" t="str">
        <x:v>GAIN_SWEEP</x:v>
      </x:c>
      <x:c r="F121" s="26" t="n">
        <x:v>14</x:v>
      </x:c>
      <x:c r="G121" s="26" t="n">
        <x:v>2</x:v>
      </x:c>
      <x:c r="H121" s="26" t="n">
        <x:v>268</x:v>
      </x:c>
      <x:c r="I121" s="26" t="n">
        <x:v>14</x:v>
      </x:c>
      <x:c r="J121" s="26" t="n">
        <x:v>240.3093</x:v>
      </x:c>
      <x:c r="K121" s="26" t="n">
        <x:v>0.58598</x:v>
      </x:c>
      <x:c r="L121" s="26" t="n">
        <x:v>18.49</x:v>
      </x:c>
      <x:c r="M121" s="26" t="n">
        <x:v>268.02602</x:v>
      </x:c>
      <x:c r="N121" s="26" t="n">
        <x:v>4.14051</x:v>
      </x:c>
      <x:c r="O121" s="26" t="n">
        <x:v>28.96</x:v>
      </x:c>
      <x:c r="P121" s="26" t="n">
        <x:v>268.02598</x:v>
      </x:c>
      <x:c r="Q121" s="26" t="n">
        <x:v>4.57183</x:v>
      </x:c>
      <x:c r="R121" s="26" t="n">
        <x:v>33.29</x:v>
      </x:c>
      <x:c r="S121" s="26" t="n">
        <x:v>267.87018</x:v>
      </x:c>
      <x:c r="T121" s="26" t="n">
        <x:v>0.4033</x:v>
      </x:c>
      <x:c r="U121" s="26" t="n">
        <x:v>268.02602</x:v>
      </x:c>
      <x:c r="V121" s="26" t="n">
        <x:v>4.14051</x:v>
      </x:c>
      <x:c r="W121" s="26" t="n">
        <x:v>268.02598</x:v>
      </x:c>
      <x:c r="X121" s="26" t="n">
        <x:v>4.57183</x:v>
      </x:c>
      <x:c r="Y121" s="26" t="n">
        <x:v>268.0254</x:v>
      </x:c>
      <x:c r="Z121" s="26" t="n">
        <x:v>0.0254</x:v>
      </x:c>
      <x:c r="AA121" s="26" t="n">
        <x:v>0.38166</x:v>
      </x:c>
      <x:c r="AB121" s="26" t="n">
        <x:v>4.14051</x:v>
      </x:c>
      <x:c r="AC121" s="26" t="n">
        <x:v>4.57183</x:v>
      </x:c>
      <x:c r="AD121" s="26" t="n">
        <x:v>6.17989</x:v>
      </x:c>
      <x:c r="AE121" s="26" t="n">
        <x:v>34.51</x:v>
      </x:c>
      <x:c r="AF121" s="26" t="str">
        <x:v>Z</x:v>
      </x:c>
      <x:c r="AG121" s="26" t="n">
        <x:v>0.53991</x:v>
      </x:c>
      <x:c r="AH121" s="26" t="n">
        <x:v>-170.22</x:v>
      </x:c>
      <x:c r="AI121" s="26" t="n">
        <x:v>0.271</x:v>
      </x:c>
      <x:c r="AJ121" s="26" t="n">
        <x:v>12.18</x:v>
      </x:c>
      <x:c r="AK121" s="26" t="n">
        <x:v>4.93819</x:v>
      </x:c>
      <x:c r="AL121" s="26" t="n">
        <x:v>169.01</x:v>
      </x:c>
      <x:c r="AM121" s="26" t="n">
        <x:v>0.75</x:v>
      </x:c>
      <x:c r="AN121" s="26" t="n">
        <x:v>5.16</x:v>
      </x:c>
      <x:c r="AO121" s="26" t="n">
        <x:v>5.51467</x:v>
      </x:c>
      <x:c r="AP121" s="26" t="n">
        <x:v>117.53</x:v>
      </x:c>
      <x:c r="AQ121" s="26" t="n">
        <x:v>0.851</x:v>
      </x:c>
      <x:c r="AR121" s="26" t="n">
        <x:v>0.75</x:v>
      </x:c>
      <x:c r="AS121" s="26" t="n">
        <x:v>7.42465</x:v>
      </x:c>
      <x:c r="AT121" s="26" t="n">
        <x:v>2.14</x:v>
      </x:c>
      <x:c r="AU121" s="26" t="n">
        <x:v>0.0727</x:v>
      </x:c>
      <x:c r="AV121" s="26" t="n">
        <x:v>0.6651</x:v>
      </x:c>
      <x:c r="AW121" s="26" t="n">
        <x:v>0.7428</x:v>
      </x:c>
      <x:c r="AX121" s="26" t="n">
        <x:v>1</x:v>
      </x:c>
    </x:row>
    <x:row r="122">
      <x:c r="A122" s="26" t="str">
        <x:v>K4</x:v>
      </x:c>
      <x:c r="B122" s="26" t="str">
        <x:v>Horizontal / flat</x:v>
      </x:c>
      <x:c r="C122" s="26" t="str">
        <x:v>Highest tested</x:v>
      </x:c>
      <x:c r="D122" s="26" t="str">
        <x:v>Pasted text (4).txt</x:v>
      </x:c>
      <x:c r="E122" s="26" t="str">
        <x:v>GAIN_SWEEP</x:v>
      </x:c>
      <x:c r="F122" s="26" t="n">
        <x:v>15</x:v>
      </x:c>
      <x:c r="G122" s="26" t="n">
        <x:v>1</x:v>
      </x:c>
      <x:c r="H122" s="26" t="n">
        <x:v>268</x:v>
      </x:c>
      <x:c r="I122" s="26" t="n">
        <x:v>15</x:v>
      </x:c>
      <x:c r="J122" s="26" t="n">
        <x:v>240.36387</x:v>
      </x:c>
      <x:c r="K122" s="26" t="n">
        <x:v>0.66014</x:v>
      </x:c>
      <x:c r="L122" s="26" t="n">
        <x:v>18.81</x:v>
      </x:c>
      <x:c r="M122" s="26" t="n">
        <x:v>268.03559</x:v>
      </x:c>
      <x:c r="N122" s="26" t="n">
        <x:v>4.83564</x:v>
      </x:c>
      <x:c r="O122" s="26" t="n">
        <x:v>29.82</x:v>
      </x:c>
      <x:c r="P122" s="26" t="n">
        <x:v>268.03395</x:v>
      </x:c>
      <x:c r="Q122" s="26" t="n">
        <x:v>5.05303</x:v>
      </x:c>
      <x:c r="R122" s="26" t="n">
        <x:v>33.69</x:v>
      </x:c>
      <x:c r="S122" s="26" t="n">
        <x:v>268.08332</x:v>
      </x:c>
      <x:c r="T122" s="26" t="n">
        <x:v>0.53343</x:v>
      </x:c>
      <x:c r="U122" s="26" t="n">
        <x:v>268.03559</x:v>
      </x:c>
      <x:c r="V122" s="26" t="n">
        <x:v>4.83564</x:v>
      </x:c>
      <x:c r="W122" s="26" t="n">
        <x:v>268.03395</x:v>
      </x:c>
      <x:c r="X122" s="26" t="n">
        <x:v>5.05303</x:v>
      </x:c>
      <x:c r="Y122" s="26" t="n">
        <x:v>268.03502</x:v>
      </x:c>
      <x:c r="Z122" s="26" t="n">
        <x:v>0.03502</x:v>
      </x:c>
      <x:c r="AA122" s="26" t="n">
        <x:v>0.53343</x:v>
      </x:c>
      <x:c r="AB122" s="26" t="n">
        <x:v>4.83564</x:v>
      </x:c>
      <x:c r="AC122" s="26" t="n">
        <x:v>5.05303</x:v>
      </x:c>
      <x:c r="AD122" s="26" t="n">
        <x:v>7.01435</x:v>
      </x:c>
      <x:c r="AE122" s="26" t="n">
        <x:v>35.08</x:v>
      </x:c>
      <x:c r="AF122" s="26" t="str">
        <x:v>Z</x:v>
      </x:c>
      <x:c r="AG122" s="26" t="n">
        <x:v>0.7651</x:v>
      </x:c>
      <x:c r="AH122" s="26" t="n">
        <x:v>169.35</x:v>
      </x:c>
      <x:c r="AI122" s="26" t="n">
        <x:v>0.339</x:v>
      </x:c>
      <x:c r="AJ122" s="26" t="n">
        <x:v>8.46</x:v>
      </x:c>
      <x:c r="AK122" s="26" t="n">
        <x:v>5.82337</x:v>
      </x:c>
      <x:c r="AL122" s="26" t="n">
        <x:v>167.3</x:v>
      </x:c>
      <x:c r="AM122" s="26" t="n">
        <x:v>0.78</x:v>
      </x:c>
      <x:c r="AN122" s="26" t="n">
        <x:v>1.35</x:v>
      </x:c>
      <x:c r="AO122" s="26" t="n">
        <x:v>5.99519</x:v>
      </x:c>
      <x:c r="AP122" s="26" t="n">
        <x:v>118.55</x:v>
      </x:c>
      <x:c r="AQ122" s="26" t="n">
        <x:v>0.842</x:v>
      </x:c>
      <x:c r="AR122" s="26" t="n">
        <x:v>0.78</x:v>
      </x:c>
      <x:c r="AS122" s="26" t="n">
        <x:v>8.39335</x:v>
      </x:c>
      <x:c r="AT122" s="26" t="n">
        <x:v>0.42</x:v>
      </x:c>
      <x:c r="AU122" s="26" t="n">
        <x:v>0.0912</x:v>
      </x:c>
      <x:c r="AV122" s="26" t="n">
        <x:v>0.6938</x:v>
      </x:c>
      <x:c r="AW122" s="26" t="n">
        <x:v>0.7143</x:v>
      </x:c>
      <x:c r="AX122" s="26" t="n">
        <x:v>1</x:v>
      </x:c>
    </x:row>
    <x:row r="123">
      <x:c r="A123" s="26" t="str">
        <x:v>K4</x:v>
      </x:c>
      <x:c r="B123" s="26" t="str">
        <x:v>Horizontal / flat</x:v>
      </x:c>
      <x:c r="C123" s="26" t="str">
        <x:v>Highest tested</x:v>
      </x:c>
      <x:c r="D123" s="26" t="str">
        <x:v>Pasted text (4).txt</x:v>
      </x:c>
      <x:c r="E123" s="26" t="str">
        <x:v>GAIN_SWEEP</x:v>
      </x:c>
      <x:c r="F123" s="26" t="n">
        <x:v>15</x:v>
      </x:c>
      <x:c r="G123" s="26" t="n">
        <x:v>2</x:v>
      </x:c>
      <x:c r="H123" s="26" t="n">
        <x:v>268</x:v>
      </x:c>
      <x:c r="I123" s="26" t="n">
        <x:v>15</x:v>
      </x:c>
      <x:c r="J123" s="26" t="n">
        <x:v>268.04646</x:v>
      </x:c>
      <x:c r="K123" s="26" t="n">
        <x:v>0.75776</x:v>
      </x:c>
      <x:c r="L123" s="26" t="n">
        <x:v>19.78</x:v>
      </x:c>
      <x:c r="M123" s="26" t="n">
        <x:v>268.03043</x:v>
      </x:c>
      <x:c r="N123" s="26" t="n">
        <x:v>4.9715</x:v>
      </x:c>
      <x:c r="O123" s="26" t="n">
        <x:v>30.07</x:v>
      </x:c>
      <x:c r="P123" s="26" t="n">
        <x:v>268.02887</x:v>
      </x:c>
      <x:c r="Q123" s="26" t="n">
        <x:v>5.01607</x:v>
      </x:c>
      <x:c r="R123" s="26" t="n">
        <x:v>33.43</x:v>
      </x:c>
      <x:c r="S123" s="26" t="n">
        <x:v>268.04646</x:v>
      </x:c>
      <x:c r="T123" s="26" t="n">
        <x:v>0.75776</x:v>
      </x:c>
      <x:c r="U123" s="26" t="n">
        <x:v>268.03043</x:v>
      </x:c>
      <x:c r="V123" s="26" t="n">
        <x:v>4.9715</x:v>
      </x:c>
      <x:c r="W123" s="26" t="n">
        <x:v>268.02887</x:v>
      </x:c>
      <x:c r="X123" s="26" t="n">
        <x:v>5.01607</x:v>
      </x:c>
      <x:c r="Y123" s="26" t="n">
        <x:v>268.02983</x:v>
      </x:c>
      <x:c r="Z123" s="26" t="n">
        <x:v>0.02983</x:v>
      </x:c>
      <x:c r="AA123" s="26" t="n">
        <x:v>0.75776</x:v>
      </x:c>
      <x:c r="AB123" s="26" t="n">
        <x:v>4.9715</x:v>
      </x:c>
      <x:c r="AC123" s="26" t="n">
        <x:v>5.01607</x:v>
      </x:c>
      <x:c r="AD123" s="26" t="n">
        <x:v>7.10288</x:v>
      </x:c>
      <x:c r="AE123" s="26" t="n">
        <x:v>33.48</x:v>
      </x:c>
      <x:c r="AF123" s="26" t="str">
        <x:v>Z</x:v>
      </x:c>
      <x:c r="AG123" s="26" t="n">
        <x:v>0.92391</x:v>
      </x:c>
      <x:c r="AH123" s="26" t="n">
        <x:v>164.48</x:v>
      </x:c>
      <x:c r="AI123" s="26" t="n">
        <x:v>0.371</x:v>
      </x:c>
      <x:c r="AJ123" s="26" t="n">
        <x:v>4</x:v>
      </x:c>
      <x:c r="AK123" s="26" t="n">
        <x:v>6.10317</x:v>
      </x:c>
      <x:c r="AL123" s="26" t="n">
        <x:v>165.74</x:v>
      </x:c>
      <x:c r="AM123" s="26" t="n">
        <x:v>0.791</x:v>
      </x:c>
      <x:c r="AN123" s="26" t="n">
        <x:v>1.12</x:v>
      </x:c>
      <x:c r="AO123" s="26" t="n">
        <x:v>6.05147</x:v>
      </x:c>
      <x:c r="AP123" s="26" t="n">
        <x:v>120.57</x:v>
      </x:c>
      <x:c r="AQ123" s="26" t="n">
        <x:v>0.839</x:v>
      </x:c>
      <x:c r="AR123" s="26" t="n">
        <x:v>0.33</x:v>
      </x:c>
      <x:c r="AS123" s="26" t="n">
        <x:v>8.64436</x:v>
      </x:c>
      <x:c r="AT123" s="26" t="n">
        <x:v>0.68</x:v>
      </x:c>
      <x:c r="AU123" s="26" t="n">
        <x:v>0.1069</x:v>
      </x:c>
      <x:c r="AV123" s="26" t="n">
        <x:v>0.706</x:v>
      </x:c>
      <x:c r="AW123" s="26" t="n">
        <x:v>0.7</x:v>
      </x:c>
      <x:c r="AX123" s="26" t="n">
        <x:v>1</x:v>
      </x:c>
    </x:row>
    <x:row r="124">
      <x:c r="A124" s="26" t="str">
        <x:v>K5</x:v>
      </x:c>
      <x:c r="B124" s="26" t="str">
        <x:v>Horizontal / flat</x:v>
      </x:c>
      <x:c r="C124" s="26" t="str">
        <x:v>Intermediate</x:v>
      </x:c>
      <x:c r="D124" s="26" t="str">
        <x:v>Pasted text(20260812-103624).txt</x:v>
      </x:c>
      <x:c r="E124" s="26" t="str">
        <x:v>GAIN_SWEEP</x:v>
      </x:c>
      <x:c r="F124" s="26" t="n">
        <x:v>1</x:v>
      </x:c>
      <x:c r="G124" s="26" t="n">
        <x:v>1</x:v>
      </x:c>
      <x:c r="H124" s="26" t="n">
        <x:v>268</x:v>
      </x:c>
      <x:c r="I124" s="26" t="n">
        <x:v>1</x:v>
      </x:c>
      <x:c r="J124" s="26" t="n">
        <x:v>564.32429</x:v>
      </x:c>
      <x:c r="K124" s="26" t="n">
        <x:v>0.02679</x:v>
      </x:c>
      <x:c r="L124" s="26" t="n">
        <x:v>11.84</x:v>
      </x:c>
      <x:c r="M124" s="26" t="n">
        <x:v>535.94694</x:v>
      </x:c>
      <x:c r="N124" s="26" t="n">
        <x:v>0.08794</x:v>
      </x:c>
      <x:c r="O124" s="26" t="n">
        <x:v>17.56</x:v>
      </x:c>
      <x:c r="P124" s="26" t="n">
        <x:v>536.05866</x:v>
      </x:c>
      <x:c r="Q124" s="26" t="n">
        <x:v>0.04786</x:v>
      </x:c>
      <x:c r="R124" s="26" t="n">
        <x:v>10.31</x:v>
      </x:c>
      <x:c r="S124" s="26" t="n">
        <x:v>273.61746</x:v>
      </x:c>
      <x:c r="T124" s="26" t="n">
        <x:v>0.01139</x:v>
      </x:c>
      <x:c r="U124" s="26" t="n">
        <x:v>267.32545</x:v>
      </x:c>
      <x:c r="V124" s="26" t="n">
        <x:v>0.01952</x:v>
      </x:c>
      <x:c r="W124" s="26" t="n">
        <x:v>265.74586</x:v>
      </x:c>
      <x:c r="X124" s="26" t="n">
        <x:v>0.02223</x:v>
      </x:c>
      <x:c r="Y124" s="26" t="n">
        <x:v>266.75319</x:v>
      </x:c>
      <x:c r="Z124" s="26" t="n">
        <x:v>-1.24681</x:v>
      </x:c>
      <x:c r="AA124" s="26" t="n">
        <x:v>0.00477</x:v>
      </x:c>
      <x:c r="AB124" s="26" t="n">
        <x:v>0.01952</x:v>
      </x:c>
      <x:c r="AC124" s="26" t="n">
        <x:v>0.01903</x:v>
      </x:c>
      <x:c r="AD124" s="26" t="n">
        <x:v>0.02767</x:v>
      </x:c>
      <x:c r="AE124" s="26" t="n">
        <x:v>2.37</x:v>
      </x:c>
      <x:c r="AF124" s="26" t="str">
        <x:v>Y</x:v>
      </x:c>
      <x:c r="AG124" s="26" t="n">
        <x:v>0.00829</x:v>
      </x:c>
      <x:c r="AH124" s="26" t="n">
        <x:v>85.25</x:v>
      </x:c>
      <x:c r="AI124" s="26" t="n">
        <x:v>0.05</x:v>
      </x:c>
      <x:c r="AJ124" s="26" t="n">
        <x:v>54.49</x:v>
      </x:c>
      <x:c r="AK124" s="26" t="n">
        <x:v>0.01474</x:v>
      </x:c>
      <x:c r="AL124" s="26" t="n">
        <x:v>100.94</x:v>
      </x:c>
      <x:c r="AM124" s="26" t="n">
        <x:v>0.051</x:v>
      </x:c>
      <x:c r="AN124" s="26" t="n">
        <x:v>51.7</x:v>
      </x:c>
      <x:c r="AO124" s="26" t="n">
        <x:v>0.03004</x:v>
      </x:c>
      <x:c r="AP124" s="26" t="n">
        <x:v>-106.82</x:v>
      </x:c>
      <x:c r="AQ124" s="26" t="n">
        <x:v>0.095</x:v>
      </x:c>
      <x:c r="AR124" s="26" t="n">
        <x:v>26.83</x:v>
      </x:c>
      <x:c r="AS124" s="26" t="n">
        <x:v>0.03589</x:v>
      </x:c>
      <x:c r="AT124" s="26" t="n">
        <x:v>12.11</x:v>
      </x:c>
      <x:c r="AU124" s="26" t="n">
        <x:v>0.2311</x:v>
      </x:c>
      <x:c r="AV124" s="26" t="n">
        <x:v>0.4107</x:v>
      </x:c>
      <x:c r="AW124" s="26" t="n">
        <x:v>0.837</x:v>
      </x:c>
      <x:c r="AX124" s="26" t="n">
        <x:v>0</x:v>
      </x:c>
    </x:row>
    <x:row r="125">
      <x:c r="A125" s="26" t="str">
        <x:v>K5</x:v>
      </x:c>
      <x:c r="B125" s="26" t="str">
        <x:v>Horizontal / flat</x:v>
      </x:c>
      <x:c r="C125" s="26" t="str">
        <x:v>Intermediate</x:v>
      </x:c>
      <x:c r="D125" s="26" t="str">
        <x:v>Pasted text(20260812-103624).txt</x:v>
      </x:c>
      <x:c r="E125" s="26" t="str">
        <x:v>GAIN_SWEEP</x:v>
      </x:c>
      <x:c r="F125" s="26" t="n">
        <x:v>1</x:v>
      </x:c>
      <x:c r="G125" s="26" t="n">
        <x:v>2</x:v>
      </x:c>
      <x:c r="H125" s="26" t="n">
        <x:v>268</x:v>
      </x:c>
      <x:c r="I125" s="26" t="n">
        <x:v>1</x:v>
      </x:c>
      <x:c r="J125" s="26" t="n">
        <x:v>564.38679</x:v>
      </x:c>
      <x:c r="K125" s="26" t="n">
        <x:v>0.02971</x:v>
      </x:c>
      <x:c r="L125" s="26" t="n">
        <x:v>12.43</x:v>
      </x:c>
      <x:c r="M125" s="26" t="n">
        <x:v>536.03995</x:v>
      </x:c>
      <x:c r="N125" s="26" t="n">
        <x:v>0.08766</x:v>
      </x:c>
      <x:c r="O125" s="26" t="n">
        <x:v>17.19</x:v>
      </x:c>
      <x:c r="P125" s="26" t="n">
        <x:v>535.9825</x:v>
      </x:c>
      <x:c r="Q125" s="26" t="n">
        <x:v>0.05859</x:v>
      </x:c>
      <x:c r="R125" s="26" t="n">
        <x:v>12.2</x:v>
      </x:c>
      <x:c r="S125" s="26" t="n">
        <x:v>266.68097</x:v>
      </x:c>
      <x:c r="T125" s="26" t="n">
        <x:v>0.00874</x:v>
      </x:c>
      <x:c r="U125" s="26" t="n">
        <x:v>262.20528</x:v>
      </x:c>
      <x:c r="V125" s="26" t="n">
        <x:v>0.0153</x:v>
      </x:c>
      <x:c r="W125" s="26" t="n">
        <x:v>272.59716</x:v>
      </x:c>
      <x:c r="X125" s="26" t="n">
        <x:v>0.02844</x:v>
      </x:c>
      <x:c r="Y125" s="26" t="n">
        <x:v>272.57447</x:v>
      </x:c>
      <x:c r="Z125" s="26" t="n">
        <x:v>4.57447</x:v>
      </x:c>
      <x:c r="AA125" s="26" t="n">
        <x:v>0.00673</x:v>
      </x:c>
      <x:c r="AB125" s="26" t="n">
        <x:v>0.01</x:v>
      </x:c>
      <x:c r="AC125" s="26" t="n">
        <x:v>0.02844</x:v>
      </x:c>
      <x:c r="AD125" s="26" t="n">
        <x:v>0.03089</x:v>
      </x:c>
      <x:c r="AE125" s="26" t="n">
        <x:v>3.55</x:v>
      </x:c>
      <x:c r="AF125" s="26" t="str">
        <x:v>Z</x:v>
      </x:c>
      <x:c r="AG125" s="26" t="n">
        <x:v>0.01347</x:v>
      </x:c>
      <x:c r="AH125" s="26" t="n">
        <x:v>163.15</x:v>
      </x:c>
      <x:c r="AI125" s="26" t="n">
        <x:v>0.079</x:v>
      </x:c>
      <x:c r="AJ125" s="26" t="n">
        <x:v>50.57</x:v>
      </x:c>
      <x:c r="AK125" s="26" t="n">
        <x:v>0.01945</x:v>
      </x:c>
      <x:c r="AL125" s="26" t="n">
        <x:v>47.18</x:v>
      </x:c>
      <x:c r="AM125" s="26" t="n">
        <x:v>0.065</x:v>
      </x:c>
      <x:c r="AN125" s="26" t="n">
        <x:v>13.26</x:v>
      </x:c>
      <x:c r="AO125" s="26" t="n">
        <x:v>0.03443</x:v>
      </x:c>
      <x:c r="AP125" s="26" t="n">
        <x:v>-99.33</x:v>
      </x:c>
      <x:c r="AQ125" s="26" t="n">
        <x:v>0.108</x:v>
      </x:c>
      <x:c r="AR125" s="26" t="n">
        <x:v>89.37</x:v>
      </x:c>
      <x:c r="AS125" s="26" t="n">
        <x:v>0.04502</x:v>
      </x:c>
      <x:c r="AT125" s="26" t="n">
        <x:v>56.55</x:v>
      </x:c>
      <x:c r="AU125" s="26" t="n">
        <x:v>0.2992</x:v>
      </x:c>
      <x:c r="AV125" s="26" t="n">
        <x:v>0.4321</x:v>
      </x:c>
      <x:c r="AW125" s="26" t="n">
        <x:v>0.7648</x:v>
      </x:c>
      <x:c r="AX125" s="26" t="n">
        <x:v>0</x:v>
      </x:c>
    </x:row>
    <x:row r="126">
      <x:c r="A126" s="26" t="str">
        <x:v>K5</x:v>
      </x:c>
      <x:c r="B126" s="26" t="str">
        <x:v>Horizontal / flat</x:v>
      </x:c>
      <x:c r="C126" s="26" t="str">
        <x:v>Intermediate</x:v>
      </x:c>
      <x:c r="D126" s="26" t="str">
        <x:v>Pasted text(20260812-103624).txt</x:v>
      </x:c>
      <x:c r="E126" s="26" t="str">
        <x:v>GAIN_SWEEP</x:v>
      </x:c>
      <x:c r="F126" s="26" t="n">
        <x:v>1</x:v>
      </x:c>
      <x:c r="G126" s="26" t="n">
        <x:v>3</x:v>
      </x:c>
      <x:c r="H126" s="26" t="n">
        <x:v>268</x:v>
      </x:c>
      <x:c r="I126" s="26" t="n">
        <x:v>1</x:v>
      </x:c>
      <x:c r="J126" s="26" t="n">
        <x:v>564.32513</x:v>
      </x:c>
      <x:c r="K126" s="26" t="n">
        <x:v>0.02943</x:v>
      </x:c>
      <x:c r="L126" s="26" t="n">
        <x:v>12.18</x:v>
      </x:c>
      <x:c r="M126" s="26" t="n">
        <x:v>535.95586</x:v>
      </x:c>
      <x:c r="N126" s="26" t="n">
        <x:v>0.08539</x:v>
      </x:c>
      <x:c r="O126" s="26" t="n">
        <x:v>16.92</x:v>
      </x:c>
      <x:c r="P126" s="26" t="n">
        <x:v>536.12513</x:v>
      </x:c>
      <x:c r="Q126" s="26" t="n">
        <x:v>0.05938</x:v>
      </x:c>
      <x:c r="R126" s="26" t="n">
        <x:v>12.49</x:v>
      </x:c>
      <x:c r="S126" s="26" t="n">
        <x:v>273.29298</x:v>
      </x:c>
      <x:c r="T126" s="26" t="n">
        <x:v>0.01139</x:v>
      </x:c>
      <x:c r="U126" s="26" t="n">
        <x:v>266.70442</x:v>
      </x:c>
      <x:c r="V126" s="26" t="n">
        <x:v>0.01667</x:v>
      </x:c>
      <x:c r="W126" s="26" t="n">
        <x:v>264.84958</x:v>
      </x:c>
      <x:c r="X126" s="26" t="n">
        <x:v>0.02348</x:v>
      </x:c>
      <x:c r="Y126" s="26" t="n">
        <x:v>264.78934</x:v>
      </x:c>
      <x:c r="Z126" s="26" t="n">
        <x:v>-3.21066</x:v>
      </x:c>
      <x:c r="AA126" s="26" t="n">
        <x:v>0.00705</x:v>
      </x:c>
      <x:c r="AB126" s="26" t="n">
        <x:v>0.01661</x:v>
      </x:c>
      <x:c r="AC126" s="26" t="n">
        <x:v>0.02346</x:v>
      </x:c>
      <x:c r="AD126" s="26" t="n">
        <x:v>0.02959</x:v>
      </x:c>
      <x:c r="AE126" s="26" t="n">
        <x:v>3.42</x:v>
      </x:c>
      <x:c r="AF126" s="26" t="str">
        <x:v>Z</x:v>
      </x:c>
      <x:c r="AG126" s="26" t="n">
        <x:v>0.01207</x:v>
      </x:c>
      <x:c r="AH126" s="26" t="n">
        <x:v>-22.72</x:v>
      </x:c>
      <x:c r="AI126" s="26" t="n">
        <x:v>0.068</x:v>
      </x:c>
      <x:c r="AJ126" s="26" t="n">
        <x:v>72.11</x:v>
      </x:c>
      <x:c r="AK126" s="26" t="n">
        <x:v>0.01458</x:v>
      </x:c>
      <x:c r="AL126" s="26" t="n">
        <x:v>138.95</x:v>
      </x:c>
      <x:c r="AM126" s="26" t="n">
        <x:v>0.051</x:v>
      </x:c>
      <x:c r="AN126" s="26" t="n">
        <x:v>37.78</x:v>
      </x:c>
      <x:c r="AO126" s="26" t="n">
        <x:v>0.01698</x:v>
      </x:c>
      <x:c r="AP126" s="26" t="n">
        <x:v>120.53</x:v>
      </x:c>
      <x:c r="AQ126" s="26" t="n">
        <x:v>0.053</x:v>
      </x:c>
      <x:c r="AR126" s="26" t="n">
        <x:v>27.37</x:v>
      </x:c>
      <x:c r="AS126" s="26" t="n">
        <x:v>0.0262</x:v>
      </x:c>
      <x:c r="AT126" s="26" t="n">
        <x:v>33.64</x:v>
      </x:c>
      <x:c r="AU126" s="26" t="n">
        <x:v>0.4607</x:v>
      </x:c>
      <x:c r="AV126" s="26" t="n">
        <x:v>0.5566</x:v>
      </x:c>
      <x:c r="AW126" s="26" t="n">
        <x:v>0.6479</x:v>
      </x:c>
      <x:c r="AX126" s="26" t="n">
        <x:v>0</x:v>
      </x:c>
    </x:row>
    <x:row r="127">
      <x:c r="A127" s="26" t="str">
        <x:v>K5</x:v>
      </x:c>
      <x:c r="B127" s="26" t="str">
        <x:v>Horizontal / flat</x:v>
      </x:c>
      <x:c r="C127" s="26" t="str">
        <x:v>Intermediate</x:v>
      </x:c>
      <x:c r="D127" s="26" t="str">
        <x:v>Pasted text(20260812-103624).txt</x:v>
      </x:c>
      <x:c r="E127" s="26" t="str">
        <x:v>GAIN_SWEEP</x:v>
      </x:c>
      <x:c r="F127" s="26" t="n">
        <x:v>2</x:v>
      </x:c>
      <x:c r="G127" s="26" t="n">
        <x:v>1</x:v>
      </x:c>
      <x:c r="H127" s="26" t="n">
        <x:v>268</x:v>
      </x:c>
      <x:c r="I127" s="26" t="n">
        <x:v>1.5</x:v>
      </x:c>
      <x:c r="J127" s="26" t="n">
        <x:v>507.6671</x:v>
      </x:c>
      <x:c r="K127" s="26" t="n">
        <x:v>0.03289</x:v>
      </x:c>
      <x:c r="L127" s="26" t="n">
        <x:v>13.21</x:v>
      </x:c>
      <x:c r="M127" s="26" t="n">
        <x:v>56.53246</x:v>
      </x:c>
      <x:c r="N127" s="26" t="n">
        <x:v>0.14356</x:v>
      </x:c>
      <x:c r="O127" s="26" t="n">
        <x:v>21.01</x:v>
      </x:c>
      <x:c r="P127" s="26" t="n">
        <x:v>535.76012</x:v>
      </x:c>
      <x:c r="Q127" s="26" t="n">
        <x:v>0.04802</x:v>
      </x:c>
      <x:c r="R127" s="26" t="n">
        <x:v>10.63</x:v>
      </x:c>
      <x:c r="S127" s="26" t="n">
        <x:v>264.31268</x:v>
      </x:c>
      <x:c r="T127" s="26" t="n">
        <x:v>0.01073</x:v>
      </x:c>
      <x:c r="U127" s="26" t="n">
        <x:v>267.24512</x:v>
      </x:c>
      <x:c r="V127" s="26" t="n">
        <x:v>0.04141</x:v>
      </x:c>
      <x:c r="W127" s="26" t="n">
        <x:v>273.06207</x:v>
      </x:c>
      <x:c r="X127" s="26" t="n">
        <x:v>0.01685</x:v>
      </x:c>
      <x:c r="Y127" s="26" t="n">
        <x:v>267.26972</x:v>
      </x:c>
      <x:c r="Z127" s="26" t="n">
        <x:v>-0.73028</x:v>
      </x:c>
      <x:c r="AA127" s="26" t="n">
        <x:v>0.00511</x:v>
      </x:c>
      <x:c r="AB127" s="26" t="n">
        <x:v>0.04141</x:v>
      </x:c>
      <x:c r="AC127" s="26" t="n">
        <x:v>0.01614</x:v>
      </x:c>
      <x:c r="AD127" s="26" t="n">
        <x:v>0.04474</x:v>
      </x:c>
      <x:c r="AE127" s="26" t="n">
        <x:v>6.99</x:v>
      </x:c>
      <x:c r="AF127" s="26" t="str">
        <x:v>Y</x:v>
      </x:c>
      <x:c r="AG127" s="26" t="n">
        <x:v>0.00996</x:v>
      </x:c>
      <x:c r="AH127" s="26" t="n">
        <x:v>72.73</x:v>
      </x:c>
      <x:c r="AI127" s="26" t="n">
        <x:v>0.058</x:v>
      </x:c>
      <x:c r="AJ127" s="26" t="n">
        <x:v>55.93</x:v>
      </x:c>
      <x:c r="AK127" s="26" t="n">
        <x:v>0.03972</x:v>
      </x:c>
      <x:c r="AL127" s="26" t="n">
        <x:v>-150.26</x:v>
      </x:c>
      <x:c r="AM127" s="26" t="n">
        <x:v>0.121</x:v>
      </x:c>
      <x:c r="AN127" s="26" t="n">
        <x:v>28.12</x:v>
      </x:c>
      <x:c r="AO127" s="26" t="n">
        <x:v>0.0239</x:v>
      </x:c>
      <x:c r="AP127" s="26" t="n">
        <x:v>-143.15</x:v>
      </x:c>
      <x:c r="AQ127" s="26" t="n">
        <x:v>0.077</x:v>
      </x:c>
      <x:c r="AR127" s="26" t="n">
        <x:v>37.68</x:v>
      </x:c>
      <x:c r="AS127" s="26" t="n">
        <x:v>0.04896</x:v>
      </x:c>
      <x:c r="AT127" s="26" t="n">
        <x:v>14.61</x:v>
      </x:c>
      <x:c r="AU127" s="26" t="n">
        <x:v>0.2035</x:v>
      </x:c>
      <x:c r="AV127" s="26" t="n">
        <x:v>0.8114</x:v>
      </x:c>
      <x:c r="AW127" s="26" t="n">
        <x:v>0.4881</x:v>
      </x:c>
      <x:c r="AX127" s="26" t="n">
        <x:v>1</x:v>
      </x:c>
    </x:row>
    <x:row r="128">
      <x:c r="A128" s="26" t="str">
        <x:v>K5</x:v>
      </x:c>
      <x:c r="B128" s="26" t="str">
        <x:v>Horizontal / flat</x:v>
      </x:c>
      <x:c r="C128" s="26" t="str">
        <x:v>Intermediate</x:v>
      </x:c>
      <x:c r="D128" s="26" t="str">
        <x:v>Pasted text(20260812-103624).txt</x:v>
      </x:c>
      <x:c r="E128" s="26" t="str">
        <x:v>GAIN_SWEEP</x:v>
      </x:c>
      <x:c r="F128" s="26" t="n">
        <x:v>2</x:v>
      </x:c>
      <x:c r="G128" s="26" t="n">
        <x:v>2</x:v>
      </x:c>
      <x:c r="H128" s="26" t="n">
        <x:v>268</x:v>
      </x:c>
      <x:c r="I128" s="26" t="n">
        <x:v>1.5</x:v>
      </x:c>
      <x:c r="J128" s="26" t="n">
        <x:v>56.42712</x:v>
      </x:c>
      <x:c r="K128" s="26" t="n">
        <x:v>0.03015</x:v>
      </x:c>
      <x:c r="L128" s="26" t="n">
        <x:v>12.27</x:v>
      </x:c>
      <x:c r="M128" s="26" t="n">
        <x:v>56.56731</x:v>
      </x:c>
      <x:c r="N128" s="26" t="n">
        <x:v>0.13692</x:v>
      </x:c>
      <x:c r="O128" s="26" t="n">
        <x:v>21.16</x:v>
      </x:c>
      <x:c r="P128" s="26" t="n">
        <x:v>535.89067</x:v>
      </x:c>
      <x:c r="Q128" s="26" t="n">
        <x:v>0.05828</x:v>
      </x:c>
      <x:c r="R128" s="26" t="n">
        <x:v>12.21</x:v>
      </x:c>
      <x:c r="S128" s="26" t="n">
        <x:v>267.39318</x:v>
      </x:c>
      <x:c r="T128" s="26" t="n">
        <x:v>0.01289</x:v>
      </x:c>
      <x:c r="U128" s="26" t="n">
        <x:v>267.06599</x:v>
      </x:c>
      <x:c r="V128" s="26" t="n">
        <x:v>0.0341</x:v>
      </x:c>
      <x:c r="W128" s="26" t="n">
        <x:v>267.32651</x:v>
      </x:c>
      <x:c r="X128" s="26" t="n">
        <x:v>0.01951</x:v>
      </x:c>
      <x:c r="Y128" s="26" t="n">
        <x:v>267.15419</x:v>
      </x:c>
      <x:c r="Z128" s="26" t="n">
        <x:v>-0.84581</x:v>
      </x:c>
      <x:c r="AA128" s="26" t="n">
        <x:v>0.01289</x:v>
      </x:c>
      <x:c r="AB128" s="26" t="n">
        <x:v>0.0341</x:v>
      </x:c>
      <x:c r="AC128" s="26" t="n">
        <x:v>0.01951</x:v>
      </x:c>
      <x:c r="AD128" s="26" t="n">
        <x:v>0.04134</x:v>
      </x:c>
      <x:c r="AE128" s="26" t="n">
        <x:v>5.98</x:v>
      </x:c>
      <x:c r="AF128" s="26" t="str">
        <x:v>Y</x:v>
      </x:c>
      <x:c r="AG128" s="26" t="n">
        <x:v>0.0114</x:v>
      </x:c>
      <x:c r="AH128" s="26" t="n">
        <x:v>148.04</x:v>
      </x:c>
      <x:c r="AI128" s="26" t="n">
        <x:v>0.067</x:v>
      </x:c>
      <x:c r="AJ128" s="26" t="n">
        <x:v>52.93</x:v>
      </x:c>
      <x:c r="AK128" s="26" t="n">
        <x:v>0.02613</x:v>
      </x:c>
      <x:c r="AL128" s="26" t="n">
        <x:v>43.15</x:v>
      </x:c>
      <x:c r="AM128" s="26" t="n">
        <x:v>0.08</x:v>
      </x:c>
      <x:c r="AN128" s="26" t="n">
        <x:v>58.67</x:v>
      </x:c>
      <x:c r="AO128" s="26" t="n">
        <x:v>0.02999</x:v>
      </x:c>
      <x:c r="AP128" s="26" t="n">
        <x:v>-41.57</x:v>
      </x:c>
      <x:c r="AQ128" s="26" t="n">
        <x:v>0.093</x:v>
      </x:c>
      <x:c r="AR128" s="26" t="n">
        <x:v>40.03</x:v>
      </x:c>
      <x:c r="AS128" s="26" t="n">
        <x:v>0.04278</x:v>
      </x:c>
      <x:c r="AT128" s="26" t="n">
        <x:v>38.27</x:v>
      </x:c>
      <x:c r="AU128" s="26" t="n">
        <x:v>0.2665</x:v>
      </x:c>
      <x:c r="AV128" s="26" t="n">
        <x:v>0.6108</x:v>
      </x:c>
      <x:c r="AW128" s="26" t="n">
        <x:v>0.701</x:v>
      </x:c>
      <x:c r="AX128" s="26" t="n">
        <x:v>1</x:v>
      </x:c>
    </x:row>
    <x:row r="129">
      <x:c r="A129" s="26" t="str">
        <x:v>K5</x:v>
      </x:c>
      <x:c r="B129" s="26" t="str">
        <x:v>Horizontal / flat</x:v>
      </x:c>
      <x:c r="C129" s="26" t="str">
        <x:v>Intermediate</x:v>
      </x:c>
      <x:c r="D129" s="26" t="str">
        <x:v>Pasted text(20260812-103624).txt</x:v>
      </x:c>
      <x:c r="E129" s="26" t="str">
        <x:v>GAIN_SWEEP</x:v>
      </x:c>
      <x:c r="F129" s="26" t="n">
        <x:v>2</x:v>
      </x:c>
      <x:c r="G129" s="26" t="n">
        <x:v>3</x:v>
      </x:c>
      <x:c r="H129" s="26" t="n">
        <x:v>268</x:v>
      </x:c>
      <x:c r="I129" s="26" t="n">
        <x:v>1.5</x:v>
      </x:c>
      <x:c r="J129" s="26" t="n">
        <x:v>56.25436</x:v>
      </x:c>
      <x:c r="K129" s="26" t="n">
        <x:v>0.03323</x:v>
      </x:c>
      <x:c r="L129" s="26" t="n">
        <x:v>12.94</x:v>
      </x:c>
      <x:c r="M129" s="26" t="n">
        <x:v>56.34878</x:v>
      </x:c>
      <x:c r="N129" s="26" t="n">
        <x:v>0.14796</x:v>
      </x:c>
      <x:c r="O129" s="26" t="n">
        <x:v>21.24</x:v>
      </x:c>
      <x:c r="P129" s="26" t="n">
        <x:v>535.84626</x:v>
      </x:c>
      <x:c r="Q129" s="26" t="n">
        <x:v>0.04481</x:v>
      </x:c>
      <x:c r="R129" s="26" t="n">
        <x:v>10.33</x:v>
      </x:c>
      <x:c r="S129" s="26" t="n">
        <x:v>261.27132</x:v>
      </x:c>
      <x:c r="T129" s="26" t="n">
        <x:v>0.01168</x:v>
      </x:c>
      <x:c r="U129" s="26" t="n">
        <x:v>267.30438</x:v>
      </x:c>
      <x:c r="V129" s="26" t="n">
        <x:v>0.03098</x:v>
      </x:c>
      <x:c r="W129" s="26" t="n">
        <x:v>260.63837</x:v>
      </x:c>
      <x:c r="X129" s="26" t="n">
        <x:v>0.01942</x:v>
      </x:c>
      <x:c r="Y129" s="26" t="n">
        <x:v>267.39183</x:v>
      </x:c>
      <x:c r="Z129" s="26" t="n">
        <x:v>-0.60817</x:v>
      </x:c>
      <x:c r="AA129" s="26" t="n">
        <x:v>0.00818</x:v>
      </x:c>
      <x:c r="AB129" s="26" t="n">
        <x:v>0.03098</x:v>
      </x:c>
      <x:c r="AC129" s="26" t="n">
        <x:v>0.01242</x:v>
      </x:c>
      <x:c r="AD129" s="26" t="n">
        <x:v>0.03436</x:v>
      </x:c>
      <x:c r="AE129" s="26" t="n">
        <x:v>4.42</x:v>
      </x:c>
      <x:c r="AF129" s="26" t="str">
        <x:v>Y</x:v>
      </x:c>
      <x:c r="AG129" s="26" t="n">
        <x:v>0.01436</x:v>
      </x:c>
      <x:c r="AH129" s="26" t="n">
        <x:v>-95.75</x:v>
      </x:c>
      <x:c r="AI129" s="26" t="n">
        <x:v>0.084</x:v>
      </x:c>
      <x:c r="AJ129" s="26" t="n">
        <x:v>29.7</x:v>
      </x:c>
      <x:c r="AK129" s="26" t="n">
        <x:v>0.03123</x:v>
      </x:c>
      <x:c r="AL129" s="26" t="n">
        <x:v>-56.78</x:v>
      </x:c>
      <x:c r="AM129" s="26" t="n">
        <x:v>0.096</x:v>
      </x:c>
      <x:c r="AN129" s="26" t="n">
        <x:v>40.11</x:v>
      </x:c>
      <x:c r="AO129" s="26" t="n">
        <x:v>0.02244</x:v>
      </x:c>
      <x:c r="AP129" s="26" t="n">
        <x:v>-167.59</x:v>
      </x:c>
      <x:c r="AQ129" s="26" t="n">
        <x:v>0.07</x:v>
      </x:c>
      <x:c r="AR129" s="26" t="n">
        <x:v>50.7</x:v>
      </x:c>
      <x:c r="AS129" s="26" t="n">
        <x:v>0.0431</x:v>
      </x:c>
      <x:c r="AT129" s="26" t="n">
        <x:v>21.79</x:v>
      </x:c>
      <x:c r="AU129" s="26" t="n">
        <x:v>0.3332</x:v>
      </x:c>
      <x:c r="AV129" s="26" t="n">
        <x:v>0.7245</x:v>
      </x:c>
      <x:c r="AW129" s="26" t="n">
        <x:v>0.5205</x:v>
      </x:c>
      <x:c r="AX129" s="26" t="n">
        <x:v>1</x:v>
      </x:c>
    </x:row>
    <x:row r="130">
      <x:c r="A130" s="26" t="str">
        <x:v>K5</x:v>
      </x:c>
      <x:c r="B130" s="26" t="str">
        <x:v>Horizontal / flat</x:v>
      </x:c>
      <x:c r="C130" s="26" t="str">
        <x:v>Intermediate</x:v>
      </x:c>
      <x:c r="D130" s="26" t="str">
        <x:v>Pasted text(20260812-103624).txt</x:v>
      </x:c>
      <x:c r="E130" s="26" t="str">
        <x:v>GAIN_SWEEP</x:v>
      </x:c>
      <x:c r="F130" s="26" t="n">
        <x:v>3</x:v>
      </x:c>
      <x:c r="G130" s="26" t="n">
        <x:v>1</x:v>
      </x:c>
      <x:c r="H130" s="26" t="n">
        <x:v>268</x:v>
      </x:c>
      <x:c r="I130" s="26" t="n">
        <x:v>2</x:v>
      </x:c>
      <x:c r="J130" s="26" t="n">
        <x:v>296.12925</x:v>
      </x:c>
      <x:c r="K130" s="26" t="n">
        <x:v>0.05998</x:v>
      </x:c>
      <x:c r="L130" s="26" t="n">
        <x:v>17.64</x:v>
      </x:c>
      <x:c r="M130" s="26" t="n">
        <x:v>507.76163</x:v>
      </x:c>
      <x:c r="N130" s="26" t="n">
        <x:v>0.08052</x:v>
      </x:c>
      <x:c r="O130" s="26" t="n">
        <x:v>15.85</x:v>
      </x:c>
      <x:c r="P130" s="26" t="n">
        <x:v>268.11557</x:v>
      </x:c>
      <x:c r="Q130" s="26" t="n">
        <x:v>0.04936</x:v>
      </x:c>
      <x:c r="R130" s="26" t="n">
        <x:v>11.14</x:v>
      </x:c>
      <x:c r="S130" s="26" t="n">
        <x:v>275.78125</x:v>
      </x:c>
      <x:c r="T130" s="26" t="n">
        <x:v>0.00941</x:v>
      </x:c>
      <x:c r="U130" s="26" t="n">
        <x:v>267.68738</x:v>
      </x:c>
      <x:c r="V130" s="26" t="n">
        <x:v>0.04203</x:v>
      </x:c>
      <x:c r="W130" s="26" t="n">
        <x:v>268.11557</x:v>
      </x:c>
      <x:c r="X130" s="26" t="n">
        <x:v>0.04936</x:v>
      </x:c>
      <x:c r="Y130" s="26" t="n">
        <x:v>267.89883</x:v>
      </x:c>
      <x:c r="Z130" s="26" t="n">
        <x:v>-0.10117</x:v>
      </x:c>
      <x:c r="AA130" s="26" t="n">
        <x:v>0.00724</x:v>
      </x:c>
      <x:c r="AB130" s="26" t="n">
        <x:v>0.04203</x:v>
      </x:c>
      <x:c r="AC130" s="26" t="n">
        <x:v>0.04594</x:v>
      </x:c>
      <x:c r="AD130" s="26" t="n">
        <x:v>0.06268</x:v>
      </x:c>
      <x:c r="AE130" s="26" t="n">
        <x:v>10.73</x:v>
      </x:c>
      <x:c r="AF130" s="26" t="str">
        <x:v>Z</x:v>
      </x:c>
      <x:c r="AG130" s="26" t="n">
        <x:v>0.01284</x:v>
      </x:c>
      <x:c r="AH130" s="26" t="n">
        <x:v>-140.83</x:v>
      </x:c>
      <x:c r="AI130" s="26" t="n">
        <x:v>0.064</x:v>
      </x:c>
      <x:c r="AJ130" s="26" t="n">
        <x:v>55.39</x:v>
      </x:c>
      <x:c r="AK130" s="26" t="n">
        <x:v>0.02911</x:v>
      </x:c>
      <x:c r="AL130" s="26" t="n">
        <x:v>-104.2</x:v>
      </x:c>
      <x:c r="AM130" s="26" t="n">
        <x:v>0.09</x:v>
      </x:c>
      <x:c r="AN130" s="26" t="n">
        <x:v>23.52</x:v>
      </x:c>
      <x:c r="AO130" s="26" t="n">
        <x:v>0.05813</x:v>
      </x:c>
      <x:c r="AP130" s="26" t="n">
        <x:v>39.36</x:v>
      </x:c>
      <x:c r="AQ130" s="26" t="n">
        <x:v>0.182</x:v>
      </x:c>
      <x:c r="AR130" s="26" t="n">
        <x:v>25.33</x:v>
      </x:c>
      <x:c r="AS130" s="26" t="n">
        <x:v>0.06727</x:v>
      </x:c>
      <x:c r="AT130" s="26" t="n">
        <x:v>18.08</x:v>
      </x:c>
      <x:c r="AU130" s="26" t="n">
        <x:v>0.1908</x:v>
      </x:c>
      <x:c r="AV130" s="26" t="n">
        <x:v>0.4327</x:v>
      </x:c>
      <x:c r="AW130" s="26" t="n">
        <x:v>0.8642</x:v>
      </x:c>
      <x:c r="AX130" s="26" t="n">
        <x:v>1</x:v>
      </x:c>
    </x:row>
    <x:row r="131">
      <x:c r="A131" s="26" t="str">
        <x:v>K5</x:v>
      </x:c>
      <x:c r="B131" s="26" t="str">
        <x:v>Horizontal / flat</x:v>
      </x:c>
      <x:c r="C131" s="26" t="str">
        <x:v>Intermediate</x:v>
      </x:c>
      <x:c r="D131" s="26" t="str">
        <x:v>Pasted text(20260812-103624).txt</x:v>
      </x:c>
      <x:c r="E131" s="26" t="str">
        <x:v>GAIN_SWEEP</x:v>
      </x:c>
      <x:c r="F131" s="26" t="n">
        <x:v>3</x:v>
      </x:c>
      <x:c r="G131" s="26" t="n">
        <x:v>2</x:v>
      </x:c>
      <x:c r="H131" s="26" t="n">
        <x:v>268</x:v>
      </x:c>
      <x:c r="I131" s="26" t="n">
        <x:v>2</x:v>
      </x:c>
      <x:c r="J131" s="26" t="n">
        <x:v>296.42371</x:v>
      </x:c>
      <x:c r="K131" s="26" t="n">
        <x:v>0.05886</x:v>
      </x:c>
      <x:c r="L131" s="26" t="n">
        <x:v>16.65</x:v>
      </x:c>
      <x:c r="M131" s="26" t="n">
        <x:v>507.81638</x:v>
      </x:c>
      <x:c r="N131" s="26" t="n">
        <x:v>0.08707</x:v>
      </x:c>
      <x:c r="O131" s="26" t="n">
        <x:v>16.47</x:v>
      </x:c>
      <x:c r="P131" s="26" t="n">
        <x:v>268.36644</x:v>
      </x:c>
      <x:c r="Q131" s="26" t="n">
        <x:v>0.0597</x:v>
      </x:c>
      <x:c r="R131" s="26" t="n">
        <x:v>12.04</x:v>
      </x:c>
      <x:c r="S131" s="26" t="n">
        <x:v>275.78125</x:v>
      </x:c>
      <x:c r="T131" s="26" t="n">
        <x:v>0.01434</x:v>
      </x:c>
      <x:c r="U131" s="26" t="n">
        <x:v>267.53879</x:v>
      </x:c>
      <x:c r="V131" s="26" t="n">
        <x:v>0.04603</x:v>
      </x:c>
      <x:c r="W131" s="26" t="n">
        <x:v>268.36644</x:v>
      </x:c>
      <x:c r="X131" s="26" t="n">
        <x:v>0.0597</x:v>
      </x:c>
      <x:c r="Y131" s="26" t="n">
        <x:v>268.00438</x:v>
      </x:c>
      <x:c r="Z131" s="26" t="n">
        <x:v>0.00438</x:v>
      </x:c>
      <x:c r="AA131" s="26" t="n">
        <x:v>0.01169</x:v>
      </x:c>
      <x:c r="AB131" s="26" t="n">
        <x:v>0.0339</x:v>
      </x:c>
      <x:c r="AC131" s="26" t="n">
        <x:v>0.0597</x:v>
      </x:c>
      <x:c r="AD131" s="26" t="n">
        <x:v>0.06964</x:v>
      </x:c>
      <x:c r="AE131" s="26" t="n">
        <x:v>9.62</x:v>
      </x:c>
      <x:c r="AF131" s="26" t="str">
        <x:v>Z</x:v>
      </x:c>
      <x:c r="AG131" s="26" t="n">
        <x:v>0.00958</x:v>
      </x:c>
      <x:c r="AH131" s="26" t="n">
        <x:v>-90.16</x:v>
      </x:c>
      <x:c r="AI131" s="26" t="n">
        <x:v>0.048</x:v>
      </x:c>
      <x:c r="AJ131" s="26" t="n">
        <x:v>39.12</x:v>
      </x:c>
      <x:c r="AK131" s="26" t="n">
        <x:v>0.04411</x:v>
      </x:c>
      <x:c r="AL131" s="26" t="n">
        <x:v>-73.33</x:v>
      </x:c>
      <x:c r="AM131" s="26" t="n">
        <x:v>0.132</x:v>
      </x:c>
      <x:c r="AN131" s="26" t="n">
        <x:v>29.1</x:v>
      </x:c>
      <x:c r="AO131" s="26" t="n">
        <x:v>0.06895</x:v>
      </x:c>
      <x:c r="AP131" s="26" t="n">
        <x:v>46.7</x:v>
      </x:c>
      <x:c r="AQ131" s="26" t="n">
        <x:v>0.211</x:v>
      </x:c>
      <x:c r="AR131" s="26" t="n">
        <x:v>34.19</x:v>
      </x:c>
      <x:c r="AS131" s="26" t="n">
        <x:v>0.08397</x:v>
      </x:c>
      <x:c r="AT131" s="26" t="n">
        <x:v>24.13</x:v>
      </x:c>
      <x:c r="AU131" s="26" t="n">
        <x:v>0.1141</x:v>
      </x:c>
      <x:c r="AV131" s="26" t="n">
        <x:v>0.5253</x:v>
      </x:c>
      <x:c r="AW131" s="26" t="n">
        <x:v>0.8211</x:v>
      </x:c>
      <x:c r="AX131" s="26" t="n">
        <x:v>1</x:v>
      </x:c>
    </x:row>
    <x:row r="132">
      <x:c r="A132" s="26" t="str">
        <x:v>K5</x:v>
      </x:c>
      <x:c r="B132" s="26" t="str">
        <x:v>Horizontal / flat</x:v>
      </x:c>
      <x:c r="C132" s="26" t="str">
        <x:v>Intermediate</x:v>
      </x:c>
      <x:c r="D132" s="26" t="str">
        <x:v>Pasted text(20260812-103624).txt</x:v>
      </x:c>
      <x:c r="E132" s="26" t="str">
        <x:v>GAIN_SWEEP</x:v>
      </x:c>
      <x:c r="F132" s="26" t="n">
        <x:v>3</x:v>
      </x:c>
      <x:c r="G132" s="26" t="n">
        <x:v>3</x:v>
      </x:c>
      <x:c r="H132" s="26" t="n">
        <x:v>268</x:v>
      </x:c>
      <x:c r="I132" s="26" t="n">
        <x:v>2</x:v>
      </x:c>
      <x:c r="J132" s="26" t="n">
        <x:v>295.81861</x:v>
      </x:c>
      <x:c r="K132" s="26" t="n">
        <x:v>0.05706</x:v>
      </x:c>
      <x:c r="L132" s="26" t="n">
        <x:v>16.95</x:v>
      </x:c>
      <x:c r="M132" s="26" t="n">
        <x:v>507.96202</x:v>
      </x:c>
      <x:c r="N132" s="26" t="n">
        <x:v>0.07963</x:v>
      </x:c>
      <x:c r="O132" s="26" t="n">
        <x:v>15.88</x:v>
      </x:c>
      <x:c r="P132" s="26" t="n">
        <x:v>268.29442</x:v>
      </x:c>
      <x:c r="Q132" s="26" t="n">
        <x:v>0.05551</x:v>
      </x:c>
      <x:c r="R132" s="26" t="n">
        <x:v>11.71</x:v>
      </x:c>
      <x:c r="S132" s="26" t="n">
        <x:v>260.34564</x:v>
      </x:c>
      <x:c r="T132" s="26" t="n">
        <x:v>0.01152</x:v>
      </x:c>
      <x:c r="U132" s="26" t="n">
        <x:v>268.40108</x:v>
      </x:c>
      <x:c r="V132" s="26" t="n">
        <x:v>0.03674</x:v>
      </x:c>
      <x:c r="W132" s="26" t="n">
        <x:v>268.29442</x:v>
      </x:c>
      <x:c r="X132" s="26" t="n">
        <x:v>0.05551</x:v>
      </x:c>
      <x:c r="Y132" s="26" t="n">
        <x:v>268.32575</x:v>
      </x:c>
      <x:c r="Z132" s="26" t="n">
        <x:v>0.32575</x:v>
      </x:c>
      <x:c r="AA132" s="26" t="n">
        <x:v>0.01082</x:v>
      </x:c>
      <x:c r="AB132" s="26" t="n">
        <x:v>0.03674</x:v>
      </x:c>
      <x:c r="AC132" s="26" t="n">
        <x:v>0.05551</x:v>
      </x:c>
      <x:c r="AD132" s="26" t="n">
        <x:v>0.06745</x:v>
      </x:c>
      <x:c r="AE132" s="26" t="n">
        <x:v>10.76</x:v>
      </x:c>
      <x:c r="AF132" s="26" t="str">
        <x:v>Z</x:v>
      </x:c>
      <x:c r="AG132" s="26" t="n">
        <x:v>0.01523</x:v>
      </x:c>
      <x:c r="AH132" s="26" t="n">
        <x:v>-155.33</x:v>
      </x:c>
      <x:c r="AI132" s="26" t="n">
        <x:v>0.072</x:v>
      </x:c>
      <x:c r="AJ132" s="26" t="n">
        <x:v>75.94</x:v>
      </x:c>
      <x:c r="AK132" s="26" t="n">
        <x:v>0.04287</x:v>
      </x:c>
      <x:c r="AL132" s="26" t="n">
        <x:v>-40.08</x:v>
      </x:c>
      <x:c r="AM132" s="26" t="n">
        <x:v>0.132</x:v>
      </x:c>
      <x:c r="AN132" s="26" t="n">
        <x:v>24.92</x:v>
      </x:c>
      <x:c r="AO132" s="26" t="n">
        <x:v>0.05084</x:v>
      </x:c>
      <x:c r="AP132" s="26" t="n">
        <x:v>54.71</x:v>
      </x:c>
      <x:c r="AQ132" s="26" t="n">
        <x:v>0.16</x:v>
      </x:c>
      <x:c r="AR132" s="26" t="n">
        <x:v>31.69</x:v>
      </x:c>
      <x:c r="AS132" s="26" t="n">
        <x:v>0.06928</x:v>
      </x:c>
      <x:c r="AT132" s="26" t="n">
        <x:v>26.05</x:v>
      </x:c>
      <x:c r="AU132" s="26" t="n">
        <x:v>0.2199</x:v>
      </x:c>
      <x:c r="AV132" s="26" t="n">
        <x:v>0.6188</x:v>
      </x:c>
      <x:c r="AW132" s="26" t="n">
        <x:v>0.7338</x:v>
      </x:c>
      <x:c r="AX132" s="26" t="n">
        <x:v>1</x:v>
      </x:c>
    </x:row>
    <x:row r="133">
      <x:c r="A133" s="26" t="str">
        <x:v>K5</x:v>
      </x:c>
      <x:c r="B133" s="26" t="str">
        <x:v>Horizontal / flat</x:v>
      </x:c>
      <x:c r="C133" s="26" t="str">
        <x:v>Intermediate</x:v>
      </x:c>
      <x:c r="D133" s="26" t="str">
        <x:v>Pasted text(20260812-103624).txt</x:v>
      </x:c>
      <x:c r="E133" s="26" t="str">
        <x:v>GAIN_SWEEP</x:v>
      </x:c>
      <x:c r="F133" s="26" t="n">
        <x:v>4</x:v>
      </x:c>
      <x:c r="G133" s="26" t="n">
        <x:v>1</x:v>
      </x:c>
      <x:c r="H133" s="26" t="n">
        <x:v>268</x:v>
      </x:c>
      <x:c r="I133" s="26" t="n">
        <x:v>2.5</x:v>
      </x:c>
      <x:c r="J133" s="26" t="n">
        <x:v>564.18735</x:v>
      </x:c>
      <x:c r="K133" s="26" t="n">
        <x:v>0.03517</x:v>
      </x:c>
      <x:c r="L133" s="26" t="n">
        <x:v>12.53</x:v>
      </x:c>
      <x:c r="M133" s="26" t="n">
        <x:v>56.39621</x:v>
      </x:c>
      <x:c r="N133" s="26" t="n">
        <x:v>0.11883</x:v>
      </x:c>
      <x:c r="O133" s="26" t="n">
        <x:v>18.96</x:v>
      </x:c>
      <x:c r="P133" s="26" t="n">
        <x:v>268.15391</x:v>
      </x:c>
      <x:c r="Q133" s="26" t="n">
        <x:v>0.06651</x:v>
      </x:c>
      <x:c r="R133" s="26" t="n">
        <x:v>13.18</x:v>
      </x:c>
      <x:c r="S133" s="26" t="n">
        <x:v>268.24858</x:v>
      </x:c>
      <x:c r="T133" s="26" t="n">
        <x:v>0.0142</x:v>
      </x:c>
      <x:c r="U133" s="26" t="n">
        <x:v>267.46358</x:v>
      </x:c>
      <x:c r="V133" s="26" t="n">
        <x:v>0.04643</x:v>
      </x:c>
      <x:c r="W133" s="26" t="n">
        <x:v>268.15391</x:v>
      </x:c>
      <x:c r="X133" s="26" t="n">
        <x:v>0.06651</x:v>
      </x:c>
      <x:c r="Y133" s="26" t="n">
        <x:v>267.90092</x:v>
      </x:c>
      <x:c r="Z133" s="26" t="n">
        <x:v>-0.09908</x:v>
      </x:c>
      <x:c r="AA133" s="26" t="n">
        <x:v>0.01319</x:v>
      </x:c>
      <x:c r="AB133" s="26" t="n">
        <x:v>0.04643</x:v>
      </x:c>
      <x:c r="AC133" s="26" t="n">
        <x:v>0.06066</x:v>
      </x:c>
      <x:c r="AD133" s="26" t="n">
        <x:v>0.07752</x:v>
      </x:c>
      <x:c r="AE133" s="26" t="n">
        <x:v>12.87</x:v>
      </x:c>
      <x:c r="AF133" s="26" t="str">
        <x:v>Z</x:v>
      </x:c>
      <x:c r="AG133" s="26" t="n">
        <x:v>0.00805</x:v>
      </x:c>
      <x:c r="AH133" s="26" t="n">
        <x:v>110.51</x:v>
      </x:c>
      <x:c r="AI133" s="26" t="n">
        <x:v>0.045</x:v>
      </x:c>
      <x:c r="AJ133" s="26" t="n">
        <x:v>64.09</x:v>
      </x:c>
      <x:c r="AK133" s="26" t="n">
        <x:v>0.0435</x:v>
      </x:c>
      <x:c r="AL133" s="26" t="n">
        <x:v>-59.49</x:v>
      </x:c>
      <x:c r="AM133" s="26" t="n">
        <x:v>0.129</x:v>
      </x:c>
      <x:c r="AN133" s="26" t="n">
        <x:v>49.17</x:v>
      </x:c>
      <x:c r="AO133" s="26" t="n">
        <x:v>0.06613</x:v>
      </x:c>
      <x:c r="AP133" s="26" t="n">
        <x:v>47.72</x:v>
      </x:c>
      <x:c r="AQ133" s="26" t="n">
        <x:v>0.209</x:v>
      </x:c>
      <x:c r="AR133" s="26" t="n">
        <x:v>30.93</x:v>
      </x:c>
      <x:c r="AS133" s="26" t="n">
        <x:v>0.08333</x:v>
      </x:c>
      <x:c r="AT133" s="26" t="n">
        <x:v>13.92</x:v>
      </x:c>
      <x:c r="AU133" s="26" t="n">
        <x:v>0.0966</x:v>
      </x:c>
      <x:c r="AV133" s="26" t="n">
        <x:v>0.522</x:v>
      </x:c>
      <x:c r="AW133" s="26" t="n">
        <x:v>0.7936</x:v>
      </x:c>
      <x:c r="AX133" s="26" t="n">
        <x:v>1</x:v>
      </x:c>
    </x:row>
    <x:row r="134">
      <x:c r="A134" s="26" t="str">
        <x:v>K5</x:v>
      </x:c>
      <x:c r="B134" s="26" t="str">
        <x:v>Horizontal / flat</x:v>
      </x:c>
      <x:c r="C134" s="26" t="str">
        <x:v>Intermediate</x:v>
      </x:c>
      <x:c r="D134" s="26" t="str">
        <x:v>Pasted text(20260812-103624).txt</x:v>
      </x:c>
      <x:c r="E134" s="26" t="str">
        <x:v>GAIN_SWEEP</x:v>
      </x:c>
      <x:c r="F134" s="26" t="n">
        <x:v>4</x:v>
      </x:c>
      <x:c r="G134" s="26" t="n">
        <x:v>2</x:v>
      </x:c>
      <x:c r="H134" s="26" t="n">
        <x:v>268</x:v>
      </x:c>
      <x:c r="I134" s="26" t="n">
        <x:v>2.5</x:v>
      </x:c>
      <x:c r="J134" s="26" t="n">
        <x:v>28.19996</x:v>
      </x:c>
      <x:c r="K134" s="26" t="n">
        <x:v>0.03042</x:v>
      </x:c>
      <x:c r="L134" s="26" t="n">
        <x:v>10.73</x:v>
      </x:c>
      <x:c r="M134" s="26" t="n">
        <x:v>56.38057</x:v>
      </x:c>
      <x:c r="N134" s="26" t="n">
        <x:v>0.11733</x:v>
      </x:c>
      <x:c r="O134" s="26" t="n">
        <x:v>18.41</x:v>
      </x:c>
      <x:c r="P134" s="26" t="n">
        <x:v>267.79972</x:v>
      </x:c>
      <x:c r="Q134" s="26" t="n">
        <x:v>0.0677</x:v>
      </x:c>
      <x:c r="R134" s="26" t="n">
        <x:v>13.12</x:v>
      </x:c>
      <x:c r="S134" s="26" t="n">
        <x:v>268.47017</x:v>
      </x:c>
      <x:c r="T134" s="26" t="n">
        <x:v>0.01195</x:v>
      </x:c>
      <x:c r="U134" s="26" t="n">
        <x:v>267.24032</x:v>
      </x:c>
      <x:c r="V134" s="26" t="n">
        <x:v>0.03903</x:v>
      </x:c>
      <x:c r="W134" s="26" t="n">
        <x:v>267.79972</x:v>
      </x:c>
      <x:c r="X134" s="26" t="n">
        <x:v>0.0677</x:v>
      </x:c>
      <x:c r="Y134" s="26" t="n">
        <x:v>267.67249</x:v>
      </x:c>
      <x:c r="Z134" s="26" t="n">
        <x:v>-0.32751</x:v>
      </x:c>
      <x:c r="AA134" s="26" t="n">
        <x:v>0.00893</x:v>
      </x:c>
      <x:c r="AB134" s="26" t="n">
        <x:v>0.03903</x:v>
      </x:c>
      <x:c r="AC134" s="26" t="n">
        <x:v>0.0677</x:v>
      </x:c>
      <x:c r="AD134" s="26" t="n">
        <x:v>0.07866</x:v>
      </x:c>
      <x:c r="AE134" s="26" t="n">
        <x:v>10.69</x:v>
      </x:c>
      <x:c r="AF134" s="26" t="str">
        <x:v>Z</x:v>
      </x:c>
      <x:c r="AG134" s="26" t="n">
        <x:v>0.01209</x:v>
      </x:c>
      <x:c r="AH134" s="26" t="n">
        <x:v>-64.05</x:v>
      </x:c>
      <x:c r="AI134" s="26" t="n">
        <x:v>0.071</x:v>
      </x:c>
      <x:c r="AJ134" s="26" t="n">
        <x:v>25.26</x:v>
      </x:c>
      <x:c r="AK134" s="26" t="n">
        <x:v>0.04574</x:v>
      </x:c>
      <x:c r="AL134" s="26" t="n">
        <x:v>-116.77</x:v>
      </x:c>
      <x:c r="AM134" s="26" t="n">
        <x:v>0.133</x:v>
      </x:c>
      <x:c r="AN134" s="26" t="n">
        <x:v>41.99</x:v>
      </x:c>
      <x:c r="AO134" s="26" t="n">
        <x:v>0.08961</x:v>
      </x:c>
      <x:c r="AP134" s="26" t="n">
        <x:v>42.44</x:v>
      </x:c>
      <x:c r="AQ134" s="26" t="n">
        <x:v>0.287</x:v>
      </x:c>
      <x:c r="AR134" s="26" t="n">
        <x:v>8.75</x:v>
      </x:c>
      <x:c r="AS134" s="26" t="n">
        <x:v>0.10234</x:v>
      </x:c>
      <x:c r="AT134" s="26" t="n">
        <x:v>13.17</x:v>
      </x:c>
      <x:c r="AU134" s="26" t="n">
        <x:v>0.1181</x:v>
      </x:c>
      <x:c r="AV134" s="26" t="n">
        <x:v>0.4469</x:v>
      </x:c>
      <x:c r="AW134" s="26" t="n">
        <x:v>0.8756</x:v>
      </x:c>
      <x:c r="AX134" s="26" t="n">
        <x:v>1</x:v>
      </x:c>
    </x:row>
    <x:row r="135">
      <x:c r="A135" s="26" t="str">
        <x:v>K5</x:v>
      </x:c>
      <x:c r="B135" s="26" t="str">
        <x:v>Horizontal / flat</x:v>
      </x:c>
      <x:c r="C135" s="26" t="str">
        <x:v>Intermediate</x:v>
      </x:c>
      <x:c r="D135" s="26" t="str">
        <x:v>Pasted text(20260812-103624).txt</x:v>
      </x:c>
      <x:c r="E135" s="26" t="str">
        <x:v>GAIN_SWEEP</x:v>
      </x:c>
      <x:c r="F135" s="26" t="n">
        <x:v>4</x:v>
      </x:c>
      <x:c r="G135" s="26" t="n">
        <x:v>3</x:v>
      </x:c>
      <x:c r="H135" s="26" t="n">
        <x:v>268</x:v>
      </x:c>
      <x:c r="I135" s="26" t="n">
        <x:v>2.5</x:v>
      </x:c>
      <x:c r="J135" s="26" t="n">
        <x:v>564.14748</x:v>
      </x:c>
      <x:c r="K135" s="26" t="n">
        <x:v>0.03489</x:v>
      </x:c>
      <x:c r="L135" s="26" t="n">
        <x:v>12.33</x:v>
      </x:c>
      <x:c r="M135" s="26" t="n">
        <x:v>56.38184</x:v>
      </x:c>
      <x:c r="N135" s="26" t="n">
        <x:v>0.10914</x:v>
      </x:c>
      <x:c r="O135" s="26" t="n">
        <x:v>17.85</x:v>
      </x:c>
      <x:c r="P135" s="26" t="n">
        <x:v>268.0738</x:v>
      </x:c>
      <x:c r="Q135" s="26" t="n">
        <x:v>0.05389</x:v>
      </x:c>
      <x:c r="R135" s="26" t="n">
        <x:v>11.36</x:v>
      </x:c>
      <x:c r="S135" s="26" t="n">
        <x:v>274.90288</x:v>
      </x:c>
      <x:c r="T135" s="26" t="n">
        <x:v>0.01426</x:v>
      </x:c>
      <x:c r="U135" s="26" t="n">
        <x:v>267.56936</x:v>
      </x:c>
      <x:c r="V135" s="26" t="n">
        <x:v>0.05146</x:v>
      </x:c>
      <x:c r="W135" s="26" t="n">
        <x:v>268.0738</x:v>
      </x:c>
      <x:c r="X135" s="26" t="n">
        <x:v>0.05389</x:v>
      </x:c>
      <x:c r="Y135" s="26" t="n">
        <x:v>267.81519</x:v>
      </x:c>
      <x:c r="Z135" s="26" t="n">
        <x:v>-0.18481</x:v>
      </x:c>
      <x:c r="AA135" s="26" t="n">
        <x:v>0.00883</x:v>
      </x:c>
      <x:c r="AB135" s="26" t="n">
        <x:v>0.05146</x:v>
      </x:c>
      <x:c r="AC135" s="26" t="n">
        <x:v>0.05118</x:v>
      </x:c>
      <x:c r="AD135" s="26" t="n">
        <x:v>0.07311</x:v>
      </x:c>
      <x:c r="AE135" s="26" t="n">
        <x:v>9.53</x:v>
      </x:c>
      <x:c r="AF135" s="26" t="str">
        <x:v>Y</x:v>
      </x:c>
      <x:c r="AG135" s="26" t="n">
        <x:v>0.01644</x:v>
      </x:c>
      <x:c r="AH135" s="26" t="n">
        <x:v>-153.44</x:v>
      </x:c>
      <x:c r="AI135" s="26" t="n">
        <x:v>0.092</x:v>
      </x:c>
      <x:c r="AJ135" s="26" t="n">
        <x:v>14.23</x:v>
      </x:c>
      <x:c r="AK135" s="26" t="n">
        <x:v>0.04518</x:v>
      </x:c>
      <x:c r="AL135" s="26" t="n">
        <x:v>-73.74</x:v>
      </x:c>
      <x:c r="AM135" s="26" t="n">
        <x:v>0.127</x:v>
      </x:c>
      <x:c r="AN135" s="26" t="n">
        <x:v>34</x:v>
      </x:c>
      <x:c r="AO135" s="26" t="n">
        <x:v>0.06802</x:v>
      </x:c>
      <x:c r="AP135" s="26" t="n">
        <x:v>49.5</x:v>
      </x:c>
      <x:c r="AQ135" s="26" t="n">
        <x:v>0.208</x:v>
      </x:c>
      <x:c r="AR135" s="26" t="n">
        <x:v>32.9</x:v>
      </x:c>
      <x:c r="AS135" s="26" t="n">
        <x:v>0.08447</x:v>
      </x:c>
      <x:c r="AT135" s="26" t="n">
        <x:v>26.4</x:v>
      </x:c>
      <x:c r="AU135" s="26" t="n">
        <x:v>0.1946</x:v>
      </x:c>
      <x:c r="AV135" s="26" t="n">
        <x:v>0.5349</x:v>
      </x:c>
      <x:c r="AW135" s="26" t="n">
        <x:v>0.8053</x:v>
      </x:c>
      <x:c r="AX135" s="26" t="n">
        <x:v>1</x:v>
      </x:c>
    </x:row>
    <x:row r="136">
      <x:c r="A136" s="26" t="str">
        <x:v>K5</x:v>
      </x:c>
      <x:c r="B136" s="26" t="str">
        <x:v>Horizontal / flat</x:v>
      </x:c>
      <x:c r="C136" s="26" t="str">
        <x:v>Intermediate</x:v>
      </x:c>
      <x:c r="D136" s="26" t="str">
        <x:v>Pasted text(20260812-103624).txt</x:v>
      </x:c>
      <x:c r="E136" s="26" t="str">
        <x:v>GAIN_SWEEP</x:v>
      </x:c>
      <x:c r="F136" s="26" t="n">
        <x:v>5</x:v>
      </x:c>
      <x:c r="G136" s="26" t="n">
        <x:v>1</x:v>
      </x:c>
      <x:c r="H136" s="26" t="n">
        <x:v>268</x:v>
      </x:c>
      <x:c r="I136" s="26" t="n">
        <x:v>3</x:v>
      </x:c>
      <x:c r="J136" s="26" t="n">
        <x:v>56.36709</x:v>
      </x:c>
      <x:c r="K136" s="26" t="n">
        <x:v>0.04307</x:v>
      </x:c>
      <x:c r="L136" s="26" t="n">
        <x:v>14.34</x:v>
      </x:c>
      <x:c r="M136" s="26" t="n">
        <x:v>56.25743</x:v>
      </x:c>
      <x:c r="N136" s="26" t="n">
        <x:v>0.19303</x:v>
      </x:c>
      <x:c r="O136" s="26" t="n">
        <x:v>21.94</x:v>
      </x:c>
      <x:c r="P136" s="26" t="n">
        <x:v>267.89904</x:v>
      </x:c>
      <x:c r="Q136" s="26" t="n">
        <x:v>0.12156</x:v>
      </x:c>
      <x:c r="R136" s="26" t="n">
        <x:v>18.68</x:v>
      </x:c>
      <x:c r="S136" s="26" t="n">
        <x:v>267.70044</x:v>
      </x:c>
      <x:c r="T136" s="26" t="n">
        <x:v>0.01582</x:v>
      </x:c>
      <x:c r="U136" s="26" t="n">
        <x:v>267.77213</x:v>
      </x:c>
      <x:c r="V136" s="26" t="n">
        <x:v>0.05577</x:v>
      </x:c>
      <x:c r="W136" s="26" t="n">
        <x:v>267.89904</x:v>
      </x:c>
      <x:c r="X136" s="26" t="n">
        <x:v>0.12156</x:v>
      </x:c>
      <x:c r="Y136" s="26" t="n">
        <x:v>267.87623</x:v>
      </x:c>
      <x:c r="Z136" s="26" t="n">
        <x:v>-0.12377</x:v>
      </x:c>
      <x:c r="AA136" s="26" t="n">
        <x:v>0.01582</x:v>
      </x:c>
      <x:c r="AB136" s="26" t="n">
        <x:v>0.05577</x:v>
      </x:c>
      <x:c r="AC136" s="26" t="n">
        <x:v>0.12156</x:v>
      </x:c>
      <x:c r="AD136" s="26" t="n">
        <x:v>0.13468</x:v>
      </x:c>
      <x:c r="AE136" s="26" t="n">
        <x:v>17.88</x:v>
      </x:c>
      <x:c r="AF136" s="26" t="str">
        <x:v>Z</x:v>
      </x:c>
      <x:c r="AG136" s="26" t="n">
        <x:v>0.02</x:v>
      </x:c>
      <x:c r="AH136" s="26" t="n">
        <x:v>-118.26</x:v>
      </x:c>
      <x:c r="AI136" s="26" t="n">
        <x:v>0.097</x:v>
      </x:c>
      <x:c r="AJ136" s="26" t="n">
        <x:v>37.15</x:v>
      </x:c>
      <x:c r="AK136" s="26" t="n">
        <x:v>0.05138</x:v>
      </x:c>
      <x:c r="AL136" s="26" t="n">
        <x:v>-106.61</x:v>
      </x:c>
      <x:c r="AM136" s="26" t="n">
        <x:v>0.113</x:v>
      </x:c>
      <x:c r="AN136" s="26" t="n">
        <x:v>19.88</x:v>
      </x:c>
      <x:c r="AO136" s="26" t="n">
        <x:v>0.13454</x:v>
      </x:c>
      <x:c r="AP136" s="26" t="n">
        <x:v>48.34</x:v>
      </x:c>
      <x:c r="AQ136" s="26" t="n">
        <x:v>0.386</x:v>
      </x:c>
      <x:c r="AR136" s="26" t="n">
        <x:v>8.82</x:v>
      </x:c>
      <x:c r="AS136" s="26" t="n">
        <x:v>0.14602</x:v>
      </x:c>
      <x:c r="AT136" s="26" t="n">
        <x:v>5.84</x:v>
      </x:c>
      <x:c r="AU136" s="26" t="n">
        <x:v>0.137</x:v>
      </x:c>
      <x:c r="AV136" s="26" t="n">
        <x:v>0.3518</x:v>
      </x:c>
      <x:c r="AW136" s="26" t="n">
        <x:v>0.9214</x:v>
      </x:c>
      <x:c r="AX136" s="26" t="n">
        <x:v>1</x:v>
      </x:c>
    </x:row>
    <x:row r="137">
      <x:c r="A137" s="26" t="str">
        <x:v>K5</x:v>
      </x:c>
      <x:c r="B137" s="26" t="str">
        <x:v>Horizontal / flat</x:v>
      </x:c>
      <x:c r="C137" s="26" t="str">
        <x:v>Intermediate</x:v>
      </x:c>
      <x:c r="D137" s="26" t="str">
        <x:v>Pasted text(20260812-103624).txt</x:v>
      </x:c>
      <x:c r="E137" s="26" t="str">
        <x:v>GAIN_SWEEP</x:v>
      </x:c>
      <x:c r="F137" s="26" t="n">
        <x:v>5</x:v>
      </x:c>
      <x:c r="G137" s="26" t="n">
        <x:v>2</x:v>
      </x:c>
      <x:c r="H137" s="26" t="n">
        <x:v>268</x:v>
      </x:c>
      <x:c r="I137" s="26" t="n">
        <x:v>3</x:v>
      </x:c>
      <x:c r="J137" s="26" t="n">
        <x:v>56.31379</x:v>
      </x:c>
      <x:c r="K137" s="26" t="n">
        <x:v>0.04498</x:v>
      </x:c>
      <x:c r="L137" s="26" t="n">
        <x:v>14.71</x:v>
      </x:c>
      <x:c r="M137" s="26" t="n">
        <x:v>56.33144</x:v>
      </x:c>
      <x:c r="N137" s="26" t="n">
        <x:v>0.20597</x:v>
      </x:c>
      <x:c r="O137" s="26" t="n">
        <x:v>23.15</x:v>
      </x:c>
      <x:c r="P137" s="26" t="n">
        <x:v>268.22728</x:v>
      </x:c>
      <x:c r="Q137" s="26" t="n">
        <x:v>0.09743</x:v>
      </x:c>
      <x:c r="R137" s="26" t="n">
        <x:v>16.27</x:v>
      </x:c>
      <x:c r="S137" s="26" t="n">
        <x:v>268.46395</x:v>
      </x:c>
      <x:c r="T137" s="26" t="n">
        <x:v>0.01601</x:v>
      </x:c>
      <x:c r="U137" s="26" t="n">
        <x:v>268.02912</x:v>
      </x:c>
      <x:c r="V137" s="26" t="n">
        <x:v>0.03775</x:v>
      </x:c>
      <x:c r="W137" s="26" t="n">
        <x:v>268.22728</x:v>
      </x:c>
      <x:c r="X137" s="26" t="n">
        <x:v>0.09743</x:v>
      </x:c>
      <x:c r="Y137" s="26" t="n">
        <x:v>268.21302</x:v>
      </x:c>
      <x:c r="Z137" s="26" t="n">
        <x:v>0.21302</x:v>
      </x:c>
      <x:c r="AA137" s="26" t="n">
        <x:v>0.01601</x:v>
      </x:c>
      <x:c r="AB137" s="26" t="n">
        <x:v>0.03775</x:v>
      </x:c>
      <x:c r="AC137" s="26" t="n">
        <x:v>0.09743</x:v>
      </x:c>
      <x:c r="AD137" s="26" t="n">
        <x:v>0.10571</x:v>
      </x:c>
      <x:c r="AE137" s="26" t="n">
        <x:v>13.94</x:v>
      </x:c>
      <x:c r="AF137" s="26" t="str">
        <x:v>Z</x:v>
      </x:c>
      <x:c r="AG137" s="26" t="n">
        <x:v>0.01356</x:v>
      </x:c>
      <x:c r="AH137" s="26" t="n">
        <x:v>-117.63</x:v>
      </x:c>
      <x:c r="AI137" s="26" t="n">
        <x:v>0.066</x:v>
      </x:c>
      <x:c r="AJ137" s="26" t="n">
        <x:v>48.51</x:v>
      </x:c>
      <x:c r="AK137" s="26" t="n">
        <x:v>0.0645</x:v>
      </x:c>
      <x:c r="AL137" s="26" t="n">
        <x:v>-88.54</x:v>
      </x:c>
      <x:c r="AM137" s="26" t="n">
        <x:v>0.141</x:v>
      </x:c>
      <x:c r="AN137" s="26" t="n">
        <x:v>39.53</x:v>
      </x:c>
      <x:c r="AO137" s="26" t="n">
        <x:v>0.12715</x:v>
      </x:c>
      <x:c r="AP137" s="26" t="n">
        <x:v>46.78</x:v>
      </x:c>
      <x:c r="AQ137" s="26" t="n">
        <x:v>0.38</x:v>
      </x:c>
      <x:c r="AR137" s="26" t="n">
        <x:v>15.03</x:v>
      </x:c>
      <x:c r="AS137" s="26" t="n">
        <x:v>0.14538</x:v>
      </x:c>
      <x:c r="AT137" s="26" t="n">
        <x:v>11.45</x:v>
      </x:c>
      <x:c r="AU137" s="26" t="n">
        <x:v>0.0933</x:v>
      </x:c>
      <x:c r="AV137" s="26" t="n">
        <x:v>0.4436</x:v>
      </x:c>
      <x:c r="AW137" s="26" t="n">
        <x:v>0.8746</x:v>
      </x:c>
      <x:c r="AX137" s="26" t="n">
        <x:v>1</x:v>
      </x:c>
    </x:row>
    <x:row r="138">
      <x:c r="A138" s="26" t="str">
        <x:v>K5</x:v>
      </x:c>
      <x:c r="B138" s="26" t="str">
        <x:v>Horizontal / flat</x:v>
      </x:c>
      <x:c r="C138" s="26" t="str">
        <x:v>Intermediate</x:v>
      </x:c>
      <x:c r="D138" s="26" t="str">
        <x:v>Pasted text(20260812-103624).txt</x:v>
      </x:c>
      <x:c r="E138" s="26" t="str">
        <x:v>GAIN_SWEEP</x:v>
      </x:c>
      <x:c r="F138" s="26" t="n">
        <x:v>5</x:v>
      </x:c>
      <x:c r="G138" s="26" t="n">
        <x:v>3</x:v>
      </x:c>
      <x:c r="H138" s="26" t="n">
        <x:v>268</x:v>
      </x:c>
      <x:c r="I138" s="26" t="n">
        <x:v>3</x:v>
      </x:c>
      <x:c r="J138" s="26" t="n">
        <x:v>56.5159</x:v>
      </x:c>
      <x:c r="K138" s="26" t="n">
        <x:v>0.04314</x:v>
      </x:c>
      <x:c r="L138" s="26" t="n">
        <x:v>14.1</x:v>
      </x:c>
      <x:c r="M138" s="26" t="n">
        <x:v>56.47616</x:v>
      </x:c>
      <x:c r="N138" s="26" t="n">
        <x:v>0.18937</x:v>
      </x:c>
      <x:c r="O138" s="26" t="n">
        <x:v>22.35</x:v>
      </x:c>
      <x:c r="P138" s="26" t="n">
        <x:v>268.1203</x:v>
      </x:c>
      <x:c r="Q138" s="26" t="n">
        <x:v>0.10926</x:v>
      </x:c>
      <x:c r="R138" s="26" t="n">
        <x:v>17.81</x:v>
      </x:c>
      <x:c r="S138" s="26" t="n">
        <x:v>267.92806</x:v>
      </x:c>
      <x:c r="T138" s="26" t="n">
        <x:v>0.01411</x:v>
      </x:c>
      <x:c r="U138" s="26" t="n">
        <x:v>267.64922</x:v>
      </x:c>
      <x:c r="V138" s="26" t="n">
        <x:v>0.05235</x:v>
      </x:c>
      <x:c r="W138" s="26" t="n">
        <x:v>268.1203</x:v>
      </x:c>
      <x:c r="X138" s="26" t="n">
        <x:v>0.10926</x:v>
      </x:c>
      <x:c r="Y138" s="26" t="n">
        <x:v>268.04703</x:v>
      </x:c>
      <x:c r="Z138" s="26" t="n">
        <x:v>0.04703</x:v>
      </x:c>
      <x:c r="AA138" s="26" t="n">
        <x:v>0.01392</x:v>
      </x:c>
      <x:c r="AB138" s="26" t="n">
        <x:v>0.04439</x:v>
      </x:c>
      <x:c r="AC138" s="26" t="n">
        <x:v>0.10926</x:v>
      </x:c>
      <x:c r="AD138" s="26" t="n">
        <x:v>0.11875</x:v>
      </x:c>
      <x:c r="AE138" s="26" t="n">
        <x:v>18.12</x:v>
      </x:c>
      <x:c r="AF138" s="26" t="str">
        <x:v>Z</x:v>
      </x:c>
      <x:c r="AG138" s="26" t="n">
        <x:v>0.01699</x:v>
      </x:c>
      <x:c r="AH138" s="26" t="n">
        <x:v>-132.12</x:v>
      </x:c>
      <x:c r="AI138" s="26" t="n">
        <x:v>0.086</x:v>
      </x:c>
      <x:c r="AJ138" s="26" t="n">
        <x:v>14.75</x:v>
      </x:c>
      <x:c r="AK138" s="26" t="n">
        <x:v>0.04657</x:v>
      </x:c>
      <x:c r="AL138" s="26" t="n">
        <x:v>-83.99</x:v>
      </x:c>
      <x:c r="AM138" s="26" t="n">
        <x:v>0.102</x:v>
      </x:c>
      <x:c r="AN138" s="26" t="n">
        <x:v>44.07</x:v>
      </x:c>
      <x:c r="AO138" s="26" t="n">
        <x:v>0.12568</x:v>
      </x:c>
      <x:c r="AP138" s="26" t="n">
        <x:v>48.25</x:v>
      </x:c>
      <x:c r="AQ138" s="26" t="n">
        <x:v>0.37</x:v>
      </x:c>
      <x:c r="AR138" s="26" t="n">
        <x:v>14.19</x:v>
      </x:c>
      <x:c r="AS138" s="26" t="n">
        <x:v>0.13614</x:v>
      </x:c>
      <x:c r="AT138" s="26" t="n">
        <x:v>14.59</x:v>
      </x:c>
      <x:c r="AU138" s="26" t="n">
        <x:v>0.1248</x:v>
      </x:c>
      <x:c r="AV138" s="26" t="n">
        <x:v>0.3421</x:v>
      </x:c>
      <x:c r="AW138" s="26" t="n">
        <x:v>0.9232</x:v>
      </x:c>
      <x:c r="AX138" s="26" t="n">
        <x:v>1</x:v>
      </x:c>
    </x:row>
    <x:row r="139">
      <x:c r="A139" s="26" t="str">
        <x:v>K5</x:v>
      </x:c>
      <x:c r="B139" s="26" t="str">
        <x:v>Horizontal / flat</x:v>
      </x:c>
      <x:c r="C139" s="26" t="str">
        <x:v>Intermediate</x:v>
      </x:c>
      <x:c r="D139" s="26" t="str">
        <x:v>Pasted text(20260812-103624).txt</x:v>
      </x:c>
      <x:c r="E139" s="26" t="str">
        <x:v>GAIN_SWEEP</x:v>
      </x:c>
      <x:c r="F139" s="26" t="n">
        <x:v>6</x:v>
      </x:c>
      <x:c r="G139" s="26" t="n">
        <x:v>1</x:v>
      </x:c>
      <x:c r="H139" s="26" t="n">
        <x:v>268</x:v>
      </x:c>
      <x:c r="I139" s="26" t="n">
        <x:v>3.5</x:v>
      </x:c>
      <x:c r="J139" s="26" t="n">
        <x:v>56.53769</x:v>
      </x:c>
      <x:c r="K139" s="26" t="n">
        <x:v>0.04297</x:v>
      </x:c>
      <x:c r="L139" s="26" t="n">
        <x:v>14.3</x:v>
      </x:c>
      <x:c r="M139" s="26" t="n">
        <x:v>56.61199</x:v>
      </x:c>
      <x:c r="N139" s="26" t="n">
        <x:v>0.19461</x:v>
      </x:c>
      <x:c r="O139" s="26" t="n">
        <x:v>22.59</x:v>
      </x:c>
      <x:c r="P139" s="26" t="n">
        <x:v>268.03871</x:v>
      </x:c>
      <x:c r="Q139" s="26" t="n">
        <x:v>0.13037</x:v>
      </x:c>
      <x:c r="R139" s="26" t="n">
        <x:v>19.05</x:v>
      </x:c>
      <x:c r="S139" s="26" t="n">
        <x:v>267.47436</x:v>
      </x:c>
      <x:c r="T139" s="26" t="n">
        <x:v>0.01888</x:v>
      </x:c>
      <x:c r="U139" s="26" t="n">
        <x:v>267.43584</x:v>
      </x:c>
      <x:c r="V139" s="26" t="n">
        <x:v>0.05784</x:v>
      </x:c>
      <x:c r="W139" s="26" t="n">
        <x:v>268.03871</x:v>
      </x:c>
      <x:c r="X139" s="26" t="n">
        <x:v>0.13037</x:v>
      </x:c>
      <x:c r="Y139" s="26" t="n">
        <x:v>267.95381</x:v>
      </x:c>
      <x:c r="Z139" s="26" t="n">
        <x:v>-0.04619</x:v>
      </x:c>
      <x:c r="AA139" s="26" t="n">
        <x:v>0.01888</x:v>
      </x:c>
      <x:c r="AB139" s="26" t="n">
        <x:v>0.05784</x:v>
      </x:c>
      <x:c r="AC139" s="26" t="n">
        <x:v>0.12559</x:v>
      </x:c>
      <x:c r="AD139" s="26" t="n">
        <x:v>0.13955</x:v>
      </x:c>
      <x:c r="AE139" s="26" t="n">
        <x:v>16.07</x:v>
      </x:c>
      <x:c r="AF139" s="26" t="str">
        <x:v>Z</x:v>
      </x:c>
      <x:c r="AG139" s="26" t="n">
        <x:v>0.02352</x:v>
      </x:c>
      <x:c r="AH139" s="26" t="n">
        <x:v>-118.72</x:v>
      </x:c>
      <x:c r="AI139" s="26" t="n">
        <x:v>0.126</x:v>
      </x:c>
      <x:c r="AJ139" s="26" t="n">
        <x:v>26.81</x:v>
      </x:c>
      <x:c r="AK139" s="26" t="n">
        <x:v>0.05808</x:v>
      </x:c>
      <x:c r="AL139" s="26" t="n">
        <x:v>-102.1</x:v>
      </x:c>
      <x:c r="AM139" s="26" t="n">
        <x:v>0.141</x:v>
      </x:c>
      <x:c r="AN139" s="26" t="n">
        <x:v>57.28</x:v>
      </x:c>
      <x:c r="AO139" s="26" t="n">
        <x:v>0.14668</x:v>
      </x:c>
      <x:c r="AP139" s="26" t="n">
        <x:v>50.73</x:v>
      </x:c>
      <x:c r="AQ139" s="26" t="n">
        <x:v>0.451</x:v>
      </x:c>
      <x:c r="AR139" s="26" t="n">
        <x:v>6.1</x:v>
      </x:c>
      <x:c r="AS139" s="26" t="n">
        <x:v>0.16218</x:v>
      </x:c>
      <x:c r="AT139" s="26" t="n">
        <x:v>7.56</x:v>
      </x:c>
      <x:c r="AU139" s="26" t="n">
        <x:v>0.145</x:v>
      </x:c>
      <x:c r="AV139" s="26" t="n">
        <x:v>0.3581</x:v>
      </x:c>
      <x:c r="AW139" s="26" t="n">
        <x:v>0.9044</x:v>
      </x:c>
      <x:c r="AX139" s="26" t="n">
        <x:v>1</x:v>
      </x:c>
    </x:row>
    <x:row r="140">
      <x:c r="A140" s="26" t="str">
        <x:v>K5</x:v>
      </x:c>
      <x:c r="B140" s="26" t="str">
        <x:v>Horizontal / flat</x:v>
      </x:c>
      <x:c r="C140" s="26" t="str">
        <x:v>Intermediate</x:v>
      </x:c>
      <x:c r="D140" s="26" t="str">
        <x:v>Pasted text(20260812-103624).txt</x:v>
      </x:c>
      <x:c r="E140" s="26" t="str">
        <x:v>GAIN_SWEEP</x:v>
      </x:c>
      <x:c r="F140" s="26" t="n">
        <x:v>6</x:v>
      </x:c>
      <x:c r="G140" s="26" t="n">
        <x:v>2</x:v>
      </x:c>
      <x:c r="H140" s="26" t="n">
        <x:v>268</x:v>
      </x:c>
      <x:c r="I140" s="26" t="n">
        <x:v>3.5</x:v>
      </x:c>
      <x:c r="J140" s="26" t="n">
        <x:v>56.69318</x:v>
      </x:c>
      <x:c r="K140" s="26" t="n">
        <x:v>0.03296</x:v>
      </x:c>
      <x:c r="L140" s="26" t="n">
        <x:v>12.39</x:v>
      </x:c>
      <x:c r="M140" s="26" t="n">
        <x:v>56.57241</x:v>
      </x:c>
      <x:c r="N140" s="26" t="n">
        <x:v>0.19728</x:v>
      </x:c>
      <x:c r="O140" s="26" t="n">
        <x:v>22.61</x:v>
      </x:c>
      <x:c r="P140" s="26" t="n">
        <x:v>267.94253</x:v>
      </x:c>
      <x:c r="Q140" s="26" t="n">
        <x:v>0.12568</x:v>
      </x:c>
      <x:c r="R140" s="26" t="n">
        <x:v>18.87</x:v>
      </x:c>
      <x:c r="S140" s="26" t="n">
        <x:v>267.35</x:v>
      </x:c>
      <x:c r="T140" s="26" t="n">
        <x:v>0.01354</x:v>
      </x:c>
      <x:c r="U140" s="26" t="n">
        <x:v>267.67923</x:v>
      </x:c>
      <x:c r="V140" s="26" t="n">
        <x:v>0.05056</x:v>
      </x:c>
      <x:c r="W140" s="26" t="n">
        <x:v>267.94253</x:v>
      </x:c>
      <x:c r="X140" s="26" t="n">
        <x:v>0.12568</x:v>
      </x:c>
      <x:c r="Y140" s="26" t="n">
        <x:v>267.91006</x:v>
      </x:c>
      <x:c r="Z140" s="26" t="n">
        <x:v>-0.08994</x:v>
      </x:c>
      <x:c r="AA140" s="26" t="n">
        <x:v>0.01354</x:v>
      </x:c>
      <x:c r="AB140" s="26" t="n">
        <x:v>0.05056</x:v>
      </x:c>
      <x:c r="AC140" s="26" t="n">
        <x:v>0.12568</x:v>
      </x:c>
      <x:c r="AD140" s="26" t="n">
        <x:v>0.13614</x:v>
      </x:c>
      <x:c r="AE140" s="26" t="n">
        <x:v>17.08</x:v>
      </x:c>
      <x:c r="AF140" s="26" t="str">
        <x:v>Z</x:v>
      </x:c>
      <x:c r="AG140" s="26" t="n">
        <x:v>0.02037</x:v>
      </x:c>
      <x:c r="AH140" s="26" t="n">
        <x:v>-114.98</x:v>
      </x:c>
      <x:c r="AI140" s="26" t="n">
        <x:v>0.109</x:v>
      </x:c>
      <x:c r="AJ140" s="26" t="n">
        <x:v>18.46</x:v>
      </x:c>
      <x:c r="AK140" s="26" t="n">
        <x:v>0.0657</x:v>
      </x:c>
      <x:c r="AL140" s="26" t="n">
        <x:v>-97.61</x:v>
      </x:c>
      <x:c r="AM140" s="26" t="n">
        <x:v>0.161</x:v>
      </x:c>
      <x:c r="AN140" s="26" t="n">
        <x:v>28.79</x:v>
      </x:c>
      <x:c r="AO140" s="26" t="n">
        <x:v>0.16297</x:v>
      </x:c>
      <x:c r="AP140" s="26" t="n">
        <x:v>46.42</x:v>
      </x:c>
      <x:c r="AQ140" s="26" t="n">
        <x:v>0.464</x:v>
      </x:c>
      <x:c r="AR140" s="26" t="n">
        <x:v>7.7</x:v>
      </x:c>
      <x:c r="AS140" s="26" t="n">
        <x:v>0.17776</x:v>
      </x:c>
      <x:c r="AT140" s="26" t="n">
        <x:v>6.7</x:v>
      </x:c>
      <x:c r="AU140" s="26" t="n">
        <x:v>0.1146</x:v>
      </x:c>
      <x:c r="AV140" s="26" t="n">
        <x:v>0.3696</x:v>
      </x:c>
      <x:c r="AW140" s="26" t="n">
        <x:v>0.9168</x:v>
      </x:c>
      <x:c r="AX140" s="26" t="n">
        <x:v>1</x:v>
      </x:c>
    </x:row>
    <x:row r="141">
      <x:c r="A141" s="26" t="str">
        <x:v>K5</x:v>
      </x:c>
      <x:c r="B141" s="26" t="str">
        <x:v>Horizontal / flat</x:v>
      </x:c>
      <x:c r="C141" s="26" t="str">
        <x:v>Intermediate</x:v>
      </x:c>
      <x:c r="D141" s="26" t="str">
        <x:v>Pasted text(20260812-103624).txt</x:v>
      </x:c>
      <x:c r="E141" s="26" t="str">
        <x:v>GAIN_SWEEP</x:v>
      </x:c>
      <x:c r="F141" s="26" t="n">
        <x:v>6</x:v>
      </x:c>
      <x:c r="G141" s="26" t="n">
        <x:v>3</x:v>
      </x:c>
      <x:c r="H141" s="26" t="n">
        <x:v>268</x:v>
      </x:c>
      <x:c r="I141" s="26" t="n">
        <x:v>3.5</x:v>
      </x:c>
      <x:c r="J141" s="26" t="n">
        <x:v>56.33814</x:v>
      </x:c>
      <x:c r="K141" s="26" t="n">
        <x:v>0.03572</x:v>
      </x:c>
      <x:c r="L141" s="26" t="n">
        <x:v>13.03</x:v>
      </x:c>
      <x:c r="M141" s="26" t="n">
        <x:v>56.51828</x:v>
      </x:c>
      <x:c r="N141" s="26" t="n">
        <x:v>0.19217</x:v>
      </x:c>
      <x:c r="O141" s="26" t="n">
        <x:v>22.49</x:v>
      </x:c>
      <x:c r="P141" s="26" t="n">
        <x:v>268.13065</x:v>
      </x:c>
      <x:c r="Q141" s="26" t="n">
        <x:v>0.12954</x:v>
      </x:c>
      <x:c r="R141" s="26" t="n">
        <x:v>19.26</x:v>
      </x:c>
      <x:c r="S141" s="26" t="n">
        <x:v>269.07341</x:v>
      </x:c>
      <x:c r="T141" s="26" t="n">
        <x:v>0.01419</x:v>
      </x:c>
      <x:c r="U141" s="26" t="n">
        <x:v>267.65973</x:v>
      </x:c>
      <x:c r="V141" s="26" t="n">
        <x:v>0.04726</x:v>
      </x:c>
      <x:c r="W141" s="26" t="n">
        <x:v>268.13065</x:v>
      </x:c>
      <x:c r="X141" s="26" t="n">
        <x:v>0.12954</x:v>
      </x:c>
      <x:c r="Y141" s="26" t="n">
        <x:v>268.10383</x:v>
      </x:c>
      <x:c r="Z141" s="26" t="n">
        <x:v>0.10383</x:v>
      </x:c>
      <x:c r="AA141" s="26" t="n">
        <x:v>0.01419</x:v>
      </x:c>
      <x:c r="AB141" s="26" t="n">
        <x:v>0.04182</x:v>
      </x:c>
      <x:c r="AC141" s="26" t="n">
        <x:v>0.12954</x:v>
      </x:c>
      <x:c r="AD141" s="26" t="n">
        <x:v>0.13686</x:v>
      </x:c>
      <x:c r="AE141" s="26" t="n">
        <x:v>16.04</x:v>
      </x:c>
      <x:c r="AF141" s="26" t="str">
        <x:v>Z</x:v>
      </x:c>
      <x:c r="AG141" s="26" t="n">
        <x:v>0.02305</x:v>
      </x:c>
      <x:c r="AH141" s="26" t="n">
        <x:v>-112.97</x:v>
      </x:c>
      <x:c r="AI141" s="26" t="n">
        <x:v>0.115</x:v>
      </x:c>
      <x:c r="AJ141" s="26" t="n">
        <x:v>35.29</x:v>
      </x:c>
      <x:c r="AK141" s="26" t="n">
        <x:v>0.06593</x:v>
      </x:c>
      <x:c r="AL141" s="26" t="n">
        <x:v>-94.58</x:v>
      </x:c>
      <x:c r="AM141" s="26" t="n">
        <x:v>0.159</x:v>
      </x:c>
      <x:c r="AN141" s="26" t="n">
        <x:v>8.16</x:v>
      </x:c>
      <x:c r="AO141" s="26" t="n">
        <x:v>0.15531</x:v>
      </x:c>
      <x:c r="AP141" s="26" t="n">
        <x:v>40.7</x:v>
      </x:c>
      <x:c r="AQ141" s="26" t="n">
        <x:v>0.444</x:v>
      </x:c>
      <x:c r="AR141" s="26" t="n">
        <x:v>10.52</x:v>
      </x:c>
      <x:c r="AS141" s="26" t="n">
        <x:v>0.17061</x:v>
      </x:c>
      <x:c r="AT141" s="26" t="n">
        <x:v>8.85</x:v>
      </x:c>
      <x:c r="AU141" s="26" t="n">
        <x:v>0.1351</x:v>
      </x:c>
      <x:c r="AV141" s="26" t="n">
        <x:v>0.3864</x:v>
      </x:c>
      <x:c r="AW141" s="26" t="n">
        <x:v>0.9103</x:v>
      </x:c>
      <x:c r="AX141" s="26" t="n">
        <x:v>1</x:v>
      </x:c>
    </x:row>
    <x:row r="142">
      <x:c r="A142" s="26" t="str">
        <x:v>K5</x:v>
      </x:c>
      <x:c r="B142" s="26" t="str">
        <x:v>Horizontal / flat</x:v>
      </x:c>
      <x:c r="C142" s="26" t="str">
        <x:v>Intermediate</x:v>
      </x:c>
      <x:c r="D142" s="26" t="str">
        <x:v>Pasted text(20260812-103624).txt</x:v>
      </x:c>
      <x:c r="E142" s="26" t="str">
        <x:v>GAIN_SWEEP</x:v>
      </x:c>
      <x:c r="F142" s="26" t="n">
        <x:v>7</x:v>
      </x:c>
      <x:c r="G142" s="26" t="n">
        <x:v>1</x:v>
      </x:c>
      <x:c r="H142" s="26" t="n">
        <x:v>268</x:v>
      </x:c>
      <x:c r="I142" s="26" t="n">
        <x:v>4</x:v>
      </x:c>
      <x:c r="J142" s="26" t="n">
        <x:v>56.52631</x:v>
      </x:c>
      <x:c r="K142" s="26" t="n">
        <x:v>0.04336</x:v>
      </x:c>
      <x:c r="L142" s="26" t="n">
        <x:v>14.51</x:v>
      </x:c>
      <x:c r="M142" s="26" t="n">
        <x:v>56.49813</x:v>
      </x:c>
      <x:c r="N142" s="26" t="n">
        <x:v>0.1994</x:v>
      </x:c>
      <x:c r="O142" s="26" t="n">
        <x:v>22.59</x:v>
      </x:c>
      <x:c r="P142" s="26" t="n">
        <x:v>268.05633</x:v>
      </x:c>
      <x:c r="Q142" s="26" t="n">
        <x:v>0.17309</x:v>
      </x:c>
      <x:c r="R142" s="26" t="n">
        <x:v>21.48</x:v>
      </x:c>
      <x:c r="S142" s="26" t="n">
        <x:v>267.89781</x:v>
      </x:c>
      <x:c r="T142" s="26" t="n">
        <x:v>0.01688</x:v>
      </x:c>
      <x:c r="U142" s="26" t="n">
        <x:v>268.31571</x:v>
      </x:c>
      <x:c r="V142" s="26" t="n">
        <x:v>0.07548</x:v>
      </x:c>
      <x:c r="W142" s="26" t="n">
        <x:v>268.05633</x:v>
      </x:c>
      <x:c r="X142" s="26" t="n">
        <x:v>0.17309</x:v>
      </x:c>
      <x:c r="Y142" s="26" t="n">
        <x:v>268.09615</x:v>
      </x:c>
      <x:c r="Z142" s="26" t="n">
        <x:v>0.09615</x:v>
      </x:c>
      <x:c r="AA142" s="26" t="n">
        <x:v>0.01641</x:v>
      </x:c>
      <x:c r="AB142" s="26" t="n">
        <x:v>0.07548</x:v>
      </x:c>
      <x:c r="AC142" s="26" t="n">
        <x:v>0.17309</x:v>
      </x:c>
      <x:c r="AD142" s="26" t="n">
        <x:v>0.18954</x:v>
      </x:c>
      <x:c r="AE142" s="26" t="n">
        <x:v>17.87</x:v>
      </x:c>
      <x:c r="AF142" s="26" t="str">
        <x:v>Z</x:v>
      </x:c>
      <x:c r="AG142" s="26" t="n">
        <x:v>0.03003</x:v>
      </x:c>
      <x:c r="AH142" s="26" t="n">
        <x:v>-118.1</x:v>
      </x:c>
      <x:c r="AI142" s="26" t="n">
        <x:v>0.146</x:v>
      </x:c>
      <x:c r="AJ142" s="26" t="n">
        <x:v>14.38</x:v>
      </x:c>
      <x:c r="AK142" s="26" t="n">
        <x:v>0.08515</x:v>
      </x:c>
      <x:c r="AL142" s="26" t="n">
        <x:v>-88.27</x:v>
      </x:c>
      <x:c r="AM142" s="26" t="n">
        <x:v>0.188</x:v>
      </x:c>
      <x:c r="AN142" s="26" t="n">
        <x:v>35.8</x:v>
      </x:c>
      <x:c r="AO142" s="26" t="n">
        <x:v>0.19903</x:v>
      </x:c>
      <x:c r="AP142" s="26" t="n">
        <x:v>49.48</x:v>
      </x:c>
      <x:c r="AQ142" s="26" t="n">
        <x:v>0.549</x:v>
      </x:c>
      <x:c r="AR142" s="26" t="n">
        <x:v>9.89</x:v>
      </x:c>
      <x:c r="AS142" s="26" t="n">
        <x:v>0.21998</x:v>
      </x:c>
      <x:c r="AT142" s="26" t="n">
        <x:v>10.67</x:v>
      </x:c>
      <x:c r="AU142" s="26" t="n">
        <x:v>0.1365</x:v>
      </x:c>
      <x:c r="AV142" s="26" t="n">
        <x:v>0.3871</x:v>
      </x:c>
      <x:c r="AW142" s="26" t="n">
        <x:v>0.9048</x:v>
      </x:c>
      <x:c r="AX142" s="26" t="n">
        <x:v>1</x:v>
      </x:c>
    </x:row>
    <x:row r="143">
      <x:c r="A143" s="26" t="str">
        <x:v>K5</x:v>
      </x:c>
      <x:c r="B143" s="26" t="str">
        <x:v>Horizontal / flat</x:v>
      </x:c>
      <x:c r="C143" s="26" t="str">
        <x:v>Intermediate</x:v>
      </x:c>
      <x:c r="D143" s="26" t="str">
        <x:v>Pasted text(20260812-103624).txt</x:v>
      </x:c>
      <x:c r="E143" s="26" t="str">
        <x:v>GAIN_SWEEP</x:v>
      </x:c>
      <x:c r="F143" s="26" t="n">
        <x:v>7</x:v>
      </x:c>
      <x:c r="G143" s="26" t="n">
        <x:v>2</x:v>
      </x:c>
      <x:c r="H143" s="26" t="n">
        <x:v>268</x:v>
      </x:c>
      <x:c r="I143" s="26" t="n">
        <x:v>4</x:v>
      </x:c>
      <x:c r="J143" s="26" t="n">
        <x:v>480.04101</x:v>
      </x:c>
      <x:c r="K143" s="26" t="n">
        <x:v>0.03507</x:v>
      </x:c>
      <x:c r="L143" s="26" t="n">
        <x:v>12.19</x:v>
      </x:c>
      <x:c r="M143" s="26" t="n">
        <x:v>184.34161</x:v>
      </x:c>
      <x:c r="N143" s="26" t="n">
        <x:v>0.20323</x:v>
      </x:c>
      <x:c r="O143" s="26" t="n">
        <x:v>22.67</x:v>
      </x:c>
      <x:c r="P143" s="26" t="n">
        <x:v>268.00457</x:v>
      </x:c>
      <x:c r="Q143" s="26" t="n">
        <x:v>0.15694</x:v>
      </x:c>
      <x:c r="R143" s="26" t="n">
        <x:v>20.69</x:v>
      </x:c>
      <x:c r="S143" s="26" t="n">
        <x:v>268.20766</x:v>
      </x:c>
      <x:c r="T143" s="26" t="n">
        <x:v>0.02358</x:v>
      </x:c>
      <x:c r="U143" s="26" t="n">
        <x:v>267.97467</x:v>
      </x:c>
      <x:c r="V143" s="26" t="n">
        <x:v>0.06055</x:v>
      </x:c>
      <x:c r="W143" s="26" t="n">
        <x:v>268.00457</x:v>
      </x:c>
      <x:c r="X143" s="26" t="n">
        <x:v>0.15694</x:v>
      </x:c>
      <x:c r="Y143" s="26" t="n">
        <x:v>268.00472</x:v>
      </x:c>
      <x:c r="Z143" s="26" t="n">
        <x:v>0.00472</x:v>
      </x:c>
      <x:c r="AA143" s="26" t="n">
        <x:v>0.02358</x:v>
      </x:c>
      <x:c r="AB143" s="26" t="n">
        <x:v>0.06055</x:v>
      </x:c>
      <x:c r="AC143" s="26" t="n">
        <x:v>0.15694</x:v>
      </x:c>
      <x:c r="AD143" s="26" t="n">
        <x:v>0.16986</x:v>
      </x:c>
      <x:c r="AE143" s="26" t="n">
        <x:v>18.5</x:v>
      </x:c>
      <x:c r="AF143" s="26" t="str">
        <x:v>Z</x:v>
      </x:c>
      <x:c r="AG143" s="26" t="n">
        <x:v>0.02974</x:v>
      </x:c>
      <x:c r="AH143" s="26" t="n">
        <x:v>-127.97</x:v>
      </x:c>
      <x:c r="AI143" s="26" t="n">
        <x:v>0.142</x:v>
      </x:c>
      <x:c r="AJ143" s="26" t="n">
        <x:v>33.89</x:v>
      </x:c>
      <x:c r="AK143" s="26" t="n">
        <x:v>0.086</x:v>
      </x:c>
      <x:c r="AL143" s="26" t="n">
        <x:v>-88.64</x:v>
      </x:c>
      <x:c r="AM143" s="26" t="n">
        <x:v>0.185</x:v>
      </x:c>
      <x:c r="AN143" s="26" t="n">
        <x:v>34.66</x:v>
      </x:c>
      <x:c r="AO143" s="26" t="n">
        <x:v>0.21394</x:v>
      </x:c>
      <x:c r="AP143" s="26" t="n">
        <x:v>49.42</x:v>
      </x:c>
      <x:c r="AQ143" s="26" t="n">
        <x:v>0.573</x:v>
      </x:c>
      <x:c r="AR143" s="26" t="n">
        <x:v>9.2</x:v>
      </x:c>
      <x:c r="AS143" s="26" t="n">
        <x:v>0.23368</x:v>
      </x:c>
      <x:c r="AT143" s="26" t="n">
        <x:v>11.18</x:v>
      </x:c>
      <x:c r="AU143" s="26" t="n">
        <x:v>0.1273</x:v>
      </x:c>
      <x:c r="AV143" s="26" t="n">
        <x:v>0.368</x:v>
      </x:c>
      <x:c r="AW143" s="26" t="n">
        <x:v>0.9155</x:v>
      </x:c>
      <x:c r="AX143" s="26" t="n">
        <x:v>1</x:v>
      </x:c>
    </x:row>
    <x:row r="144">
      <x:c r="A144" s="26" t="str">
        <x:v>K5</x:v>
      </x:c>
      <x:c r="B144" s="26" t="str">
        <x:v>Horizontal / flat</x:v>
      </x:c>
      <x:c r="C144" s="26" t="str">
        <x:v>Intermediate</x:v>
      </x:c>
      <x:c r="D144" s="26" t="str">
        <x:v>Pasted text(20260812-103624).txt</x:v>
      </x:c>
      <x:c r="E144" s="26" t="str">
        <x:v>GAIN_SWEEP</x:v>
      </x:c>
      <x:c r="F144" s="26" t="n">
        <x:v>7</x:v>
      </x:c>
      <x:c r="G144" s="26" t="n">
        <x:v>3</x:v>
      </x:c>
      <x:c r="H144" s="26" t="n">
        <x:v>268</x:v>
      </x:c>
      <x:c r="I144" s="26" t="n">
        <x:v>4</x:v>
      </x:c>
      <x:c r="J144" s="26" t="n">
        <x:v>184.21697</x:v>
      </x:c>
      <x:c r="K144" s="26" t="n">
        <x:v>0.03349</x:v>
      </x:c>
      <x:c r="L144" s="26" t="n">
        <x:v>12.14</x:v>
      </x:c>
      <x:c r="M144" s="26" t="n">
        <x:v>56.07505</x:v>
      </x:c>
      <x:c r="N144" s="26" t="n">
        <x:v>0.1969</x:v>
      </x:c>
      <x:c r="O144" s="26" t="n">
        <x:v>22.48</x:v>
      </x:c>
      <x:c r="P144" s="26" t="n">
        <x:v>268.14901</x:v>
      </x:c>
      <x:c r="Q144" s="26" t="n">
        <x:v>0.17388</x:v>
      </x:c>
      <x:c r="R144" s="26" t="n">
        <x:v>21.56</x:v>
      </x:c>
      <x:c r="S144" s="26" t="n">
        <x:v>268.34487</x:v>
      </x:c>
      <x:c r="T144" s="26" t="n">
        <x:v>0.01872</x:v>
      </x:c>
      <x:c r="U144" s="26" t="n">
        <x:v>267.94881</x:v>
      </x:c>
      <x:c r="V144" s="26" t="n">
        <x:v>0.07676</x:v>
      </x:c>
      <x:c r="W144" s="26" t="n">
        <x:v>268.14901</x:v>
      </x:c>
      <x:c r="X144" s="26" t="n">
        <x:v>0.17388</x:v>
      </x:c>
      <x:c r="Y144" s="26" t="n">
        <x:v>268.1215</x:v>
      </x:c>
      <x:c r="Z144" s="26" t="n">
        <x:v>0.1215</x:v>
      </x:c>
      <x:c r="AA144" s="26" t="n">
        <x:v>0.01872</x:v>
      </x:c>
      <x:c r="AB144" s="26" t="n">
        <x:v>0.07603</x:v>
      </x:c>
      <x:c r="AC144" s="26" t="n">
        <x:v>0.17388</x:v>
      </x:c>
      <x:c r="AD144" s="26" t="n">
        <x:v>0.1907</x:v>
      </x:c>
      <x:c r="AE144" s="26" t="n">
        <x:v>18.41</x:v>
      </x:c>
      <x:c r="AF144" s="26" t="str">
        <x:v>Z</x:v>
      </x:c>
      <x:c r="AG144" s="26" t="n">
        <x:v>0.03288</x:v>
      </x:c>
      <x:c r="AH144" s="26" t="n">
        <x:v>-131.34</x:v>
      </x:c>
      <x:c r="AI144" s="26" t="n">
        <x:v>0.159</x:v>
      </x:c>
      <x:c r="AJ144" s="26" t="n">
        <x:v>25.87</x:v>
      </x:c>
      <x:c r="AK144" s="26" t="n">
        <x:v>0.07117</x:v>
      </x:c>
      <x:c r="AL144" s="26" t="n">
        <x:v>-92.91</x:v>
      </x:c>
      <x:c r="AM144" s="26" t="n">
        <x:v>0.154</x:v>
      </x:c>
      <x:c r="AN144" s="26" t="n">
        <x:v>30.63</x:v>
      </x:c>
      <x:c r="AO144" s="26" t="n">
        <x:v>0.22421</x:v>
      </x:c>
      <x:c r="AP144" s="26" t="n">
        <x:v>47.76</x:v>
      </x:c>
      <x:c r="AQ144" s="26" t="n">
        <x:v>0.583</x:v>
      </x:c>
      <x:c r="AR144" s="26" t="n">
        <x:v>9.51</x:v>
      </x:c>
      <x:c r="AS144" s="26" t="n">
        <x:v>0.23808</x:v>
      </x:c>
      <x:c r="AT144" s="26" t="n">
        <x:v>10.86</x:v>
      </x:c>
      <x:c r="AU144" s="26" t="n">
        <x:v>0.1381</x:v>
      </x:c>
      <x:c r="AV144" s="26" t="n">
        <x:v>0.2989</x:v>
      </x:c>
      <x:c r="AW144" s="26" t="n">
        <x:v>0.9417</x:v>
      </x:c>
      <x:c r="AX144" s="26" t="n">
        <x:v>1</x:v>
      </x:c>
    </x:row>
    <x:row r="145">
      <x:c r="A145" s="26" t="str">
        <x:v>K5</x:v>
      </x:c>
      <x:c r="B145" s="26" t="str">
        <x:v>Horizontal / flat</x:v>
      </x:c>
      <x:c r="C145" s="26" t="str">
        <x:v>Intermediate</x:v>
      </x:c>
      <x:c r="D145" s="26" t="str">
        <x:v>Pasted text(20260812-103624).txt</x:v>
      </x:c>
      <x:c r="E145" s="26" t="str">
        <x:v>GAIN_SWEEP</x:v>
      </x:c>
      <x:c r="F145" s="26" t="n">
        <x:v>8</x:v>
      </x:c>
      <x:c r="G145" s="26" t="n">
        <x:v>1</x:v>
      </x:c>
      <x:c r="H145" s="26" t="n">
        <x:v>268</x:v>
      </x:c>
      <x:c r="I145" s="26" t="n">
        <x:v>4.5</x:v>
      </x:c>
      <x:c r="J145" s="26" t="n">
        <x:v>211.41207</x:v>
      </x:c>
      <x:c r="K145" s="26" t="n">
        <x:v>0.03837</x:v>
      </x:c>
      <x:c r="L145" s="26" t="n">
        <x:v>12.9</x:v>
      </x:c>
      <x:c r="M145" s="26" t="n">
        <x:v>56.42445</x:v>
      </x:c>
      <x:c r="N145" s="26" t="n">
        <x:v>0.20076</x:v>
      </x:c>
      <x:c r="O145" s="26" t="n">
        <x:v>22.41</x:v>
      </x:c>
      <x:c r="P145" s="26" t="n">
        <x:v>268.03033</x:v>
      </x:c>
      <x:c r="Q145" s="26" t="n">
        <x:v>0.18573</x:v>
      </x:c>
      <x:c r="R145" s="26" t="n">
        <x:v>21.87</x:v>
      </x:c>
      <x:c r="S145" s="26" t="n">
        <x:v>268.12889</x:v>
      </x:c>
      <x:c r="T145" s="26" t="n">
        <x:v>0.02412</x:v>
      </x:c>
      <x:c r="U145" s="26" t="n">
        <x:v>268.06119</x:v>
      </x:c>
      <x:c r="V145" s="26" t="n">
        <x:v>0.0707</x:v>
      </x:c>
      <x:c r="W145" s="26" t="n">
        <x:v>268.03033</x:v>
      </x:c>
      <x:c r="X145" s="26" t="n">
        <x:v>0.18573</x:v>
      </x:c>
      <x:c r="Y145" s="26" t="n">
        <x:v>268.03546</x:v>
      </x:c>
      <x:c r="Z145" s="26" t="n">
        <x:v>0.03546</x:v>
      </x:c>
      <x:c r="AA145" s="26" t="n">
        <x:v>0.02412</x:v>
      </x:c>
      <x:c r="AB145" s="26" t="n">
        <x:v>0.0707</x:v>
      </x:c>
      <x:c r="AC145" s="26" t="n">
        <x:v>0.18573</x:v>
      </x:c>
      <x:c r="AD145" s="26" t="n">
        <x:v>0.20019</x:v>
      </x:c>
      <x:c r="AE145" s="26" t="n">
        <x:v>20.86</x:v>
      </x:c>
      <x:c r="AF145" s="26" t="str">
        <x:v>Z</x:v>
      </x:c>
      <x:c r="AG145" s="26" t="n">
        <x:v>0.02302</x:v>
      </x:c>
      <x:c r="AH145" s="26" t="n">
        <x:v>-135.41</x:v>
      </x:c>
      <x:c r="AI145" s="26" t="n">
        <x:v>0.112</x:v>
      </x:c>
      <x:c r="AJ145" s="26" t="n">
        <x:v>45.71</x:v>
      </x:c>
      <x:c r="AK145" s="26" t="n">
        <x:v>0.08673</x:v>
      </x:c>
      <x:c r="AL145" s="26" t="n">
        <x:v>-84.06</x:v>
      </x:c>
      <x:c r="AM145" s="26" t="n">
        <x:v>0.189</x:v>
      </x:c>
      <x:c r="AN145" s="26" t="n">
        <x:v>21.64</x:v>
      </x:c>
      <x:c r="AO145" s="26" t="n">
        <x:v>0.22686</x:v>
      </x:c>
      <x:c r="AP145" s="26" t="n">
        <x:v>47.92</x:v>
      </x:c>
      <x:c r="AQ145" s="26" t="n">
        <x:v>0.569</x:v>
      </x:c>
      <x:c r="AR145" s="26" t="n">
        <x:v>11.55</x:v>
      </x:c>
      <x:c r="AS145" s="26" t="n">
        <x:v>0.24437</x:v>
      </x:c>
      <x:c r="AT145" s="26" t="n">
        <x:v>12.3</x:v>
      </x:c>
      <x:c r="AU145" s="26" t="n">
        <x:v>0.0942</x:v>
      </x:c>
      <x:c r="AV145" s="26" t="n">
        <x:v>0.3549</x:v>
      </x:c>
      <x:c r="AW145" s="26" t="n">
        <x:v>0.9284</x:v>
      </x:c>
      <x:c r="AX145" s="26" t="n">
        <x:v>1</x:v>
      </x:c>
    </x:row>
    <x:row r="146">
      <x:c r="A146" s="26" t="str">
        <x:v>K5</x:v>
      </x:c>
      <x:c r="B146" s="26" t="str">
        <x:v>Horizontal / flat</x:v>
      </x:c>
      <x:c r="C146" s="26" t="str">
        <x:v>Intermediate</x:v>
      </x:c>
      <x:c r="D146" s="26" t="str">
        <x:v>Pasted text(20260812-103624).txt</x:v>
      </x:c>
      <x:c r="E146" s="26" t="str">
        <x:v>GAIN_SWEEP</x:v>
      </x:c>
      <x:c r="F146" s="26" t="n">
        <x:v>8</x:v>
      </x:c>
      <x:c r="G146" s="26" t="n">
        <x:v>2</x:v>
      </x:c>
      <x:c r="H146" s="26" t="n">
        <x:v>268</x:v>
      </x:c>
      <x:c r="I146" s="26" t="n">
        <x:v>4.5</x:v>
      </x:c>
      <x:c r="J146" s="26" t="n">
        <x:v>211.60137</x:v>
      </x:c>
      <x:c r="K146" s="26" t="n">
        <x:v>0.03758</x:v>
      </x:c>
      <x:c r="L146" s="26" t="n">
        <x:v>12.74</x:v>
      </x:c>
      <x:c r="M146" s="26" t="n">
        <x:v>56.34109</x:v>
      </x:c>
      <x:c r="N146" s="26" t="n">
        <x:v>0.20117</x:v>
      </x:c>
      <x:c r="O146" s="26" t="n">
        <x:v>22.08</x:v>
      </x:c>
      <x:c r="P146" s="26" t="n">
        <x:v>267.97919</x:v>
      </x:c>
      <x:c r="Q146" s="26" t="n">
        <x:v>0.19518</x:v>
      </x:c>
      <x:c r="R146" s="26" t="n">
        <x:v>22.55</x:v>
      </x:c>
      <x:c r="S146" s="26" t="n">
        <x:v>268.10326</x:v>
      </x:c>
      <x:c r="T146" s="26" t="n">
        <x:v>0.02303</x:v>
      </x:c>
      <x:c r="U146" s="26" t="n">
        <x:v>267.8421</x:v>
      </x:c>
      <x:c r="V146" s="26" t="n">
        <x:v>0.08182</x:v>
      </x:c>
      <x:c r="W146" s="26" t="n">
        <x:v>267.97919</x:v>
      </x:c>
      <x:c r="X146" s="26" t="n">
        <x:v>0.19518</x:v>
      </x:c>
      <x:c r="Y146" s="26" t="n">
        <x:v>267.96259</x:v>
      </x:c>
      <x:c r="Z146" s="26" t="n">
        <x:v>-0.03741</x:v>
      </x:c>
      <x:c r="AA146" s="26" t="n">
        <x:v>0.02124</x:v>
      </x:c>
      <x:c r="AB146" s="26" t="n">
        <x:v>0.08182</x:v>
      </x:c>
      <x:c r="AC146" s="26" t="n">
        <x:v>0.19402</x:v>
      </x:c>
      <x:c r="AD146" s="26" t="n">
        <x:v>0.21164</x:v>
      </x:c>
      <x:c r="AE146" s="26" t="n">
        <x:v>19.02</x:v>
      </x:c>
      <x:c r="AF146" s="26" t="str">
        <x:v>Z</x:v>
      </x:c>
      <x:c r="AG146" s="26" t="n">
        <x:v>0.0276</x:v>
      </x:c>
      <x:c r="AH146" s="26" t="n">
        <x:v>-143.69</x:v>
      </x:c>
      <x:c r="AI146" s="26" t="n">
        <x:v>0.136</x:v>
      </x:c>
      <x:c r="AJ146" s="26" t="n">
        <x:v>37.79</x:v>
      </x:c>
      <x:c r="AK146" s="26" t="n">
        <x:v>0.07666</x:v>
      </x:c>
      <x:c r="AL146" s="26" t="n">
        <x:v>-88.1</x:v>
      </x:c>
      <x:c r="AM146" s="26" t="n">
        <x:v>0.166</x:v>
      </x:c>
      <x:c r="AN146" s="26" t="n">
        <x:v>16.12</x:v>
      </x:c>
      <x:c r="AO146" s="26" t="n">
        <x:v>0.22077</x:v>
      </x:c>
      <x:c r="AP146" s="26" t="n">
        <x:v>46.83</x:v>
      </x:c>
      <x:c r="AQ146" s="26" t="n">
        <x:v>0.574</x:v>
      </x:c>
      <x:c r="AR146" s="26" t="n">
        <x:v>6.78</x:v>
      </x:c>
      <x:c r="AS146" s="26" t="n">
        <x:v>0.23581</x:v>
      </x:c>
      <x:c r="AT146" s="26" t="n">
        <x:v>5.95</x:v>
      </x:c>
      <x:c r="AU146" s="26" t="n">
        <x:v>0.1171</x:v>
      </x:c>
      <x:c r="AV146" s="26" t="n">
        <x:v>0.3251</x:v>
      </x:c>
      <x:c r="AW146" s="26" t="n">
        <x:v>0.9362</x:v>
      </x:c>
      <x:c r="AX146" s="26" t="n">
        <x:v>1</x:v>
      </x:c>
    </x:row>
    <x:row r="147">
      <x:c r="A147" s="26" t="str">
        <x:v>K5</x:v>
      </x:c>
      <x:c r="B147" s="26" t="str">
        <x:v>Horizontal / flat</x:v>
      </x:c>
      <x:c r="C147" s="26" t="str">
        <x:v>Intermediate</x:v>
      </x:c>
      <x:c r="D147" s="26" t="str">
        <x:v>Pasted text(20260812-103624).txt</x:v>
      </x:c>
      <x:c r="E147" s="26" t="str">
        <x:v>GAIN_SWEEP</x:v>
      </x:c>
      <x:c r="F147" s="26" t="n">
        <x:v>8</x:v>
      </x:c>
      <x:c r="G147" s="26" t="n">
        <x:v>3</x:v>
      </x:c>
      <x:c r="H147" s="26" t="n">
        <x:v>268</x:v>
      </x:c>
      <x:c r="I147" s="26" t="n">
        <x:v>4.5</x:v>
      </x:c>
      <x:c r="J147" s="26" t="n">
        <x:v>56.30327</x:v>
      </x:c>
      <x:c r="K147" s="26" t="n">
        <x:v>0.04269</x:v>
      </x:c>
      <x:c r="L147" s="26" t="n">
        <x:v>13.6</x:v>
      </x:c>
      <x:c r="M147" s="26" t="n">
        <x:v>56.38999</x:v>
      </x:c>
      <x:c r="N147" s="26" t="n">
        <x:v>0.19011</x:v>
      </x:c>
      <x:c r="O147" s="26" t="n">
        <x:v>21.69</x:v>
      </x:c>
      <x:c r="P147" s="26" t="n">
        <x:v>268.04247</x:v>
      </x:c>
      <x:c r="Q147" s="26" t="n">
        <x:v>0.18475</x:v>
      </x:c>
      <x:c r="R147" s="26" t="n">
        <x:v>21.95</x:v>
      </x:c>
      <x:c r="S147" s="26" t="n">
        <x:v>267.99555</x:v>
      </x:c>
      <x:c r="T147" s="26" t="n">
        <x:v>0.02579</x:v>
      </x:c>
      <x:c r="U147" s="26" t="n">
        <x:v>268.02387</x:v>
      </x:c>
      <x:c r="V147" s="26" t="n">
        <x:v>0.0737</x:v>
      </x:c>
      <x:c r="W147" s="26" t="n">
        <x:v>268.04247</x:v>
      </x:c>
      <x:c r="X147" s="26" t="n">
        <x:v>0.18475</x:v>
      </x:c>
      <x:c r="Y147" s="26" t="n">
        <x:v>268.03943</x:v>
      </x:c>
      <x:c r="Z147" s="26" t="n">
        <x:v>0.03943</x:v>
      </x:c>
      <x:c r="AA147" s="26" t="n">
        <x:v>0.02579</x:v>
      </x:c>
      <x:c r="AB147" s="26" t="n">
        <x:v>0.0737</x:v>
      </x:c>
      <x:c r="AC147" s="26" t="n">
        <x:v>0.18475</x:v>
      </x:c>
      <x:c r="AD147" s="26" t="n">
        <x:v>0.20057</x:v>
      </x:c>
      <x:c r="AE147" s="26" t="n">
        <x:v>17.15</x:v>
      </x:c>
      <x:c r="AF147" s="26" t="str">
        <x:v>Z</x:v>
      </x:c>
      <x:c r="AG147" s="26" t="n">
        <x:v>0.02618</x:v>
      </x:c>
      <x:c r="AH147" s="26" t="n">
        <x:v>-124.09</x:v>
      </x:c>
      <x:c r="AI147" s="26" t="n">
        <x:v>0.128</x:v>
      </x:c>
      <x:c r="AJ147" s="26" t="n">
        <x:v>32.84</x:v>
      </x:c>
      <x:c r="AK147" s="26" t="n">
        <x:v>0.10384</x:v>
      </x:c>
      <x:c r="AL147" s="26" t="n">
        <x:v>-90.92</x:v>
      </x:c>
      <x:c r="AM147" s="26" t="n">
        <x:v>0.22</x:v>
      </x:c>
      <x:c r="AN147" s="26" t="n">
        <x:v>20.63</x:v>
      </x:c>
      <x:c r="AO147" s="26" t="n">
        <x:v>0.24822</x:v>
      </x:c>
      <x:c r="AP147" s="26" t="n">
        <x:v>48.99</x:v>
      </x:c>
      <x:c r="AQ147" s="26" t="n">
        <x:v>0.609</x:v>
      </x:c>
      <x:c r="AR147" s="26" t="n">
        <x:v>4.04</x:v>
      </x:c>
      <x:c r="AS147" s="26" t="n">
        <x:v>0.27093</x:v>
      </x:c>
      <x:c r="AT147" s="26" t="n">
        <x:v>5.62</x:v>
      </x:c>
      <x:c r="AU147" s="26" t="n">
        <x:v>0.0966</x:v>
      </x:c>
      <x:c r="AV147" s="26" t="n">
        <x:v>0.3833</x:v>
      </x:c>
      <x:c r="AW147" s="26" t="n">
        <x:v>0.9162</x:v>
      </x:c>
      <x:c r="AX147" s="26" t="n">
        <x:v>1</x:v>
      </x:c>
    </x:row>
    <x:row r="148">
      <x:c r="A148" s="26" t="str">
        <x:v>K5</x:v>
      </x:c>
      <x:c r="B148" s="26" t="str">
        <x:v>Horizontal / flat</x:v>
      </x:c>
      <x:c r="C148" s="26" t="str">
        <x:v>Intermediate</x:v>
      </x:c>
      <x:c r="D148" s="26" t="str">
        <x:v>Pasted text(20260812-103624).txt</x:v>
      </x:c>
      <x:c r="E148" s="26" t="str">
        <x:v>GAIN_SWEEP</x:v>
      </x:c>
      <x:c r="F148" s="26" t="n">
        <x:v>9</x:v>
      </x:c>
      <x:c r="G148" s="26" t="n">
        <x:v>1</x:v>
      </x:c>
      <x:c r="H148" s="26" t="n">
        <x:v>268</x:v>
      </x:c>
      <x:c r="I148" s="26" t="n">
        <x:v>5</x:v>
      </x:c>
      <x:c r="J148" s="26" t="n">
        <x:v>296.11746</x:v>
      </x:c>
      <x:c r="K148" s="26" t="n">
        <x:v>0.04455</x:v>
      </x:c>
      <x:c r="L148" s="26" t="n">
        <x:v>14.21</x:v>
      </x:c>
      <x:c r="M148" s="26" t="n">
        <x:v>56.13582</x:v>
      </x:c>
      <x:c r="N148" s="26" t="n">
        <x:v>0.19692</x:v>
      </x:c>
      <x:c r="O148" s="26" t="n">
        <x:v>22.33</x:v>
      </x:c>
      <x:c r="P148" s="26" t="n">
        <x:v>268.01617</x:v>
      </x:c>
      <x:c r="Q148" s="26" t="n">
        <x:v>0.22866</x:v>
      </x:c>
      <x:c r="R148" s="26" t="n">
        <x:v>23.67</x:v>
      </x:c>
      <x:c r="S148" s="26" t="n">
        <x:v>267.99737</x:v>
      </x:c>
      <x:c r="T148" s="26" t="n">
        <x:v>0.02744</x:v>
      </x:c>
      <x:c r="U148" s="26" t="n">
        <x:v>268.09699</x:v>
      </x:c>
      <x:c r="V148" s="26" t="n">
        <x:v>0.09331</x:v>
      </x:c>
      <x:c r="W148" s="26" t="n">
        <x:v>268.01617</x:v>
      </x:c>
      <x:c r="X148" s="26" t="n">
        <x:v>0.22866</x:v>
      </x:c>
      <x:c r="Y148" s="26" t="n">
        <x:v>268.02772</x:v>
      </x:c>
      <x:c r="Z148" s="26" t="n">
        <x:v>0.02772</x:v>
      </x:c>
      <x:c r="AA148" s="26" t="n">
        <x:v>0.02744</x:v>
      </x:c>
      <x:c r="AB148" s="26" t="n">
        <x:v>0.09331</x:v>
      </x:c>
      <x:c r="AC148" s="26" t="n">
        <x:v>0.22866</x:v>
      </x:c>
      <x:c r="AD148" s="26" t="n">
        <x:v>0.24849</x:v>
      </x:c>
      <x:c r="AE148" s="26" t="n">
        <x:v>22.71</x:v>
      </x:c>
      <x:c r="AF148" s="26" t="str">
        <x:v>Z</x:v>
      </x:c>
      <x:c r="AG148" s="26" t="n">
        <x:v>0.04831</x:v>
      </x:c>
      <x:c r="AH148" s="26" t="n">
        <x:v>-123.1</x:v>
      </x:c>
      <x:c r="AI148" s="26" t="n">
        <x:v>0.222</x:v>
      </x:c>
      <x:c r="AJ148" s="26" t="n">
        <x:v>10.19</x:v>
      </x:c>
      <x:c r="AK148" s="26" t="n">
        <x:v>0.11318</x:v>
      </x:c>
      <x:c r="AL148" s="26" t="n">
        <x:v>-98.48</x:v>
      </x:c>
      <x:c r="AM148" s="26" t="n">
        <x:v>0.254</x:v>
      </x:c>
      <x:c r="AN148" s="26" t="n">
        <x:v>15.54</x:v>
      </x:c>
      <x:c r="AO148" s="26" t="n">
        <x:v>0.27997</x:v>
      </x:c>
      <x:c r="AP148" s="26" t="n">
        <x:v>45.64</x:v>
      </x:c>
      <x:c r="AQ148" s="26" t="n">
        <x:v>0.653</x:v>
      </x:c>
      <x:c r="AR148" s="26" t="n">
        <x:v>3.76</x:v>
      </x:c>
      <x:c r="AS148" s="26" t="n">
        <x:v>0.30612</x:v>
      </x:c>
      <x:c r="AT148" s="26" t="n">
        <x:v>4.84</x:v>
      </x:c>
      <x:c r="AU148" s="26" t="n">
        <x:v>0.1578</x:v>
      </x:c>
      <x:c r="AV148" s="26" t="n">
        <x:v>0.3697</x:v>
      </x:c>
      <x:c r="AW148" s="26" t="n">
        <x:v>0.9146</x:v>
      </x:c>
      <x:c r="AX148" s="26" t="n">
        <x:v>1</x:v>
      </x:c>
    </x:row>
    <x:row r="149">
      <x:c r="A149" s="26" t="str">
        <x:v>K5</x:v>
      </x:c>
      <x:c r="B149" s="26" t="str">
        <x:v>Horizontal / flat</x:v>
      </x:c>
      <x:c r="C149" s="26" t="str">
        <x:v>Intermediate</x:v>
      </x:c>
      <x:c r="D149" s="26" t="str">
        <x:v>Pasted text(20260812-103624).txt</x:v>
      </x:c>
      <x:c r="E149" s="26" t="str">
        <x:v>GAIN_SWEEP</x:v>
      </x:c>
      <x:c r="F149" s="26" t="n">
        <x:v>9</x:v>
      </x:c>
      <x:c r="G149" s="26" t="n">
        <x:v>2</x:v>
      </x:c>
      <x:c r="H149" s="26" t="n">
        <x:v>268</x:v>
      </x:c>
      <x:c r="I149" s="26" t="n">
        <x:v>5</x:v>
      </x:c>
      <x:c r="J149" s="26" t="n">
        <x:v>295.81007</x:v>
      </x:c>
      <x:c r="K149" s="26" t="n">
        <x:v>0.05023</x:v>
      </x:c>
      <x:c r="L149" s="26" t="n">
        <x:v>14.69</x:v>
      </x:c>
      <x:c r="M149" s="26" t="n">
        <x:v>56.20238</x:v>
      </x:c>
      <x:c r="N149" s="26" t="n">
        <x:v>0.19849</x:v>
      </x:c>
      <x:c r="O149" s="26" t="n">
        <x:v>22.58</x:v>
      </x:c>
      <x:c r="P149" s="26" t="n">
        <x:v>267.97915</x:v>
      </x:c>
      <x:c r="Q149" s="26" t="n">
        <x:v>0.22931</x:v>
      </x:c>
      <x:c r="R149" s="26" t="n">
        <x:v>23.77</x:v>
      </x:c>
      <x:c r="S149" s="26" t="n">
        <x:v>267.86306</x:v>
      </x:c>
      <x:c r="T149" s="26" t="n">
        <x:v>0.03842</x:v>
      </x:c>
      <x:c r="U149" s="26" t="n">
        <x:v>267.90663</x:v>
      </x:c>
      <x:c r="V149" s="26" t="n">
        <x:v>0.08056</x:v>
      </x:c>
      <x:c r="W149" s="26" t="n">
        <x:v>267.97915</x:v>
      </x:c>
      <x:c r="X149" s="26" t="n">
        <x:v>0.22931</x:v>
      </x:c>
      <x:c r="Y149" s="26" t="n">
        <x:v>267.96905</x:v>
      </x:c>
      <x:c r="Z149" s="26" t="n">
        <x:v>-0.03095</x:v>
      </x:c>
      <x:c r="AA149" s="26" t="n">
        <x:v>0.03682</x:v>
      </x:c>
      <x:c r="AB149" s="26" t="n">
        <x:v>0.07763</x:v>
      </x:c>
      <x:c r="AC149" s="26" t="n">
        <x:v>0.22931</x:v>
      </x:c>
      <x:c r="AD149" s="26" t="n">
        <x:v>0.24487</x:v>
      </x:c>
      <x:c r="AE149" s="26" t="n">
        <x:v>20.24</x:v>
      </x:c>
      <x:c r="AF149" s="26" t="str">
        <x:v>Z</x:v>
      </x:c>
      <x:c r="AG149" s="26" t="n">
        <x:v>0.03223</x:v>
      </x:c>
      <x:c r="AH149" s="26" t="n">
        <x:v>-132.94</x:v>
      </x:c>
      <x:c r="AI149" s="26" t="n">
        <x:v>0.16</x:v>
      </x:c>
      <x:c r="AJ149" s="26" t="n">
        <x:v>22.95</x:v>
      </x:c>
      <x:c r="AK149" s="26" t="n">
        <x:v>0.10509</x:v>
      </x:c>
      <x:c r="AL149" s="26" t="n">
        <x:v>-82.36</x:v>
      </x:c>
      <x:c r="AM149" s="26" t="n">
        <x:v>0.237</x:v>
      </x:c>
      <x:c r="AN149" s="26" t="n">
        <x:v>15.77</x:v>
      </x:c>
      <x:c r="AO149" s="26" t="n">
        <x:v>0.28403</x:v>
      </x:c>
      <x:c r="AP149" s="26" t="n">
        <x:v>49.66</x:v>
      </x:c>
      <x:c r="AQ149" s="26" t="n">
        <x:v>0.648</x:v>
      </x:c>
      <x:c r="AR149" s="26" t="n">
        <x:v>8.73</x:v>
      </x:c>
      <x:c r="AS149" s="26" t="n">
        <x:v>0.30489</x:v>
      </x:c>
      <x:c r="AT149" s="26" t="n">
        <x:v>8.6</x:v>
      </x:c>
      <x:c r="AU149" s="26" t="n">
        <x:v>0.1057</x:v>
      </x:c>
      <x:c r="AV149" s="26" t="n">
        <x:v>0.3447</x:v>
      </x:c>
      <x:c r="AW149" s="26" t="n">
        <x:v>0.9316</x:v>
      </x:c>
      <x:c r="AX149" s="26" t="n">
        <x:v>1</x:v>
      </x:c>
    </x:row>
    <x:row r="150">
      <x:c r="A150" s="26" t="str">
        <x:v>K5</x:v>
      </x:c>
      <x:c r="B150" s="26" t="str">
        <x:v>Horizontal / flat</x:v>
      </x:c>
      <x:c r="C150" s="26" t="str">
        <x:v>Intermediate</x:v>
      </x:c>
      <x:c r="D150" s="26" t="str">
        <x:v>Pasted text(20260812-103624).txt</x:v>
      </x:c>
      <x:c r="E150" s="26" t="str">
        <x:v>GAIN_SWEEP</x:v>
      </x:c>
      <x:c r="F150" s="26" t="n">
        <x:v>9</x:v>
      </x:c>
      <x:c r="G150" s="26" t="n">
        <x:v>3</x:v>
      </x:c>
      <x:c r="H150" s="26" t="n">
        <x:v>268</x:v>
      </x:c>
      <x:c r="I150" s="26" t="n">
        <x:v>5</x:v>
      </x:c>
      <x:c r="J150" s="26" t="n">
        <x:v>296.05592</x:v>
      </x:c>
      <x:c r="K150" s="26" t="n">
        <x:v>0.04631</x:v>
      </x:c>
      <x:c r="L150" s="26" t="n">
        <x:v>14.25</x:v>
      </x:c>
      <x:c r="M150" s="26" t="n">
        <x:v>56.37822</x:v>
      </x:c>
      <x:c r="N150" s="26" t="n">
        <x:v>0.19859</x:v>
      </x:c>
      <x:c r="O150" s="26" t="n">
        <x:v>22.41</x:v>
      </x:c>
      <x:c r="P150" s="26" t="n">
        <x:v>268.03401</x:v>
      </x:c>
      <x:c r="Q150" s="26" t="n">
        <x:v>0.24441</x:v>
      </x:c>
      <x:c r="R150" s="26" t="n">
        <x:v>24.61</x:v>
      </x:c>
      <x:c r="S150" s="26" t="n">
        <x:v>267.89721</x:v>
      </x:c>
      <x:c r="T150" s="26" t="n">
        <x:v>0.03444</x:v>
      </x:c>
      <x:c r="U150" s="26" t="n">
        <x:v>268.11705</x:v>
      </x:c>
      <x:c r="V150" s="26" t="n">
        <x:v>0.08635</x:v>
      </x:c>
      <x:c r="W150" s="26" t="n">
        <x:v>268.03401</x:v>
      </x:c>
      <x:c r="X150" s="26" t="n">
        <x:v>0.24441</x:v>
      </x:c>
      <x:c r="Y150" s="26" t="n">
        <x:v>268.04073</x:v>
      </x:c>
      <x:c r="Z150" s="26" t="n">
        <x:v>0.04073</x:v>
      </x:c>
      <x:c r="AA150" s="26" t="n">
        <x:v>0.03309</x:v>
      </x:c>
      <x:c r="AB150" s="26" t="n">
        <x:v>0.08635</x:v>
      </x:c>
      <x:c r="AC150" s="26" t="n">
        <x:v>0.24441</x:v>
      </x:c>
      <x:c r="AD150" s="26" t="n">
        <x:v>0.26132</x:v>
      </x:c>
      <x:c r="AE150" s="26" t="n">
        <x:v>20.62</x:v>
      </x:c>
      <x:c r="AF150" s="26" t="str">
        <x:v>Z</x:v>
      </x:c>
      <x:c r="AG150" s="26" t="n">
        <x:v>0.0343</x:v>
      </x:c>
      <x:c r="AH150" s="26" t="n">
        <x:v>-134.13</x:v>
      </x:c>
      <x:c r="AI150" s="26" t="n">
        <x:v>0.165</x:v>
      </x:c>
      <x:c r="AJ150" s="26" t="n">
        <x:v>24.86</x:v>
      </x:c>
      <x:c r="AK150" s="26" t="n">
        <x:v>0.10285</x:v>
      </x:c>
      <x:c r="AL150" s="26" t="n">
        <x:v>-96.36</x:v>
      </x:c>
      <x:c r="AM150" s="26" t="n">
        <x:v>0.235</x:v>
      </x:c>
      <x:c r="AN150" s="26" t="n">
        <x:v>12.01</x:v>
      </x:c>
      <x:c r="AO150" s="26" t="n">
        <x:v>0.29426</x:v>
      </x:c>
      <x:c r="AP150" s="26" t="n">
        <x:v>47.9</x:v>
      </x:c>
      <x:c r="AQ150" s="26" t="n">
        <x:v>0.679</x:v>
      </x:c>
      <x:c r="AR150" s="26" t="n">
        <x:v>7.51</x:v>
      </x:c>
      <x:c r="AS150" s="26" t="n">
        <x:v>0.31398</x:v>
      </x:c>
      <x:c r="AT150" s="26" t="n">
        <x:v>6.46</x:v>
      </x:c>
      <x:c r="AU150" s="26" t="n">
        <x:v>0.1092</x:v>
      </x:c>
      <x:c r="AV150" s="26" t="n">
        <x:v>0.3276</x:v>
      </x:c>
      <x:c r="AW150" s="26" t="n">
        <x:v>0.9372</x:v>
      </x:c>
      <x:c r="AX150" s="26" t="n">
        <x:v>1</x:v>
      </x:c>
    </x:row>
    <x:row r="151">
      <x:c r="A151" s="26" t="str">
        <x:v>K5</x:v>
      </x:c>
      <x:c r="B151" s="26" t="str">
        <x:v>Horizontal / flat</x:v>
      </x:c>
      <x:c r="C151" s="26" t="str">
        <x:v>Intermediate</x:v>
      </x:c>
      <x:c r="D151" s="26" t="str">
        <x:v>Pasted text(20260812-103624).txt</x:v>
      </x:c>
      <x:c r="E151" s="26" t="str">
        <x:v>GAIN_SWEEP</x:v>
      </x:c>
      <x:c r="F151" s="26" t="n">
        <x:v>10</x:v>
      </x:c>
      <x:c r="G151" s="26" t="n">
        <x:v>1</x:v>
      </x:c>
      <x:c r="H151" s="26" t="n">
        <x:v>268</x:v>
      </x:c>
      <x:c r="I151" s="26" t="n">
        <x:v>5.5</x:v>
      </x:c>
      <x:c r="J151" s="26" t="n">
        <x:v>140.48506</x:v>
      </x:c>
      <x:c r="K151" s="26" t="n">
        <x:v>0.0428</x:v>
      </x:c>
      <x:c r="L151" s="26" t="n">
        <x:v>13.39</x:v>
      </x:c>
      <x:c r="M151" s="26" t="n">
        <x:v>140.37852</x:v>
      </x:c>
      <x:c r="N151" s="26" t="n">
        <x:v>0.20663</x:v>
      </x:c>
      <x:c r="O151" s="26" t="n">
        <x:v>22.35</x:v>
      </x:c>
      <x:c r="P151" s="26" t="n">
        <x:v>267.96654</x:v>
      </x:c>
      <x:c r="Q151" s="26" t="n">
        <x:v>0.25237</x:v>
      </x:c>
      <x:c r="R151" s="26" t="n">
        <x:v>25.14</x:v>
      </x:c>
      <x:c r="S151" s="26" t="n">
        <x:v>268.11598</x:v>
      </x:c>
      <x:c r="T151" s="26" t="n">
        <x:v>0.03576</x:v>
      </x:c>
      <x:c r="U151" s="26" t="n">
        <x:v>267.95846</x:v>
      </x:c>
      <x:c r="V151" s="26" t="n">
        <x:v>0.10482</x:v>
      </x:c>
      <x:c r="W151" s="26" t="n">
        <x:v>267.96654</x:v>
      </x:c>
      <x:c r="X151" s="26" t="n">
        <x:v>0.25237</x:v>
      </x:c>
      <x:c r="Y151" s="26" t="n">
        <x:v>267.96756</x:v>
      </x:c>
      <x:c r="Z151" s="26" t="n">
        <x:v>-0.03244</x:v>
      </x:c>
      <x:c r="AA151" s="26" t="n">
        <x:v>0.03325</x:v>
      </x:c>
      <x:c r="AB151" s="26" t="n">
        <x:v>0.10482</x:v>
      </x:c>
      <x:c r="AC151" s="26" t="n">
        <x:v>0.25237</x:v>
      </x:c>
      <x:c r="AD151" s="26" t="n">
        <x:v>0.27528</x:v>
      </x:c>
      <x:c r="AE151" s="26" t="n">
        <x:v>22.06</x:v>
      </x:c>
      <x:c r="AF151" s="26" t="str">
        <x:v>Z</x:v>
      </x:c>
      <x:c r="AG151" s="26" t="n">
        <x:v>0.03808</x:v>
      </x:c>
      <x:c r="AH151" s="26" t="n">
        <x:v>-132.17</x:v>
      </x:c>
      <x:c r="AI151" s="26" t="n">
        <x:v>0.183</x:v>
      </x:c>
      <x:c r="AJ151" s="26" t="n">
        <x:v>26.34</x:v>
      </x:c>
      <x:c r="AK151" s="26" t="n">
        <x:v>0.11723</x:v>
      </x:c>
      <x:c r="AL151" s="26" t="n">
        <x:v>-78.86</x:v>
      </x:c>
      <x:c r="AM151" s="26" t="n">
        <x:v>0.251</x:v>
      </x:c>
      <x:c r="AN151" s="26" t="n">
        <x:v>35.41</x:v>
      </x:c>
      <x:c r="AO151" s="26" t="n">
        <x:v>0.30942</x:v>
      </x:c>
      <x:c r="AP151" s="26" t="n">
        <x:v>46.73</x:v>
      </x:c>
      <x:c r="AQ151" s="26" t="n">
        <x:v>0.709</x:v>
      </x:c>
      <x:c r="AR151" s="26" t="n">
        <x:v>5.52</x:v>
      </x:c>
      <x:c r="AS151" s="26" t="n">
        <x:v>0.33488</x:v>
      </x:c>
      <x:c r="AT151" s="26" t="n">
        <x:v>7.32</x:v>
      </x:c>
      <x:c r="AU151" s="26" t="n">
        <x:v>0.1137</x:v>
      </x:c>
      <x:c r="AV151" s="26" t="n">
        <x:v>0.3501</x:v>
      </x:c>
      <x:c r="AW151" s="26" t="n">
        <x:v>0.924</x:v>
      </x:c>
      <x:c r="AX151" s="26" t="n">
        <x:v>1</x:v>
      </x:c>
    </x:row>
    <x:row r="152">
      <x:c r="A152" s="26" t="str">
        <x:v>K5</x:v>
      </x:c>
      <x:c r="B152" s="26" t="str">
        <x:v>Horizontal / flat</x:v>
      </x:c>
      <x:c r="C152" s="26" t="str">
        <x:v>Intermediate</x:v>
      </x:c>
      <x:c r="D152" s="26" t="str">
        <x:v>Pasted text(20260812-103624).txt</x:v>
      </x:c>
      <x:c r="E152" s="26" t="str">
        <x:v>GAIN_SWEEP</x:v>
      </x:c>
      <x:c r="F152" s="26" t="n">
        <x:v>10</x:v>
      </x:c>
      <x:c r="G152" s="26" t="n">
        <x:v>2</x:v>
      </x:c>
      <x:c r="H152" s="26" t="n">
        <x:v>268</x:v>
      </x:c>
      <x:c r="I152" s="26" t="n">
        <x:v>5.5</x:v>
      </x:c>
      <x:c r="J152" s="26" t="n">
        <x:v>140.54136</x:v>
      </x:c>
      <x:c r="K152" s="26" t="n">
        <x:v>0.04692</x:v>
      </x:c>
      <x:c r="L152" s="26" t="n">
        <x:v>13.99</x:v>
      </x:c>
      <x:c r="M152" s="26" t="n">
        <x:v>140.51644</x:v>
      </x:c>
      <x:c r="N152" s="26" t="n">
        <x:v>0.20429</x:v>
      </x:c>
      <x:c r="O152" s="26" t="n">
        <x:v>22.11</x:v>
      </x:c>
      <x:c r="P152" s="26" t="n">
        <x:v>267.99292</x:v>
      </x:c>
      <x:c r="Q152" s="26" t="n">
        <x:v>0.25843</x:v>
      </x:c>
      <x:c r="R152" s="26" t="n">
        <x:v>24.78</x:v>
      </x:c>
      <x:c r="S152" s="26" t="n">
        <x:v>268.04565</x:v>
      </x:c>
      <x:c r="T152" s="26" t="n">
        <x:v>0.03698</x:v>
      </x:c>
      <x:c r="U152" s="26" t="n">
        <x:v>267.87267</x:v>
      </x:c>
      <x:c r="V152" s="26" t="n">
        <x:v>0.10313</x:v>
      </x:c>
      <x:c r="W152" s="26" t="n">
        <x:v>267.99292</x:v>
      </x:c>
      <x:c r="X152" s="26" t="n">
        <x:v>0.25843</x:v>
      </x:c>
      <x:c r="Y152" s="26" t="n">
        <x:v>267.97771</x:v>
      </x:c>
      <x:c r="Z152" s="26" t="n">
        <x:v>-0.02229</x:v>
      </x:c>
      <x:c r="AA152" s="26" t="n">
        <x:v>0.03698</x:v>
      </x:c>
      <x:c r="AB152" s="26" t="n">
        <x:v>0.09783</x:v>
      </x:c>
      <x:c r="AC152" s="26" t="n">
        <x:v>0.25843</x:v>
      </x:c>
      <x:c r="AD152" s="26" t="n">
        <x:v>0.27879</x:v>
      </x:c>
      <x:c r="AE152" s="26" t="n">
        <x:v>21.74</x:v>
      </x:c>
      <x:c r="AF152" s="26" t="str">
        <x:v>Z</x:v>
      </x:c>
      <x:c r="AG152" s="26" t="n">
        <x:v>0.03604</x:v>
      </x:c>
      <x:c r="AH152" s="26" t="n">
        <x:v>-128.57</x:v>
      </x:c>
      <x:c r="AI152" s="26" t="n">
        <x:v>0.17</x:v>
      </x:c>
      <x:c r="AJ152" s="26" t="n">
        <x:v>19.52</x:v>
      </x:c>
      <x:c r="AK152" s="26" t="n">
        <x:v>0.11307</x:v>
      </x:c>
      <x:c r="AL152" s="26" t="n">
        <x:v>-85.11</x:v>
      </x:c>
      <x:c r="AM152" s="26" t="n">
        <x:v>0.243</x:v>
      </x:c>
      <x:c r="AN152" s="26" t="n">
        <x:v>27.59</x:v>
      </x:c>
      <x:c r="AO152" s="26" t="n">
        <x:v>0.29944</x:v>
      </x:c>
      <x:c r="AP152" s="26" t="n">
        <x:v>48.53</x:v>
      </x:c>
      <x:c r="AQ152" s="26" t="n">
        <x:v>0.677</x:v>
      </x:c>
      <x:c r="AR152" s="26" t="n">
        <x:v>4.65</x:v>
      </x:c>
      <x:c r="AS152" s="26" t="n">
        <x:v>0.32345</x:v>
      </x:c>
      <x:c r="AT152" s="26" t="n">
        <x:v>3.48</x:v>
      </x:c>
      <x:c r="AU152" s="26" t="n">
        <x:v>0.1114</x:v>
      </x:c>
      <x:c r="AV152" s="26" t="n">
        <x:v>0.3496</x:v>
      </x:c>
      <x:c r="AW152" s="26" t="n">
        <x:v>0.9258</x:v>
      </x:c>
      <x:c r="AX152" s="26" t="n">
        <x:v>1</x:v>
      </x:c>
    </x:row>
    <x:row r="153">
      <x:c r="A153" s="26" t="str">
        <x:v>K5</x:v>
      </x:c>
      <x:c r="B153" s="26" t="str">
        <x:v>Horizontal / flat</x:v>
      </x:c>
      <x:c r="C153" s="26" t="str">
        <x:v>Intermediate</x:v>
      </x:c>
      <x:c r="D153" s="26" t="str">
        <x:v>Pasted text(20260812-103624).txt</x:v>
      </x:c>
      <x:c r="E153" s="26" t="str">
        <x:v>GAIN_SWEEP</x:v>
      </x:c>
      <x:c r="F153" s="26" t="n">
        <x:v>10</x:v>
      </x:c>
      <x:c r="G153" s="26" t="n">
        <x:v>3</x:v>
      </x:c>
      <x:c r="H153" s="26" t="n">
        <x:v>268</x:v>
      </x:c>
      <x:c r="I153" s="26" t="n">
        <x:v>5.5</x:v>
      </x:c>
      <x:c r="J153" s="26" t="n">
        <x:v>140.63694</x:v>
      </x:c>
      <x:c r="K153" s="26" t="n">
        <x:v>0.04638</x:v>
      </x:c>
      <x:c r="L153" s="26" t="n">
        <x:v>14.51</x:v>
      </x:c>
      <x:c r="M153" s="26" t="n">
        <x:v>140.60937</x:v>
      </x:c>
      <x:c r="N153" s="26" t="n">
        <x:v>0.21647</x:v>
      </x:c>
      <x:c r="O153" s="26" t="n">
        <x:v>22.52</x:v>
      </x:c>
      <x:c r="P153" s="26" t="n">
        <x:v>267.98826</x:v>
      </x:c>
      <x:c r="Q153" s="26" t="n">
        <x:v>0.25778</x:v>
      </x:c>
      <x:c r="R153" s="26" t="n">
        <x:v>24.98</x:v>
      </x:c>
      <x:c r="S153" s="26" t="n">
        <x:v>268.13309</x:v>
      </x:c>
      <x:c r="T153" s="26" t="n">
        <x:v>0.03766</x:v>
      </x:c>
      <x:c r="U153" s="26" t="n">
        <x:v>268.02551</x:v>
      </x:c>
      <x:c r="V153" s="26" t="n">
        <x:v>0.10105</x:v>
      </x:c>
      <x:c r="W153" s="26" t="n">
        <x:v>267.98826</x:v>
      </x:c>
      <x:c r="X153" s="26" t="n">
        <x:v>0.25778</x:v>
      </x:c>
      <x:c r="Y153" s="26" t="n">
        <x:v>267.99564</x:v>
      </x:c>
      <x:c r="Z153" s="26" t="n">
        <x:v>-0.00436</x:v>
      </x:c>
      <x:c r="AA153" s="26" t="n">
        <x:v>0.03766</x:v>
      </x:c>
      <x:c r="AB153" s="26" t="n">
        <x:v>0.10105</x:v>
      </x:c>
      <x:c r="AC153" s="26" t="n">
        <x:v>0.25778</x:v>
      </x:c>
      <x:c r="AD153" s="26" t="n">
        <x:v>0.27943</x:v>
      </x:c>
      <x:c r="AE153" s="26" t="n">
        <x:v>21.82</x:v>
      </x:c>
      <x:c r="AF153" s="26" t="str">
        <x:v>Z</x:v>
      </x:c>
      <x:c r="AG153" s="26" t="n">
        <x:v>0.04431</x:v>
      </x:c>
      <x:c r="AH153" s="26" t="n">
        <x:v>-131.05</x:v>
      </x:c>
      <x:c r="AI153" s="26" t="n">
        <x:v>0.204</x:v>
      </x:c>
      <x:c r="AJ153" s="26" t="n">
        <x:v>24.88</x:v>
      </x:c>
      <x:c r="AK153" s="26" t="n">
        <x:v>0.13151</x:v>
      </x:c>
      <x:c r="AL153" s="26" t="n">
        <x:v>-82.58</x:v>
      </x:c>
      <x:c r="AM153" s="26" t="n">
        <x:v>0.281</x:v>
      </x:c>
      <x:c r="AN153" s="26" t="n">
        <x:v>16.6</x:v>
      </x:c>
      <x:c r="AO153" s="26" t="n">
        <x:v>0.32138</x:v>
      </x:c>
      <x:c r="AP153" s="26" t="n">
        <x:v>47.95</x:v>
      </x:c>
      <x:c r="AQ153" s="26" t="n">
        <x:v>0.708</x:v>
      </x:c>
      <x:c r="AR153" s="26" t="n">
        <x:v>3.92</x:v>
      </x:c>
      <x:c r="AS153" s="26" t="n">
        <x:v>0.35055</x:v>
      </x:c>
      <x:c r="AT153" s="26" t="n">
        <x:v>5.18</x:v>
      </x:c>
      <x:c r="AU153" s="26" t="n">
        <x:v>0.1264</x:v>
      </x:c>
      <x:c r="AV153" s="26" t="n">
        <x:v>0.3752</x:v>
      </x:c>
      <x:c r="AW153" s="26" t="n">
        <x:v>0.9168</x:v>
      </x:c>
      <x:c r="AX153" s="26" t="n">
        <x:v>1</x:v>
      </x:c>
    </x:row>
    <x:row r="154">
      <x:c r="A154" s="26" t="str">
        <x:v>K5</x:v>
      </x:c>
      <x:c r="B154" s="26" t="str">
        <x:v>Horizontal / flat</x:v>
      </x:c>
      <x:c r="C154" s="26" t="str">
        <x:v>Intermediate</x:v>
      </x:c>
      <x:c r="D154" s="26" t="str">
        <x:v>Pasted text(20260812-103624).txt</x:v>
      </x:c>
      <x:c r="E154" s="26" t="str">
        <x:v>GAIN_SWEEP</x:v>
      </x:c>
      <x:c r="F154" s="26" t="n">
        <x:v>11</x:v>
      </x:c>
      <x:c r="G154" s="26" t="n">
        <x:v>1</x:v>
      </x:c>
      <x:c r="H154" s="26" t="n">
        <x:v>268</x:v>
      </x:c>
      <x:c r="I154" s="26" t="n">
        <x:v>6</x:v>
      </x:c>
      <x:c r="J154" s="26" t="n">
        <x:v>296.28959</x:v>
      </x:c>
      <x:c r="K154" s="26" t="n">
        <x:v>0.05422</x:v>
      </x:c>
      <x:c r="L154" s="26" t="n">
        <x:v>15.58</x:v>
      </x:c>
      <x:c r="M154" s="26" t="n">
        <x:v>56.20788</x:v>
      </x:c>
      <x:c r="N154" s="26" t="n">
        <x:v>0.17315</x:v>
      </x:c>
      <x:c r="O154" s="26" t="n">
        <x:v>19.93</x:v>
      </x:c>
      <x:c r="P154" s="26" t="n">
        <x:v>268.05292</x:v>
      </x:c>
      <x:c r="Q154" s="26" t="n">
        <x:v>0.2961</x:v>
      </x:c>
      <x:c r="R154" s="26" t="n">
        <x:v>26.15</x:v>
      </x:c>
      <x:c r="S154" s="26" t="n">
        <x:v>267.93132</x:v>
      </x:c>
      <x:c r="T154" s="26" t="n">
        <x:v>0.03642</x:v>
      </x:c>
      <x:c r="U154" s="26" t="n">
        <x:v>267.93721</x:v>
      </x:c>
      <x:c r="V154" s="26" t="n">
        <x:v>0.12476</x:v>
      </x:c>
      <x:c r="W154" s="26" t="n">
        <x:v>268.05292</x:v>
      </x:c>
      <x:c r="X154" s="26" t="n">
        <x:v>0.2961</x:v>
      </x:c>
      <x:c r="Y154" s="26" t="n">
        <x:v>268.03604</x:v>
      </x:c>
      <x:c r="Z154" s="26" t="n">
        <x:v>0.03604</x:v>
      </x:c>
      <x:c r="AA154" s="26" t="n">
        <x:v>0.03574</x:v>
      </x:c>
      <x:c r="AB154" s="26" t="n">
        <x:v>0.12256</x:v>
      </x:c>
      <x:c r="AC154" s="26" t="n">
        <x:v>0.2961</x:v>
      </x:c>
      <x:c r="AD154" s="26" t="n">
        <x:v>0.32245</x:v>
      </x:c>
      <x:c r="AE154" s="26" t="n">
        <x:v>24.73</x:v>
      </x:c>
      <x:c r="AF154" s="26" t="str">
        <x:v>Z</x:v>
      </x:c>
      <x:c r="AG154" s="26" t="n">
        <x:v>0.04803</x:v>
      </x:c>
      <x:c r="AH154" s="26" t="n">
        <x:v>-125.23</x:v>
      </x:c>
      <x:c r="AI154" s="26" t="n">
        <x:v>0.213</x:v>
      </x:c>
      <x:c r="AJ154" s="26" t="n">
        <x:v>22.95</x:v>
      </x:c>
      <x:c r="AK154" s="26" t="n">
        <x:v>0.13903</x:v>
      </x:c>
      <x:c r="AL154" s="26" t="n">
        <x:v>-80.87</x:v>
      </x:c>
      <x:c r="AM154" s="26" t="n">
        <x:v>0.295</x:v>
      </x:c>
      <x:c r="AN154" s="26" t="n">
        <x:v>17.41</x:v>
      </x:c>
      <x:c r="AO154" s="26" t="n">
        <x:v>0.36096</x:v>
      </x:c>
      <x:c r="AP154" s="26" t="n">
        <x:v>50</x:v>
      </x:c>
      <x:c r="AQ154" s="26" t="n">
        <x:v>0.738</x:v>
      </x:c>
      <x:c r="AR154" s="26" t="n">
        <x:v>4.6</x:v>
      </x:c>
      <x:c r="AS154" s="26" t="n">
        <x:v>0.39033</x:v>
      </x:c>
      <x:c r="AT154" s="26" t="n">
        <x:v>5.45</x:v>
      </x:c>
      <x:c r="AU154" s="26" t="n">
        <x:v>0.1231</x:v>
      </x:c>
      <x:c r="AV154" s="26" t="n">
        <x:v>0.3562</x:v>
      </x:c>
      <x:c r="AW154" s="26" t="n">
        <x:v>0.9248</x:v>
      </x:c>
      <x:c r="AX154" s="26" t="n">
        <x:v>1</x:v>
      </x:c>
    </x:row>
    <x:row r="155">
      <x:c r="A155" s="26" t="str">
        <x:v>K5</x:v>
      </x:c>
      <x:c r="B155" s="26" t="str">
        <x:v>Horizontal / flat</x:v>
      </x:c>
      <x:c r="C155" s="26" t="str">
        <x:v>Intermediate</x:v>
      </x:c>
      <x:c r="D155" s="26" t="str">
        <x:v>Pasted text(20260812-103624).txt</x:v>
      </x:c>
      <x:c r="E155" s="26" t="str">
        <x:v>GAIN_SWEEP</x:v>
      </x:c>
      <x:c r="F155" s="26" t="n">
        <x:v>11</x:v>
      </x:c>
      <x:c r="G155" s="26" t="n">
        <x:v>2</x:v>
      </x:c>
      <x:c r="H155" s="26" t="n">
        <x:v>268</x:v>
      </x:c>
      <x:c r="I155" s="26" t="n">
        <x:v>6</x:v>
      </x:c>
      <x:c r="J155" s="26" t="n">
        <x:v>296.26079</x:v>
      </x:c>
      <x:c r="K155" s="26" t="n">
        <x:v>0.04867</x:v>
      </x:c>
      <x:c r="L155" s="26" t="n">
        <x:v>15.36</x:v>
      </x:c>
      <x:c r="M155" s="26" t="n">
        <x:v>56.21085</x:v>
      </x:c>
      <x:c r="N155" s="26" t="n">
        <x:v>0.17352</x:v>
      </x:c>
      <x:c r="O155" s="26" t="n">
        <x:v>20.51</x:v>
      </x:c>
      <x:c r="P155" s="26" t="n">
        <x:v>267.98986</x:v>
      </x:c>
      <x:c r="Q155" s="26" t="n">
        <x:v>0.2996</x:v>
      </x:c>
      <x:c r="R155" s="26" t="n">
        <x:v>25.93</x:v>
      </x:c>
      <x:c r="S155" s="26" t="n">
        <x:v>267.90673</x:v>
      </x:c>
      <x:c r="T155" s="26" t="n">
        <x:v>0.04036</x:v>
      </x:c>
      <x:c r="U155" s="26" t="n">
        <x:v>267.9273</x:v>
      </x:c>
      <x:c r="V155" s="26" t="n">
        <x:v>0.10104</x:v>
      </x:c>
      <x:c r="W155" s="26" t="n">
        <x:v>267.98986</x:v>
      </x:c>
      <x:c r="X155" s="26" t="n">
        <x:v>0.2996</x:v>
      </x:c>
      <x:c r="Y155" s="26" t="n">
        <x:v>267.9826</x:v>
      </x:c>
      <x:c r="Z155" s="26" t="n">
        <x:v>-0.0174</x:v>
      </x:c>
      <x:c r="AA155" s="26" t="n">
        <x:v>0.03908</x:v>
      </x:c>
      <x:c r="AB155" s="26" t="n">
        <x:v>0.09881</x:v>
      </x:c>
      <x:c r="AC155" s="26" t="n">
        <x:v>0.2996</x:v>
      </x:c>
      <x:c r="AD155" s="26" t="n">
        <x:v>0.31788</x:v>
      </x:c>
      <x:c r="AE155" s="26" t="n">
        <x:v>24.25</x:v>
      </x:c>
      <x:c r="AF155" s="26" t="str">
        <x:v>Z</x:v>
      </x:c>
      <x:c r="AG155" s="26" t="n">
        <x:v>0.05042</x:v>
      </x:c>
      <x:c r="AH155" s="26" t="n">
        <x:v>-123.14</x:v>
      </x:c>
      <x:c r="AI155" s="26" t="n">
        <x:v>0.222</x:v>
      </x:c>
      <x:c r="AJ155" s="26" t="n">
        <x:v>30.72</x:v>
      </x:c>
      <x:c r="AK155" s="26" t="n">
        <x:v>0.15585</x:v>
      </x:c>
      <x:c r="AL155" s="26" t="n">
        <x:v>-91.23</x:v>
      </x:c>
      <x:c r="AM155" s="26" t="n">
        <x:v>0.331</x:v>
      </x:c>
      <x:c r="AN155" s="26" t="n">
        <x:v>20.5</x:v>
      </x:c>
      <x:c r="AO155" s="26" t="n">
        <x:v>0.3727</x:v>
      </x:c>
      <x:c r="AP155" s="26" t="n">
        <x:v>47.21</x:v>
      </x:c>
      <x:c r="AQ155" s="26" t="n">
        <x:v>0.742</x:v>
      </x:c>
      <x:c r="AR155" s="26" t="n">
        <x:v>6.67</x:v>
      </x:c>
      <x:c r="AS155" s="26" t="n">
        <x:v>0.40869</x:v>
      </x:c>
      <x:c r="AT155" s="26" t="n">
        <x:v>4.05</x:v>
      </x:c>
      <x:c r="AU155" s="26" t="n">
        <x:v>0.1234</x:v>
      </x:c>
      <x:c r="AV155" s="26" t="n">
        <x:v>0.3813</x:v>
      </x:c>
      <x:c r="AW155" s="26" t="n">
        <x:v>0.912</x:v>
      </x:c>
      <x:c r="AX155" s="26" t="n">
        <x:v>1</x:v>
      </x:c>
    </x:row>
    <x:row r="156">
      <x:c r="A156" s="26" t="str">
        <x:v>K5</x:v>
      </x:c>
      <x:c r="B156" s="26" t="str">
        <x:v>Horizontal / flat</x:v>
      </x:c>
      <x:c r="C156" s="26" t="str">
        <x:v>Intermediate</x:v>
      </x:c>
      <x:c r="D156" s="26" t="str">
        <x:v>Pasted text(20260812-103624).txt</x:v>
      </x:c>
      <x:c r="E156" s="26" t="str">
        <x:v>GAIN_SWEEP</x:v>
      </x:c>
      <x:c r="F156" s="26" t="n">
        <x:v>11</x:v>
      </x:c>
      <x:c r="G156" s="26" t="n">
        <x:v>3</x:v>
      </x:c>
      <x:c r="H156" s="26" t="n">
        <x:v>268</x:v>
      </x:c>
      <x:c r="I156" s="26" t="n">
        <x:v>6</x:v>
      </x:c>
      <x:c r="J156" s="26" t="n">
        <x:v>296.19836</x:v>
      </x:c>
      <x:c r="K156" s="26" t="n">
        <x:v>0.05726</x:v>
      </x:c>
      <x:c r="L156" s="26" t="n">
        <x:v>15.88</x:v>
      </x:c>
      <x:c r="M156" s="26" t="n">
        <x:v>56.33865</x:v>
      </x:c>
      <x:c r="N156" s="26" t="n">
        <x:v>0.16418</x:v>
      </x:c>
      <x:c r="O156" s="26" t="n">
        <x:v>19.68</x:v>
      </x:c>
      <x:c r="P156" s="26" t="n">
        <x:v>267.96616</x:v>
      </x:c>
      <x:c r="Q156" s="26" t="n">
        <x:v>0.29138</x:v>
      </x:c>
      <x:c r="R156" s="26" t="n">
        <x:v>25.69</x:v>
      </x:c>
      <x:c r="S156" s="26" t="n">
        <x:v>267.91974</x:v>
      </x:c>
      <x:c r="T156" s="26" t="n">
        <x:v>0.04486</x:v>
      </x:c>
      <x:c r="U156" s="26" t="n">
        <x:v>267.87025</x:v>
      </x:c>
      <x:c r="V156" s="26" t="n">
        <x:v>0.11372</x:v>
      </x:c>
      <x:c r="W156" s="26" t="n">
        <x:v>267.96616</x:v>
      </x:c>
      <x:c r="X156" s="26" t="n">
        <x:v>0.29138</x:v>
      </x:c>
      <x:c r="Y156" s="26" t="n">
        <x:v>267.95334</x:v>
      </x:c>
      <x:c r="Z156" s="26" t="n">
        <x:v>-0.04666</x:v>
      </x:c>
      <x:c r="AA156" s="26" t="n">
        <x:v>0.04486</x:v>
      </x:c>
      <x:c r="AB156" s="26" t="n">
        <x:v>0.11372</x:v>
      </x:c>
      <x:c r="AC156" s="26" t="n">
        <x:v>0.29138</x:v>
      </x:c>
      <x:c r="AD156" s="26" t="n">
        <x:v>0.31599</x:v>
      </x:c>
      <x:c r="AE156" s="26" t="n">
        <x:v>23.99</x:v>
      </x:c>
      <x:c r="AF156" s="26" t="str">
        <x:v>Z</x:v>
      </x:c>
      <x:c r="AG156" s="26" t="n">
        <x:v>0.04997</x:v>
      </x:c>
      <x:c r="AH156" s="26" t="n">
        <x:v>-134.55</x:v>
      </x:c>
      <x:c r="AI156" s="26" t="n">
        <x:v>0.231</x:v>
      </x:c>
      <x:c r="AJ156" s="26" t="n">
        <x:v>20.24</x:v>
      </x:c>
      <x:c r="AK156" s="26" t="n">
        <x:v>0.14897</x:v>
      </x:c>
      <x:c r="AL156" s="26" t="n">
        <x:v>-87.99</x:v>
      </x:c>
      <x:c r="AM156" s="26" t="n">
        <x:v>0.312</x:v>
      </x:c>
      <x:c r="AN156" s="26" t="n">
        <x:v>19.19</x:v>
      </x:c>
      <x:c r="AO156" s="26" t="n">
        <x:v>0.34512</x:v>
      </x:c>
      <x:c r="AP156" s="26" t="n">
        <x:v>49.64</x:v>
      </x:c>
      <x:c r="AQ156" s="26" t="n">
        <x:v>0.72</x:v>
      </x:c>
      <x:c r="AR156" s="26" t="n">
        <x:v>2.22</x:v>
      </x:c>
      <x:c r="AS156" s="26" t="n">
        <x:v>0.38005</x:v>
      </x:c>
      <x:c r="AT156" s="26" t="n">
        <x:v>3.5</x:v>
      </x:c>
      <x:c r="AU156" s="26" t="n">
        <x:v>0.1315</x:v>
      </x:c>
      <x:c r="AV156" s="26" t="n">
        <x:v>0.392</x:v>
      </x:c>
      <x:c r="AW156" s="26" t="n">
        <x:v>0.9081</x:v>
      </x:c>
      <x:c r="AX156" s="26" t="n">
        <x:v>1</x:v>
      </x:c>
    </x:row>
    <x:row r="157">
      <x:c r="A157" s="26" t="str">
        <x:v>INC-01</x:v>
      </x:c>
      <x:c r="B157" s="26" t="str">
        <x:v>Inclined / wearable-like</x:v>
      </x:c>
      <x:c r="C157" s="26" t="str">
        <x:v>As tested</x:v>
      </x:c>
      <x:c r="D157" s="26" t="str">
        <x:v>Pasted text(20260812-103956).txt</x:v>
      </x:c>
      <x:c r="E157" s="26" t="str">
        <x:v>GAIN_SWEEP</x:v>
      </x:c>
      <x:c r="F157" s="26" t="n">
        <x:v>1</x:v>
      </x:c>
      <x:c r="G157" s="26" t="n">
        <x:v>1</x:v>
      </x:c>
      <x:c r="H157" s="26" t="n">
        <x:v>268</x:v>
      </x:c>
      <x:c r="I157" s="26" t="n">
        <x:v>10</x:v>
      </x:c>
      <x:c r="J157" s="26" t="n">
        <x:v>296.59249</x:v>
      </x:c>
      <x:c r="K157" s="26" t="n">
        <x:v>0.21944</x:v>
      </x:c>
      <x:c r="L157" s="26" t="n">
        <x:v>24.02</x:v>
      </x:c>
      <x:c r="M157" s="26" t="n">
        <x:v>268.01234</x:v>
      </x:c>
      <x:c r="N157" s="26" t="n">
        <x:v>0.57762</x:v>
      </x:c>
      <x:c r="O157" s="26" t="n">
        <x:v>27.75</x:v>
      </x:c>
      <x:c r="P157" s="26" t="n">
        <x:v>268.07075</x:v>
      </x:c>
      <x:c r="Q157" s="26" t="n">
        <x:v>0.48389</x:v>
      </x:c>
      <x:c r="R157" s="26" t="n">
        <x:v>29.43</x:v>
      </x:c>
      <x:c r="S157" s="26" t="n">
        <x:v>268.06653</x:v>
      </x:c>
      <x:c r="T157" s="26" t="n">
        <x:v>0.02135</x:v>
      </x:c>
      <x:c r="U157" s="26" t="n">
        <x:v>268.01234</x:v>
      </x:c>
      <x:c r="V157" s="26" t="n">
        <x:v>0.57762</x:v>
      </x:c>
      <x:c r="W157" s="26" t="n">
        <x:v>268.07075</x:v>
      </x:c>
      <x:c r="X157" s="26" t="n">
        <x:v>0.48389</x:v>
      </x:c>
      <x:c r="Y157" s="26" t="n">
        <x:v>268.03623</x:v>
      </x:c>
      <x:c r="Z157" s="26" t="n">
        <x:v>0.03623</x:v>
      </x:c>
      <x:c r="AA157" s="26" t="n">
        <x:v>0.02135</x:v>
      </x:c>
      <x:c r="AB157" s="26" t="n">
        <x:v>0.57762</x:v>
      </x:c>
      <x:c r="AC157" s="26" t="n">
        <x:v>0.48389</x:v>
      </x:c>
      <x:c r="AD157" s="26" t="n">
        <x:v>0.75382</x:v>
      </x:c>
      <x:c r="AE157" s="26" t="n">
        <x:v>29.27</x:v>
      </x:c>
      <x:c r="AF157" s="26" t="str">
        <x:v>Y</x:v>
      </x:c>
      <x:c r="AG157" s="26" t="n">
        <x:v>0.03155</x:v>
      </x:c>
      <x:c r="AH157" s="26" t="n">
        <x:v>-134.87</x:v>
      </x:c>
      <x:c r="AI157" s="26" t="n">
        <x:v>0.069</x:v>
      </x:c>
      <x:c r="AJ157" s="26" t="n">
        <x:v>34.76</x:v>
      </x:c>
      <x:c r="AK157" s="26" t="n">
        <x:v>0.68373</x:v>
      </x:c>
      <x:c r="AL157" s="26" t="n">
        <x:v>-5.78</x:v>
      </x:c>
      <x:c r="AM157" s="26" t="n">
        <x:v>0.729</x:v>
      </x:c>
      <x:c r="AN157" s="26" t="n">
        <x:v>2.69</x:v>
      </x:c>
      <x:c r="AO157" s="26" t="n">
        <x:v>0.56922</x:v>
      </x:c>
      <x:c r="AP157" s="26" t="n">
        <x:v>0.08</x:v>
      </x:c>
      <x:c r="AQ157" s="26" t="n">
        <x:v>0.787</x:v>
      </x:c>
      <x:c r="AR157" s="26" t="n">
        <x:v>4.02</x:v>
      </x:c>
      <x:c r="AS157" s="26" t="n">
        <x:v>0.89039</x:v>
      </x:c>
      <x:c r="AT157" s="26" t="n">
        <x:v>2.73</x:v>
      </x:c>
      <x:c r="AU157" s="26" t="n">
        <x:v>0.0354</x:v>
      </x:c>
      <x:c r="AV157" s="26" t="n">
        <x:v>0.7679</x:v>
      </x:c>
      <x:c r="AW157" s="26" t="n">
        <x:v>0.6393</x:v>
      </x:c>
      <x:c r="AX157" s="26" t="n">
        <x:v>1</x:v>
      </x:c>
    </x:row>
    <x:row r="158">
      <x:c r="A158" s="26" t="str">
        <x:v>INC-01</x:v>
      </x:c>
      <x:c r="B158" s="26" t="str">
        <x:v>Inclined / wearable-like</x:v>
      </x:c>
      <x:c r="C158" s="26" t="str">
        <x:v>As tested</x:v>
      </x:c>
      <x:c r="D158" s="26" t="str">
        <x:v>Pasted text(20260812-103956).txt</x:v>
      </x:c>
      <x:c r="E158" s="26" t="str">
        <x:v>GAIN_SWEEP</x:v>
      </x:c>
      <x:c r="F158" s="26" t="n">
        <x:v>2</x:v>
      </x:c>
      <x:c r="G158" s="26" t="n">
        <x:v>1</x:v>
      </x:c>
      <x:c r="H158" s="26" t="n">
        <x:v>268</x:v>
      </x:c>
      <x:c r="I158" s="26" t="n">
        <x:v>11</x:v>
      </x:c>
      <x:c r="J158" s="26" t="n">
        <x:v>296.55784</x:v>
      </x:c>
      <x:c r="K158" s="26" t="n">
        <x:v>0.19777</x:v>
      </x:c>
      <x:c r="L158" s="26" t="n">
        <x:v>22.96</x:v>
      </x:c>
      <x:c r="M158" s="26" t="n">
        <x:v>267.99817</x:v>
      </x:c>
      <x:c r="N158" s="26" t="n">
        <x:v>0.66747</x:v>
      </x:c>
      <x:c r="O158" s="26" t="n">
        <x:v>29.14</x:v>
      </x:c>
      <x:c r="P158" s="26" t="n">
        <x:v>268.00508</x:v>
      </x:c>
      <x:c r="Q158" s="26" t="n">
        <x:v>0.53694</x:v>
      </x:c>
      <x:c r="R158" s="26" t="n">
        <x:v>30.29</x:v>
      </x:c>
      <x:c r="S158" s="26" t="n">
        <x:v>275.63074</x:v>
      </x:c>
      <x:c r="T158" s="26" t="n">
        <x:v>0.02983</x:v>
      </x:c>
      <x:c r="U158" s="26" t="n">
        <x:v>267.99817</x:v>
      </x:c>
      <x:c r="V158" s="26" t="n">
        <x:v>0.66747</x:v>
      </x:c>
      <x:c r="W158" s="26" t="n">
        <x:v>268.00508</x:v>
      </x:c>
      <x:c r="X158" s="26" t="n">
        <x:v>0.53694</x:v>
      </x:c>
      <x:c r="Y158" s="26" t="n">
        <x:v>268.00079</x:v>
      </x:c>
      <x:c r="Z158" s="26" t="n">
        <x:v>0.00079</x:v>
      </x:c>
      <x:c r="AA158" s="26" t="n">
        <x:v>0.0207</x:v>
      </x:c>
      <x:c r="AB158" s="26" t="n">
        <x:v>0.66747</x:v>
      </x:c>
      <x:c r="AC158" s="26" t="n">
        <x:v>0.53694</x:v>
      </x:c>
      <x:c r="AD158" s="26" t="n">
        <x:v>0.85688</x:v>
      </x:c>
      <x:c r="AE158" s="26" t="n">
        <x:v>29.2</x:v>
      </x:c>
      <x:c r="AF158" s="26" t="str">
        <x:v>Y</x:v>
      </x:c>
      <x:c r="AG158" s="26" t="n">
        <x:v>0.02225</x:v>
      </x:c>
      <x:c r="AH158" s="26" t="n">
        <x:v>-133.94</x:v>
      </x:c>
      <x:c r="AI158" s="26" t="n">
        <x:v>0.049</x:v>
      </x:c>
      <x:c r="AJ158" s="26" t="n">
        <x:v>62.22</x:v>
      </x:c>
      <x:c r="AK158" s="26" t="n">
        <x:v>0.79715</x:v>
      </x:c>
      <x:c r="AL158" s="26" t="n">
        <x:v>-6.77</x:v>
      </x:c>
      <x:c r="AM158" s="26" t="n">
        <x:v>0.788</x:v>
      </x:c>
      <x:c r="AN158" s="26" t="n">
        <x:v>2.66</x:v>
      </x:c>
      <x:c r="AO158" s="26" t="n">
        <x:v>0.66543</x:v>
      </x:c>
      <x:c r="AP158" s="26" t="n">
        <x:v>-0.89</x:v>
      </x:c>
      <x:c r="AQ158" s="26" t="n">
        <x:v>0.84</x:v>
      </x:c>
      <x:c r="AR158" s="26" t="n">
        <x:v>1.56</x:v>
      </x:c>
      <x:c r="AS158" s="26" t="n">
        <x:v>1.03881</x:v>
      </x:c>
      <x:c r="AT158" s="26" t="n">
        <x:v>1.58</x:v>
      </x:c>
      <x:c r="AU158" s="26" t="n">
        <x:v>0.0214</x:v>
      </x:c>
      <x:c r="AV158" s="26" t="n">
        <x:v>0.7674</x:v>
      </x:c>
      <x:c r="AW158" s="26" t="n">
        <x:v>0.6406</x:v>
      </x:c>
      <x:c r="AX158" s="26" t="n">
        <x:v>1</x:v>
      </x:c>
    </x:row>
    <x:row r="159">
      <x:c r="A159" s="26" t="str">
        <x:v>INC-01</x:v>
      </x:c>
      <x:c r="B159" s="26" t="str">
        <x:v>Inclined / wearable-like</x:v>
      </x:c>
      <x:c r="C159" s="26" t="str">
        <x:v>As tested</x:v>
      </x:c>
      <x:c r="D159" s="26" t="str">
        <x:v>Pasted text(20260812-103956).txt</x:v>
      </x:c>
      <x:c r="E159" s="26" t="str">
        <x:v>GAIN_SWEEP</x:v>
      </x:c>
      <x:c r="F159" s="26" t="n">
        <x:v>3</x:v>
      </x:c>
      <x:c r="G159" s="26" t="n">
        <x:v>1</x:v>
      </x:c>
      <x:c r="H159" s="26" t="n">
        <x:v>268</x:v>
      </x:c>
      <x:c r="I159" s="26" t="n">
        <x:v>12</x:v>
      </x:c>
      <x:c r="J159" s="26" t="n">
        <x:v>296.49563</x:v>
      </x:c>
      <x:c r="K159" s="26" t="n">
        <x:v>0.2351</x:v>
      </x:c>
      <x:c r="L159" s="26" t="n">
        <x:v>24.02</x:v>
      </x:c>
      <x:c r="M159" s="26" t="n">
        <x:v>268.1107</x:v>
      </x:c>
      <x:c r="N159" s="26" t="n">
        <x:v>0.71533</x:v>
      </x:c>
      <x:c r="O159" s="26" t="n">
        <x:v>29.82</x:v>
      </x:c>
      <x:c r="P159" s="26" t="n">
        <x:v>267.99876</x:v>
      </x:c>
      <x:c r="Q159" s="26" t="n">
        <x:v>0.58584</x:v>
      </x:c>
      <x:c r="R159" s="26" t="n">
        <x:v>31.02</x:v>
      </x:c>
      <x:c r="S159" s="26" t="n">
        <x:v>268.00434</x:v>
      </x:c>
      <x:c r="T159" s="26" t="n">
        <x:v>0.0622</x:v>
      </x:c>
      <x:c r="U159" s="26" t="n">
        <x:v>268.1107</x:v>
      </x:c>
      <x:c r="V159" s="26" t="n">
        <x:v>0.71533</x:v>
      </x:c>
      <x:c r="W159" s="26" t="n">
        <x:v>267.99876</x:v>
      </x:c>
      <x:c r="X159" s="26" t="n">
        <x:v>0.58584</x:v>
      </x:c>
      <x:c r="Y159" s="26" t="n">
        <x:v>268.06635</x:v>
      </x:c>
      <x:c r="Z159" s="26" t="n">
        <x:v>0.06635</x:v>
      </x:c>
      <x:c r="AA159" s="26" t="n">
        <x:v>0.0622</x:v>
      </x:c>
      <x:c r="AB159" s="26" t="n">
        <x:v>0.71533</x:v>
      </x:c>
      <x:c r="AC159" s="26" t="n">
        <x:v>0.58584</x:v>
      </x:c>
      <x:c r="AD159" s="26" t="n">
        <x:v>0.9267</x:v>
      </x:c>
      <x:c r="AE159" s="26" t="n">
        <x:v>31.48</x:v>
      </x:c>
      <x:c r="AF159" s="26" t="str">
        <x:v>Y</x:v>
      </x:c>
      <x:c r="AG159" s="26" t="n">
        <x:v>0.13628</x:v>
      </x:c>
      <x:c r="AH159" s="26" t="n">
        <x:v>-139.19</x:v>
      </x:c>
      <x:c r="AI159" s="26" t="n">
        <x:v>0.28</x:v>
      </x:c>
      <x:c r="AJ159" s="26" t="n">
        <x:v>6.96</x:v>
      </x:c>
      <x:c r="AK159" s="26" t="n">
        <x:v>0.8067</x:v>
      </x:c>
      <x:c r="AL159" s="26" t="n">
        <x:v>-4.64</x:v>
      </x:c>
      <x:c r="AM159" s="26" t="n">
        <x:v>0.769</x:v>
      </x:c>
      <x:c r="AN159" s="26" t="n">
        <x:v>8.17</x:v>
      </x:c>
      <x:c r="AO159" s="26" t="n">
        <x:v>0.6531</x:v>
      </x:c>
      <x:c r="AP159" s="26" t="n">
        <x:v>-1.71</x:v>
      </x:c>
      <x:c r="AQ159" s="26" t="n">
        <x:v>0.841</x:v>
      </x:c>
      <x:c r="AR159" s="26" t="n">
        <x:v>5.14</x:v>
      </x:c>
      <x:c r="AS159" s="26" t="n">
        <x:v>1.04807</x:v>
      </x:c>
      <x:c r="AT159" s="26" t="n">
        <x:v>4.62</x:v>
      </x:c>
      <x:c r="AU159" s="26" t="n">
        <x:v>0.13</x:v>
      </x:c>
      <x:c r="AV159" s="26" t="n">
        <x:v>0.7697</x:v>
      </x:c>
      <x:c r="AW159" s="26" t="n">
        <x:v>0.6231</x:v>
      </x:c>
      <x:c r="AX159" s="26" t="n">
        <x:v>1</x:v>
      </x:c>
    </x:row>
    <x:row r="160">
      <x:c r="A160" s="26" t="str">
        <x:v>INC-01</x:v>
      </x:c>
      <x:c r="B160" s="26" t="str">
        <x:v>Inclined / wearable-like</x:v>
      </x:c>
      <x:c r="C160" s="26" t="str">
        <x:v>As tested</x:v>
      </x:c>
      <x:c r="D160" s="26" t="str">
        <x:v>Pasted text(20260812-103956).txt</x:v>
      </x:c>
      <x:c r="E160" s="26" t="str">
        <x:v>GAIN_SWEEP</x:v>
      </x:c>
      <x:c r="F160" s="26" t="n">
        <x:v>4</x:v>
      </x:c>
      <x:c r="G160" s="26" t="n">
        <x:v>1</x:v>
      </x:c>
      <x:c r="H160" s="26" t="n">
        <x:v>268</x:v>
      </x:c>
      <x:c r="I160" s="26" t="n">
        <x:v>13</x:v>
      </x:c>
      <x:c r="J160" s="26" t="n">
        <x:v>296.73169</x:v>
      </x:c>
      <x:c r="K160" s="26" t="n">
        <x:v>0.2065</x:v>
      </x:c>
      <x:c r="L160" s="26" t="n">
        <x:v>22.91</x:v>
      </x:c>
      <x:c r="M160" s="26" t="n">
        <x:v>268.01318</x:v>
      </x:c>
      <x:c r="N160" s="26" t="n">
        <x:v>0.77146</x:v>
      </x:c>
      <x:c r="O160" s="26" t="n">
        <x:v>30.31</x:v>
      </x:c>
      <x:c r="P160" s="26" t="n">
        <x:v>268.06734</x:v>
      </x:c>
      <x:c r="Q160" s="26" t="n">
        <x:v>0.59031</x:v>
      </x:c>
      <x:c r="R160" s="26" t="n">
        <x:v>30.85</x:v>
      </x:c>
      <x:c r="S160" s="26" t="n">
        <x:v>268.04958</x:v>
      </x:c>
      <x:c r="T160" s="26" t="n">
        <x:v>0.12495</x:v>
      </x:c>
      <x:c r="U160" s="26" t="n">
        <x:v>268.01318</x:v>
      </x:c>
      <x:c r="V160" s="26" t="n">
        <x:v>0.77146</x:v>
      </x:c>
      <x:c r="W160" s="26" t="n">
        <x:v>268.06734</x:v>
      </x:c>
      <x:c r="X160" s="26" t="n">
        <x:v>0.59031</x:v>
      </x:c>
      <x:c r="Y160" s="26" t="n">
        <x:v>268.03364</x:v>
      </x:c>
      <x:c r="Z160" s="26" t="n">
        <x:v>0.03364</x:v>
      </x:c>
      <x:c r="AA160" s="26" t="n">
        <x:v>0.12495</x:v>
      </x:c>
      <x:c r="AB160" s="26" t="n">
        <x:v>0.77146</x:v>
      </x:c>
      <x:c r="AC160" s="26" t="n">
        <x:v>0.59031</x:v>
      </x:c>
      <x:c r="AD160" s="26" t="n">
        <x:v>0.9794</x:v>
      </x:c>
      <x:c r="AE160" s="26" t="n">
        <x:v>31.53</x:v>
      </x:c>
      <x:c r="AF160" s="26" t="str">
        <x:v>Y</x:v>
      </x:c>
      <x:c r="AG160" s="26" t="n">
        <x:v>0.16671</x:v>
      </x:c>
      <x:c r="AH160" s="26" t="n">
        <x:v>-131.91</x:v>
      </x:c>
      <x:c r="AI160" s="26" t="n">
        <x:v>0.354</x:v>
      </x:c>
      <x:c r="AJ160" s="26" t="n">
        <x:v>4.92</x:v>
      </x:c>
      <x:c r="AK160" s="26" t="n">
        <x:v>0.97667</x:v>
      </x:c>
      <x:c r="AL160" s="26" t="n">
        <x:v>-3.85</x:v>
      </x:c>
      <x:c r="AM160" s="26" t="n">
        <x:v>0.851</x:v>
      </x:c>
      <x:c r="AN160" s="26" t="n">
        <x:v>4.28</x:v>
      </x:c>
      <x:c r="AO160" s="26" t="n">
        <x:v>0.73318</x:v>
      </x:c>
      <x:c r="AP160" s="26" t="n">
        <x:v>-1.25</x:v>
      </x:c>
      <x:c r="AQ160" s="26" t="n">
        <x:v>0.866</x:v>
      </x:c>
      <x:c r="AR160" s="26" t="n">
        <x:v>3.35</x:v>
      </x:c>
      <x:c r="AS160" s="26" t="n">
        <x:v>1.23301</x:v>
      </x:c>
      <x:c r="AT160" s="26" t="n">
        <x:v>2.64</x:v>
      </x:c>
      <x:c r="AU160" s="26" t="n">
        <x:v>0.1352</x:v>
      </x:c>
      <x:c r="AV160" s="26" t="n">
        <x:v>0.7921</x:v>
      </x:c>
      <x:c r="AW160" s="26" t="n">
        <x:v>0.5946</x:v>
      </x:c>
      <x:c r="AX160" s="26" t="n">
        <x:v>1</x:v>
      </x:c>
    </x:row>
    <x:row r="161">
      <x:c r="A161" s="26" t="str">
        <x:v>INC-01</x:v>
      </x:c>
      <x:c r="B161" s="26" t="str">
        <x:v>Inclined / wearable-like</x:v>
      </x:c>
      <x:c r="C161" s="26" t="str">
        <x:v>As tested</x:v>
      </x:c>
      <x:c r="D161" s="26" t="str">
        <x:v>Pasted text(20260812-103956).txt</x:v>
      </x:c>
      <x:c r="E161" s="26" t="str">
        <x:v>GAIN_SWEEP</x:v>
      </x:c>
      <x:c r="F161" s="26" t="n">
        <x:v>5</x:v>
      </x:c>
      <x:c r="G161" s="26" t="n">
        <x:v>1</x:v>
      </x:c>
      <x:c r="H161" s="26" t="n">
        <x:v>268</x:v>
      </x:c>
      <x:c r="I161" s="26" t="n">
        <x:v>14</x:v>
      </x:c>
      <x:c r="J161" s="26" t="n">
        <x:v>296.44955</x:v>
      </x:c>
      <x:c r="K161" s="26" t="n">
        <x:v>0.24894</x:v>
      </x:c>
      <x:c r="L161" s="26" t="n">
        <x:v>23.49</x:v>
      </x:c>
      <x:c r="M161" s="26" t="n">
        <x:v>268.08149</x:v>
      </x:c>
      <x:c r="N161" s="26" t="n">
        <x:v>0.904</x:v>
      </x:c>
      <x:c r="O161" s="26" t="n">
        <x:v>30.58</x:v>
      </x:c>
      <x:c r="P161" s="26" t="n">
        <x:v>268.01898</x:v>
      </x:c>
      <x:c r="Q161" s="26" t="n">
        <x:v>0.69848</x:v>
      </x:c>
      <x:c r="R161" s="26" t="n">
        <x:v>32.41</x:v>
      </x:c>
      <x:c r="S161" s="26" t="n">
        <x:v>267.93172</x:v>
      </x:c>
      <x:c r="T161" s="26" t="n">
        <x:v>0.17013</x:v>
      </x:c>
      <x:c r="U161" s="26" t="n">
        <x:v>268.08149</x:v>
      </x:c>
      <x:c r="V161" s="26" t="n">
        <x:v>0.904</x:v>
      </x:c>
      <x:c r="W161" s="26" t="n">
        <x:v>268.01898</x:v>
      </x:c>
      <x:c r="X161" s="26" t="n">
        <x:v>0.69848</x:v>
      </x:c>
      <x:c r="Y161" s="26" t="n">
        <x:v>268.05597</x:v>
      </x:c>
      <x:c r="Z161" s="26" t="n">
        <x:v>0.05597</x:v>
      </x:c>
      <x:c r="AA161" s="26" t="n">
        <x:v>0.16673</x:v>
      </x:c>
      <x:c r="AB161" s="26" t="n">
        <x:v>0.904</x:v>
      </x:c>
      <x:c r="AC161" s="26" t="n">
        <x:v>0.69848</x:v>
      </x:c>
      <x:c r="AD161" s="26" t="n">
        <x:v>1.15451</x:v>
      </x:c>
      <x:c r="AE161" s="26" t="n">
        <x:v>33.66</x:v>
      </x:c>
      <x:c r="AF161" s="26" t="str">
        <x:v>Y</x:v>
      </x:c>
      <x:c r="AG161" s="26" t="n">
        <x:v>0.20355</x:v>
      </x:c>
      <x:c r="AH161" s="26" t="n">
        <x:v>-133.85</x:v>
      </x:c>
      <x:c r="AI161" s="26" t="n">
        <x:v>0.369</x:v>
      </x:c>
      <x:c r="AJ161" s="26" t="n">
        <x:v>6.99</x:v>
      </x:c>
      <x:c r="AK161" s="26" t="n">
        <x:v>1.10322</x:v>
      </x:c>
      <x:c r="AL161" s="26" t="n">
        <x:v>-4.68</x:v>
      </x:c>
      <x:c r="AM161" s="26" t="n">
        <x:v>0.841</x:v>
      </x:c>
      <x:c r="AN161" s="26" t="n">
        <x:v>3.53</x:v>
      </x:c>
      <x:c r="AO161" s="26" t="n">
        <x:v>0.83177</x:v>
      </x:c>
      <x:c r="AP161" s="26" t="n">
        <x:v>-3.21</x:v>
      </x:c>
      <x:c r="AQ161" s="26" t="n">
        <x:v>0.879</x:v>
      </x:c>
      <x:c r="AR161" s="26" t="n">
        <x:v>3.19</x:v>
      </x:c>
      <x:c r="AS161" s="26" t="n">
        <x:v>1.39686</x:v>
      </x:c>
      <x:c r="AT161" s="26" t="n">
        <x:v>2.66</x:v>
      </x:c>
      <x:c r="AU161" s="26" t="n">
        <x:v>0.1457</x:v>
      </x:c>
      <x:c r="AV161" s="26" t="n">
        <x:v>0.7898</x:v>
      </x:c>
      <x:c r="AW161" s="26" t="n">
        <x:v>0.5955</x:v>
      </x:c>
      <x:c r="AX161" s="26" t="n">
        <x:v>1</x:v>
      </x:c>
    </x:row>
    <x:row r="162">
      <x:c r="A162" s="26" t="str">
        <x:v>INC-01</x:v>
      </x:c>
      <x:c r="B162" s="26" t="str">
        <x:v>Inclined / wearable-like</x:v>
      </x:c>
      <x:c r="C162" s="26" t="str">
        <x:v>As tested</x:v>
      </x:c>
      <x:c r="D162" s="26" t="str">
        <x:v>Pasted text(20260812-103956).txt</x:v>
      </x:c>
      <x:c r="E162" s="26" t="str">
        <x:v>GAIN_SWEEP</x:v>
      </x:c>
      <x:c r="F162" s="26" t="n">
        <x:v>6</x:v>
      </x:c>
      <x:c r="G162" s="26" t="n">
        <x:v>1</x:v>
      </x:c>
      <x:c r="H162" s="26" t="n">
        <x:v>268</x:v>
      </x:c>
      <x:c r="I162" s="26" t="n">
        <x:v>15</x:v>
      </x:c>
      <x:c r="J162" s="26" t="n">
        <x:v>296.56279</x:v>
      </x:c>
      <x:c r="K162" s="26" t="n">
        <x:v>0.26793</x:v>
      </x:c>
      <x:c r="L162" s="26" t="n">
        <x:v>24.1</x:v>
      </x:c>
      <x:c r="M162" s="26" t="n">
        <x:v>268.03178</x:v>
      </x:c>
      <x:c r="N162" s="26" t="n">
        <x:v>1.03292</x:v>
      </x:c>
      <x:c r="O162" s="26" t="n">
        <x:v>30.98</x:v>
      </x:c>
      <x:c r="P162" s="26" t="n">
        <x:v>268.04507</x:v>
      </x:c>
      <x:c r="Q162" s="26" t="n">
        <x:v>0.77559</x:v>
      </x:c>
      <x:c r="R162" s="26" t="n">
        <x:v>32.91</x:v>
      </x:c>
      <x:c r="S162" s="26" t="n">
        <x:v>268.06409</x:v>
      </x:c>
      <x:c r="T162" s="26" t="n">
        <x:v>0.18123</x:v>
      </x:c>
      <x:c r="U162" s="26" t="n">
        <x:v>268.03178</x:v>
      </x:c>
      <x:c r="V162" s="26" t="n">
        <x:v>1.03292</x:v>
      </x:c>
      <x:c r="W162" s="26" t="n">
        <x:v>268.04507</x:v>
      </x:c>
      <x:c r="X162" s="26" t="n">
        <x:v>0.77559</x:v>
      </x:c>
      <x:c r="Y162" s="26" t="n">
        <x:v>268.03711</x:v>
      </x:c>
      <x:c r="Z162" s="26" t="n">
        <x:v>0.03711</x:v>
      </x:c>
      <x:c r="AA162" s="26" t="n">
        <x:v>0.18123</x:v>
      </x:c>
      <x:c r="AB162" s="26" t="n">
        <x:v>1.03292</x:v>
      </x:c>
      <x:c r="AC162" s="26" t="n">
        <x:v>0.77559</x:v>
      </x:c>
      <x:c r="AD162" s="26" t="n">
        <x:v>1.30434</x:v>
      </x:c>
      <x:c r="AE162" s="26" t="n">
        <x:v>30.97</x:v>
      </x:c>
      <x:c r="AF162" s="26" t="str">
        <x:v>Y</x:v>
      </x:c>
      <x:c r="AG162" s="26" t="n">
        <x:v>0.21213</x:v>
      </x:c>
      <x:c r="AH162" s="26" t="n">
        <x:v>-134.37</x:v>
      </x:c>
      <x:c r="AI162" s="26" t="n">
        <x:v>0.379</x:v>
      </x:c>
      <x:c r="AJ162" s="26" t="n">
        <x:v>7.38</x:v>
      </x:c>
      <x:c r="AK162" s="26" t="n">
        <x:v>1.25491</x:v>
      </x:c>
      <x:c r="AL162" s="26" t="n">
        <x:v>-5.57</x:v>
      </x:c>
      <x:c r="AM162" s="26" t="n">
        <x:v>0.847</x:v>
      </x:c>
      <x:c r="AN162" s="26" t="n">
        <x:v>3.71</x:v>
      </x:c>
      <x:c r="AO162" s="26" t="n">
        <x:v>0.95502</x:v>
      </x:c>
      <x:c r="AP162" s="26" t="n">
        <x:v>-3.49</x:v>
      </x:c>
      <x:c r="AQ162" s="26" t="n">
        <x:v>0.886</x:v>
      </x:c>
      <x:c r="AR162" s="26" t="n">
        <x:v>2.42</x:v>
      </x:c>
      <x:c r="AS162" s="26" t="n">
        <x:v>1.59155</x:v>
      </x:c>
      <x:c r="AT162" s="26" t="n">
        <x:v>2.42</x:v>
      </x:c>
      <x:c r="AU162" s="26" t="n">
        <x:v>0.1333</x:v>
      </x:c>
      <x:c r="AV162" s="26" t="n">
        <x:v>0.7885</x:v>
      </x:c>
      <x:c r="AW162" s="26" t="n">
        <x:v>0.6001</x:v>
      </x:c>
      <x:c r="AX162" s="26" t="n">
        <x:v>1</x:v>
      </x:c>
    </x:row>
    <x:row r="163">
      <x:c r="A163" s="26" t="str">
        <x:v>INC-01</x:v>
      </x:c>
      <x:c r="B163" s="26" t="str">
        <x:v>Inclined / wearable-like</x:v>
      </x:c>
      <x:c r="C163" s="26" t="str">
        <x:v>As tested</x:v>
      </x:c>
      <x:c r="D163" s="26" t="str">
        <x:v>Pasted text(20260812-103956).txt</x:v>
      </x:c>
      <x:c r="E163" s="26" t="str">
        <x:v>GAIN_SWEEP</x:v>
      </x:c>
      <x:c r="F163" s="26" t="n">
        <x:v>7</x:v>
      </x:c>
      <x:c r="G163" s="26" t="n">
        <x:v>1</x:v>
      </x:c>
      <x:c r="H163" s="26" t="n">
        <x:v>268</x:v>
      </x:c>
      <x:c r="I163" s="26" t="n">
        <x:v>16</x:v>
      </x:c>
      <x:c r="J163" s="26" t="n">
        <x:v>296.83766</x:v>
      </x:c>
      <x:c r="K163" s="26" t="n">
        <x:v>0.27522</x:v>
      </x:c>
      <x:c r="L163" s="26" t="n">
        <x:v>24.32</x:v>
      </x:c>
      <x:c r="M163" s="26" t="n">
        <x:v>268.02134</x:v>
      </x:c>
      <x:c r="N163" s="26" t="n">
        <x:v>1.11833</x:v>
      </x:c>
      <x:c r="O163" s="26" t="n">
        <x:v>31.88</x:v>
      </x:c>
      <x:c r="P163" s="26" t="n">
        <x:v>268.02194</x:v>
      </x:c>
      <x:c r="Q163" s="26" t="n">
        <x:v>0.85736</x:v>
      </x:c>
      <x:c r="R163" s="26" t="n">
        <x:v>33.33</x:v>
      </x:c>
      <x:c r="S163" s="26" t="n">
        <x:v>267.98679</x:v>
      </x:c>
      <x:c r="T163" s="26" t="n">
        <x:v>0.19716</x:v>
      </x:c>
      <x:c r="U163" s="26" t="n">
        <x:v>268.02134</x:v>
      </x:c>
      <x:c r="V163" s="26" t="n">
        <x:v>1.11833</x:v>
      </x:c>
      <x:c r="W163" s="26" t="n">
        <x:v>268.02194</x:v>
      </x:c>
      <x:c r="X163" s="26" t="n">
        <x:v>0.85736</x:v>
      </x:c>
      <x:c r="Y163" s="26" t="n">
        <x:v>268.02092</x:v>
      </x:c>
      <x:c r="Z163" s="26" t="n">
        <x:v>0.02092</x:v>
      </x:c>
      <x:c r="AA163" s="26" t="n">
        <x:v>0.19716</x:v>
      </x:c>
      <x:c r="AB163" s="26" t="n">
        <x:v>1.11833</x:v>
      </x:c>
      <x:c r="AC163" s="26" t="n">
        <x:v>0.85736</x:v>
      </x:c>
      <x:c r="AD163" s="26" t="n">
        <x:v>1.42289</x:v>
      </x:c>
      <x:c r="AE163" s="26" t="n">
        <x:v>31.27</x:v>
      </x:c>
      <x:c r="AF163" s="26" t="str">
        <x:v>Y</x:v>
      </x:c>
      <x:c r="AG163" s="26" t="n">
        <x:v>0.24481</x:v>
      </x:c>
      <x:c r="AH163" s="26" t="n">
        <x:v>-128.85</x:v>
      </x:c>
      <x:c r="AI163" s="26" t="n">
        <x:v>0.435</x:v>
      </x:c>
      <x:c r="AJ163" s="26" t="n">
        <x:v>5.1</x:v>
      </x:c>
      <x:c r="AK163" s="26" t="n">
        <x:v>1.37327</x:v>
      </x:c>
      <x:c r="AL163" s="26" t="n">
        <x:v>-5.7</x:v>
      </x:c>
      <x:c r="AM163" s="26" t="n">
        <x:v>0.849</x:v>
      </x:c>
      <x:c r="AN163" s="26" t="n">
        <x:v>0.76</x:v>
      </x:c>
      <x:c r="AO163" s="26" t="n">
        <x:v>1.05855</x:v>
      </x:c>
      <x:c r="AP163" s="26" t="n">
        <x:v>-4.65</x:v>
      </x:c>
      <x:c r="AQ163" s="26" t="n">
        <x:v>0.909</x:v>
      </x:c>
      <x:c r="AR163" s="26" t="n">
        <x:v>2.26</x:v>
      </x:c>
      <x:c r="AS163" s="26" t="n">
        <x:v>1.75118</x:v>
      </x:c>
      <x:c r="AT163" s="26" t="n">
        <x:v>1.21</x:v>
      </x:c>
      <x:c r="AU163" s="26" t="n">
        <x:v>0.1398</x:v>
      </x:c>
      <x:c r="AV163" s="26" t="n">
        <x:v>0.7842</x:v>
      </x:c>
      <x:c r="AW163" s="26" t="n">
        <x:v>0.6045</x:v>
      </x:c>
      <x:c r="AX163" s="26" t="n">
        <x:v>1</x:v>
      </x:c>
    </x:row>
    <x:row r="164">
      <x:c r="A164" s="26" t="str">
        <x:v>INC-01</x:v>
      </x:c>
      <x:c r="B164" s="26" t="str">
        <x:v>Inclined / wearable-like</x:v>
      </x:c>
      <x:c r="C164" s="26" t="str">
        <x:v>As tested</x:v>
      </x:c>
      <x:c r="D164" s="26" t="str">
        <x:v>Pasted text(20260812-103956).txt</x:v>
      </x:c>
      <x:c r="E164" s="26" t="str">
        <x:v>GAIN_SWEEP</x:v>
      </x:c>
      <x:c r="F164" s="26" t="n">
        <x:v>8</x:v>
      </x:c>
      <x:c r="G164" s="26" t="n">
        <x:v>1</x:v>
      </x:c>
      <x:c r="H164" s="26" t="n">
        <x:v>268</x:v>
      </x:c>
      <x:c r="I164" s="26" t="n">
        <x:v>17</x:v>
      </x:c>
      <x:c r="J164" s="26" t="n">
        <x:v>210.80234</x:v>
      </x:c>
      <x:c r="K164" s="26" t="n">
        <x:v>0.30705</x:v>
      </x:c>
      <x:c r="L164" s="26" t="n">
        <x:v>23.8</x:v>
      </x:c>
      <x:c r="M164" s="26" t="n">
        <x:v>268.03309</x:v>
      </x:c>
      <x:c r="N164" s="26" t="n">
        <x:v>1.37943</x:v>
      </x:c>
      <x:c r="O164" s="26" t="n">
        <x:v>32.55</x:v>
      </x:c>
      <x:c r="P164" s="26" t="n">
        <x:v>268.02065</x:v>
      </x:c>
      <x:c r="Q164" s="26" t="n">
        <x:v>1.04504</x:v>
      </x:c>
      <x:c r="R164" s="26" t="n">
        <x:v>34.2</x:v>
      </x:c>
      <x:c r="S164" s="26" t="n">
        <x:v>268.02015</x:v>
      </x:c>
      <x:c r="T164" s="26" t="n">
        <x:v>0.17138</x:v>
      </x:c>
      <x:c r="U164" s="26" t="n">
        <x:v>268.03309</x:v>
      </x:c>
      <x:c r="V164" s="26" t="n">
        <x:v>1.37943</x:v>
      </x:c>
      <x:c r="W164" s="26" t="n">
        <x:v>268.02065</x:v>
      </x:c>
      <x:c r="X164" s="26" t="n">
        <x:v>1.04504</x:v>
      </x:c>
      <x:c r="Y164" s="26" t="n">
        <x:v>268.02851</x:v>
      </x:c>
      <x:c r="Z164" s="26" t="n">
        <x:v>0.02851</x:v>
      </x:c>
      <x:c r="AA164" s="26" t="n">
        <x:v>0.17138</x:v>
      </x:c>
      <x:c r="AB164" s="26" t="n">
        <x:v>1.37943</x:v>
      </x:c>
      <x:c r="AC164" s="26" t="n">
        <x:v>1.04504</x:v>
      </x:c>
      <x:c r="AD164" s="26" t="n">
        <x:v>1.73905</x:v>
      </x:c>
      <x:c r="AE164" s="26" t="n">
        <x:v>30.57</x:v>
      </x:c>
      <x:c r="AF164" s="26" t="str">
        <x:v>Y</x:v>
      </x:c>
      <x:c r="AG164" s="26" t="n">
        <x:v>0.22369</x:v>
      </x:c>
      <x:c r="AH164" s="26" t="n">
        <x:v>-143.06</x:v>
      </x:c>
      <x:c r="AI164" s="26" t="n">
        <x:v>0.358</x:v>
      </x:c>
      <x:c r="AJ164" s="26" t="n">
        <x:v>6.76</x:v>
      </x:c>
      <x:c r="AK164" s="26" t="n">
        <x:v>1.67639</x:v>
      </x:c>
      <x:c r="AL164" s="26" t="n">
        <x:v>-7.13</x:v>
      </x:c>
      <x:c r="AM164" s="26" t="n">
        <x:v>0.879</x:v>
      </x:c>
      <x:c r="AN164" s="26" t="n">
        <x:v>2.2</x:v>
      </x:c>
      <x:c r="AO164" s="26" t="n">
        <x:v>1.2371</x:v>
      </x:c>
      <x:c r="AP164" s="26" t="n">
        <x:v>-3.93</x:v>
      </x:c>
      <x:c r="AQ164" s="26" t="n">
        <x:v>0.917</x:v>
      </x:c>
      <x:c r="AR164" s="26" t="n">
        <x:v>1.32</x:v>
      </x:c>
      <x:c r="AS164" s="26" t="n">
        <x:v>2.09557</x:v>
      </x:c>
      <x:c r="AT164" s="26" t="n">
        <x:v>1.52</x:v>
      </x:c>
      <x:c r="AU164" s="26" t="n">
        <x:v>0.1067</x:v>
      </x:c>
      <x:c r="AV164" s="26" t="n">
        <x:v>0.8</x:v>
      </x:c>
      <x:c r="AW164" s="26" t="n">
        <x:v>0.5903</x:v>
      </x:c>
      <x:c r="AX164" s="26" t="n">
        <x:v>1</x:v>
      </x:c>
    </x:row>
    <x:row r="165">
      <x:c r="A165" s="26" t="str">
        <x:v>INC-01</x:v>
      </x:c>
      <x:c r="B165" s="26" t="str">
        <x:v>Inclined / wearable-like</x:v>
      </x:c>
      <x:c r="C165" s="26" t="str">
        <x:v>As tested</x:v>
      </x:c>
      <x:c r="D165" s="26" t="str">
        <x:v>Pasted text(20260812-103956).txt</x:v>
      </x:c>
      <x:c r="E165" s="26" t="str">
        <x:v>GAIN_SWEEP</x:v>
      </x:c>
      <x:c r="F165" s="26" t="n">
        <x:v>9</x:v>
      </x:c>
      <x:c r="G165" s="26" t="n">
        <x:v>1</x:v>
      </x:c>
      <x:c r="H165" s="26" t="n">
        <x:v>268</x:v>
      </x:c>
      <x:c r="I165" s="26" t="n">
        <x:v>18</x:v>
      </x:c>
      <x:c r="J165" s="26" t="n">
        <x:v>296.72253</x:v>
      </x:c>
      <x:c r="K165" s="26" t="n">
        <x:v>0.28178</x:v>
      </x:c>
      <x:c r="L165" s="26" t="n">
        <x:v>23.36</x:v>
      </x:c>
      <x:c r="M165" s="26" t="n">
        <x:v>268.0364</x:v>
      </x:c>
      <x:c r="N165" s="26" t="n">
        <x:v>1.52415</x:v>
      </x:c>
      <x:c r="O165" s="26" t="n">
        <x:v>33.4</x:v>
      </x:c>
      <x:c r="P165" s="26" t="n">
        <x:v>268.01826</x:v>
      </x:c>
      <x:c r="Q165" s="26" t="n">
        <x:v>1.13612</x:v>
      </x:c>
      <x:c r="R165" s="26" t="n">
        <x:v>35.09</x:v>
      </x:c>
      <x:c r="S165" s="26" t="n">
        <x:v>267.92005</x:v>
      </x:c>
      <x:c r="T165" s="26" t="n">
        <x:v>0.19206</x:v>
      </x:c>
      <x:c r="U165" s="26" t="n">
        <x:v>268.0364</x:v>
      </x:c>
      <x:c r="V165" s="26" t="n">
        <x:v>1.52415</x:v>
      </x:c>
      <x:c r="W165" s="26" t="n">
        <x:v>268.01826</x:v>
      </x:c>
      <x:c r="X165" s="26" t="n">
        <x:v>1.13612</x:v>
      </x:c>
      <x:c r="Y165" s="26" t="n">
        <x:v>268.02892</x:v>
      </x:c>
      <x:c r="Z165" s="26" t="n">
        <x:v>0.02892</x:v>
      </x:c>
      <x:c r="AA165" s="26" t="n">
        <x:v>0.18724</x:v>
      </x:c>
      <x:c r="AB165" s="26" t="n">
        <x:v>1.52415</x:v>
      </x:c>
      <x:c r="AC165" s="26" t="n">
        <x:v>1.13612</x:v>
      </x:c>
      <x:c r="AD165" s="26" t="n">
        <x:v>1.9102</x:v>
      </x:c>
      <x:c r="AE165" s="26" t="n">
        <x:v>32.93</x:v>
      </x:c>
      <x:c r="AF165" s="26" t="str">
        <x:v>Y</x:v>
      </x:c>
      <x:c r="AG165" s="26" t="n">
        <x:v>0.23297</x:v>
      </x:c>
      <x:c r="AH165" s="26" t="n">
        <x:v>-155.28</x:v>
      </x:c>
      <x:c r="AI165" s="26" t="n">
        <x:v>0.389</x:v>
      </x:c>
      <x:c r="AJ165" s="26" t="n">
        <x:v>9.93</x:v>
      </x:c>
      <x:c r="AK165" s="26" t="n">
        <x:v>1.93869</x:v>
      </x:c>
      <x:c r="AL165" s="26" t="n">
        <x:v>-6.32</x:v>
      </x:c>
      <x:c r="AM165" s="26" t="n">
        <x:v>0.895</x:v>
      </x:c>
      <x:c r="AN165" s="26" t="n">
        <x:v>2.65</x:v>
      </x:c>
      <x:c r="AO165" s="26" t="n">
        <x:v>1.45442</x:v>
      </x:c>
      <x:c r="AP165" s="26" t="n">
        <x:v>-3.31</x:v>
      </x:c>
      <x:c r="AQ165" s="26" t="n">
        <x:v>0.92</x:v>
      </x:c>
      <x:c r="AR165" s="26" t="n">
        <x:v>2.03</x:v>
      </x:c>
      <x:c r="AS165" s="26" t="n">
        <x:v>2.43526</x:v>
      </x:c>
      <x:c r="AT165" s="26" t="n">
        <x:v>1.36</x:v>
      </x:c>
      <x:c r="AU165" s="26" t="n">
        <x:v>0.0957</x:v>
      </x:c>
      <x:c r="AV165" s="26" t="n">
        <x:v>0.7961</x:v>
      </x:c>
      <x:c r="AW165" s="26" t="n">
        <x:v>0.5972</x:v>
      </x:c>
      <x:c r="AX165" s="26" t="n">
        <x:v>1</x:v>
      </x:c>
    </x:row>
    <x:row r="166">
      <x:c r="A166" s="26" t="str">
        <x:v>INC-01</x:v>
      </x:c>
      <x:c r="B166" s="26" t="str">
        <x:v>Inclined / wearable-like</x:v>
      </x:c>
      <x:c r="C166" s="26" t="str">
        <x:v>As tested</x:v>
      </x:c>
      <x:c r="D166" s="26" t="str">
        <x:v>Pasted text(20260812-103956).txt</x:v>
      </x:c>
      <x:c r="E166" s="26" t="str">
        <x:v>GAIN_SWEEP</x:v>
      </x:c>
      <x:c r="F166" s="26" t="n">
        <x:v>10</x:v>
      </x:c>
      <x:c r="G166" s="26" t="n">
        <x:v>1</x:v>
      </x:c>
      <x:c r="H166" s="26" t="n">
        <x:v>268</x:v>
      </x:c>
      <x:c r="I166" s="26" t="n">
        <x:v>19</x:v>
      </x:c>
      <x:c r="J166" s="26" t="n">
        <x:v>210.72021</x:v>
      </x:c>
      <x:c r="K166" s="26" t="n">
        <x:v>0.27672</x:v>
      </x:c>
      <x:c r="L166" s="26" t="n">
        <x:v>22.62</x:v>
      </x:c>
      <x:c r="M166" s="26" t="n">
        <x:v>268.02631</x:v>
      </x:c>
      <x:c r="N166" s="26" t="n">
        <x:v>1.73996</x:v>
      </x:c>
      <x:c r="O166" s="26" t="n">
        <x:v>33.39</x:v>
      </x:c>
      <x:c r="P166" s="26" t="n">
        <x:v>268.0446</x:v>
      </x:c>
      <x:c r="Q166" s="26" t="n">
        <x:v>1.29541</x:v>
      </x:c>
      <x:c r="R166" s="26" t="n">
        <x:v>35.21</x:v>
      </x:c>
      <x:c r="S166" s="26" t="n">
        <x:v>267.96604</x:v>
      </x:c>
      <x:c r="T166" s="26" t="n">
        <x:v>0.199</x:v>
      </x:c>
      <x:c r="U166" s="26" t="n">
        <x:v>268.02631</x:v>
      </x:c>
      <x:c r="V166" s="26" t="n">
        <x:v>1.73996</x:v>
      </x:c>
      <x:c r="W166" s="26" t="n">
        <x:v>268.0446</x:v>
      </x:c>
      <x:c r="X166" s="26" t="n">
        <x:v>1.29541</x:v>
      </x:c>
      <x:c r="Y166" s="26" t="n">
        <x:v>268.03233</x:v>
      </x:c>
      <x:c r="Z166" s="26" t="n">
        <x:v>0.03233</x:v>
      </x:c>
      <x:c r="AA166" s="26" t="n">
        <x:v>0.19872</x:v>
      </x:c>
      <x:c r="AB166" s="26" t="n">
        <x:v>1.73996</x:v>
      </x:c>
      <x:c r="AC166" s="26" t="n">
        <x:v>1.29541</x:v>
      </x:c>
      <x:c r="AD166" s="26" t="n">
        <x:v>2.17831</x:v>
      </x:c>
      <x:c r="AE166" s="26" t="n">
        <x:v>34.14</x:v>
      </x:c>
      <x:c r="AF166" s="26" t="str">
        <x:v>Y</x:v>
      </x:c>
      <x:c r="AG166" s="26" t="n">
        <x:v>0.24827</x:v>
      </x:c>
      <x:c r="AH166" s="26" t="n">
        <x:v>-155.4</x:v>
      </x:c>
      <x:c r="AI166" s="26" t="n">
        <x:v>0.378</x:v>
      </x:c>
      <x:c r="AJ166" s="26" t="n">
        <x:v>8.02</x:v>
      </x:c>
      <x:c r="AK166" s="26" t="n">
        <x:v>2.09433</x:v>
      </x:c>
      <x:c r="AL166" s="26" t="n">
        <x:v>-8.08</x:v>
      </x:c>
      <x:c r="AM166" s="26" t="n">
        <x:v>0.884</x:v>
      </x:c>
      <x:c r="AN166" s="26" t="n">
        <x:v>2.29</x:v>
      </x:c>
      <x:c r="AO166" s="26" t="n">
        <x:v>1.57841</x:v>
      </x:c>
      <x:c r="AP166" s="26" t="n">
        <x:v>-3.09</x:v>
      </x:c>
      <x:c r="AQ166" s="26" t="n">
        <x:v>0.929</x:v>
      </x:c>
      <x:c r="AR166" s="26" t="n">
        <x:v>1.44</x:v>
      </x:c>
      <x:c r="AS166" s="26" t="n">
        <x:v>2.63455</x:v>
      </x:c>
      <x:c r="AT166" s="26" t="n">
        <x:v>1.32</x:v>
      </x:c>
      <x:c r="AU166" s="26" t="n">
        <x:v>0.0942</x:v>
      </x:c>
      <x:c r="AV166" s="26" t="n">
        <x:v>0.7949</x:v>
      </x:c>
      <x:c r="AW166" s="26" t="n">
        <x:v>0.5991</x:v>
      </x:c>
      <x:c r="AX166" s="26" t="n">
        <x:v>1</x:v>
      </x:c>
    </x:row>
    <x:row r="167">
      <x:c r="A167" s="26" t="str">
        <x:v>INC-01</x:v>
      </x:c>
      <x:c r="B167" s="26" t="str">
        <x:v>Inclined / wearable-like</x:v>
      </x:c>
      <x:c r="C167" s="26" t="str">
        <x:v>As tested</x:v>
      </x:c>
      <x:c r="D167" s="26" t="str">
        <x:v>Pasted text(20260812-103956).txt</x:v>
      </x:c>
      <x:c r="E167" s="26" t="str">
        <x:v>GAIN_SWEEP</x:v>
      </x:c>
      <x:c r="F167" s="26" t="n">
        <x:v>11</x:v>
      </x:c>
      <x:c r="G167" s="26" t="n">
        <x:v>1</x:v>
      </x:c>
      <x:c r="H167" s="26" t="n">
        <x:v>268</x:v>
      </x:c>
      <x:c r="I167" s="26" t="n">
        <x:v>20</x:v>
      </x:c>
      <x:c r="J167" s="26" t="n">
        <x:v>296.81849</x:v>
      </x:c>
      <x:c r="K167" s="26" t="n">
        <x:v>0.36462</x:v>
      </x:c>
      <x:c r="L167" s="26" t="n">
        <x:v>24.76</x:v>
      </x:c>
      <x:c r="M167" s="26" t="n">
        <x:v>268.02483</x:v>
      </x:c>
      <x:c r="N167" s="26" t="n">
        <x:v>1.86744</x:v>
      </x:c>
      <x:c r="O167" s="26" t="n">
        <x:v>33.77</x:v>
      </x:c>
      <x:c r="P167" s="26" t="n">
        <x:v>268.03716</x:v>
      </x:c>
      <x:c r="Q167" s="26" t="n">
        <x:v>1.40476</x:v>
      </x:c>
      <x:c r="R167" s="26" t="n">
        <x:v>36.36</x:v>
      </x:c>
      <x:c r="S167" s="26" t="n">
        <x:v>267.99767</x:v>
      </x:c>
      <x:c r="T167" s="26" t="n">
        <x:v>0.2107</x:v>
      </x:c>
      <x:c r="U167" s="26" t="n">
        <x:v>268.02483</x:v>
      </x:c>
      <x:c r="V167" s="26" t="n">
        <x:v>1.86744</x:v>
      </x:c>
      <x:c r="W167" s="26" t="n">
        <x:v>268.03716</x:v>
      </x:c>
      <x:c r="X167" s="26" t="n">
        <x:v>1.40476</x:v>
      </x:c>
      <x:c r="Y167" s="26" t="n">
        <x:v>268.02902</x:v>
      </x:c>
      <x:c r="Z167" s="26" t="n">
        <x:v>0.02902</x:v>
      </x:c>
      <x:c r="AA167" s="26" t="n">
        <x:v>0.2107</x:v>
      </x:c>
      <x:c r="AB167" s="26" t="n">
        <x:v>1.86744</x:v>
      </x:c>
      <x:c r="AC167" s="26" t="n">
        <x:v>1.40476</x:v>
      </x:c>
      <x:c r="AD167" s="26" t="n">
        <x:v>2.34629</x:v>
      </x:c>
      <x:c r="AE167" s="26" t="n">
        <x:v>33.87</x:v>
      </x:c>
      <x:c r="AF167" s="26" t="str">
        <x:v>Y</x:v>
      </x:c>
      <x:c r="AG167" s="26" t="n">
        <x:v>0.268</x:v>
      </x:c>
      <x:c r="AH167" s="26" t="n">
        <x:v>-154.72</x:v>
      </x:c>
      <x:c r="AI167" s="26" t="n">
        <x:v>0.362</x:v>
      </x:c>
      <x:c r="AJ167" s="26" t="n">
        <x:v>4.08</x:v>
      </x:c>
      <x:c r="AK167" s="26" t="n">
        <x:v>2.22958</x:v>
      </x:c>
      <x:c r="AL167" s="26" t="n">
        <x:v>-6.76</x:v>
      </x:c>
      <x:c r="AM167" s="26" t="n">
        <x:v>0.89</x:v>
      </x:c>
      <x:c r="AN167" s="26" t="n">
        <x:v>2.6</x:v>
      </x:c>
      <x:c r="AO167" s="26" t="n">
        <x:v>1.66745</x:v>
      </x:c>
      <x:c r="AP167" s="26" t="n">
        <x:v>-2.59</x:v>
      </x:c>
      <x:c r="AQ167" s="26" t="n">
        <x:v>0.923</x:v>
      </x:c>
      <x:c r="AR167" s="26" t="n">
        <x:v>1.59</x:v>
      </x:c>
      <x:c r="AS167" s="26" t="n">
        <x:v>2.79743</x:v>
      </x:c>
      <x:c r="AT167" s="26" t="n">
        <x:v>1.26</x:v>
      </x:c>
      <x:c r="AU167" s="26" t="n">
        <x:v>0.0958</x:v>
      </x:c>
      <x:c r="AV167" s="26" t="n">
        <x:v>0.797</x:v>
      </x:c>
      <x:c r="AW167" s="26" t="n">
        <x:v>0.5961</x:v>
      </x:c>
      <x:c r="AX167" s="26" t="n">
        <x:v>1</x:v>
      </x:c>
    </x:row>
    <x:row r="168">
      <x:c r="A168" s="26" t="str">
        <x:v>INC-01</x:v>
      </x:c>
      <x:c r="B168" s="26" t="str">
        <x:v>Inclined / wearable-like</x:v>
      </x:c>
      <x:c r="C168" s="26" t="str">
        <x:v>As tested</x:v>
      </x:c>
      <x:c r="D168" s="26" t="str">
        <x:v>Pasted text(20260812-103956).txt</x:v>
      </x:c>
      <x:c r="E168" s="26" t="str">
        <x:v>GAIN_SWEEP</x:v>
      </x:c>
      <x:c r="F168" s="26" t="n">
        <x:v>12</x:v>
      </x:c>
      <x:c r="G168" s="26" t="n">
        <x:v>1</x:v>
      </x:c>
      <x:c r="H168" s="26" t="n">
        <x:v>268</x:v>
      </x:c>
      <x:c r="I168" s="26" t="n">
        <x:v>21</x:v>
      </x:c>
      <x:c r="J168" s="26" t="n">
        <x:v>268.04301</x:v>
      </x:c>
      <x:c r="K168" s="26" t="n">
        <x:v>0.23043</x:v>
      </x:c>
      <x:c r="L168" s="26" t="n">
        <x:v>21.41</x:v>
      </x:c>
      <x:c r="M168" s="26" t="n">
        <x:v>268.02118</x:v>
      </x:c>
      <x:c r="N168" s="26" t="n">
        <x:v>1.99892</x:v>
      </x:c>
      <x:c r="O168" s="26" t="n">
        <x:v>35.17</x:v>
      </x:c>
      <x:c r="P168" s="26" t="n">
        <x:v>268.02613</x:v>
      </x:c>
      <x:c r="Q168" s="26" t="n">
        <x:v>1.49298</x:v>
      </x:c>
      <x:c r="R168" s="26" t="n">
        <x:v>36.17</x:v>
      </x:c>
      <x:c r="S168" s="26" t="n">
        <x:v>268.04301</x:v>
      </x:c>
      <x:c r="T168" s="26" t="n">
        <x:v>0.23043</x:v>
      </x:c>
      <x:c r="U168" s="26" t="n">
        <x:v>268.02118</x:v>
      </x:c>
      <x:c r="V168" s="26" t="n">
        <x:v>1.99892</x:v>
      </x:c>
      <x:c r="W168" s="26" t="n">
        <x:v>268.02613</x:v>
      </x:c>
      <x:c r="X168" s="26" t="n">
        <x:v>1.49298</x:v>
      </x:c>
      <x:c r="Y168" s="26" t="n">
        <x:v>268.02313</x:v>
      </x:c>
      <x:c r="Z168" s="26" t="n">
        <x:v>0.02313</x:v>
      </x:c>
      <x:c r="AA168" s="26" t="n">
        <x:v>0.23043</x:v>
      </x:c>
      <x:c r="AB168" s="26" t="n">
        <x:v>1.99892</x:v>
      </x:c>
      <x:c r="AC168" s="26" t="n">
        <x:v>1.49298</x:v>
      </x:c>
      <x:c r="AD168" s="26" t="n">
        <x:v>2.50555</x:v>
      </x:c>
      <x:c r="AE168" s="26" t="n">
        <x:v>34.45</x:v>
      </x:c>
      <x:c r="AF168" s="26" t="str">
        <x:v>Y</x:v>
      </x:c>
      <x:c r="AG168" s="26" t="n">
        <x:v>0.35211</x:v>
      </x:c>
      <x:c r="AH168" s="26" t="n">
        <x:v>-140.8</x:v>
      </x:c>
      <x:c r="AI168" s="26" t="n">
        <x:v>0.533</x:v>
      </x:c>
      <x:c r="AJ168" s="26" t="n">
        <x:v>18.36</x:v>
      </x:c>
      <x:c r="AK168" s="26" t="n">
        <x:v>2.32485</x:v>
      </x:c>
      <x:c r="AL168" s="26" t="n">
        <x:v>-8.39</x:v>
      </x:c>
      <x:c r="AM168" s="26" t="n">
        <x:v>0.914</x:v>
      </x:c>
      <x:c r="AN168" s="26" t="n">
        <x:v>3.15</x:v>
      </x:c>
      <x:c r="AO168" s="26" t="n">
        <x:v>1.74133</x:v>
      </x:c>
      <x:c r="AP168" s="26" t="n">
        <x:v>-5.12</x:v>
      </x:c>
      <x:c r="AQ168" s="26" t="n">
        <x:v>0.933</x:v>
      </x:c>
      <x:c r="AR168" s="26" t="n">
        <x:v>4.09</x:v>
      </x:c>
      <x:c r="AS168" s="26" t="n">
        <x:v>2.92673</x:v>
      </x:c>
      <x:c r="AT168" s="26" t="n">
        <x:v>3.22</x:v>
      </x:c>
      <x:c r="AU168" s="26" t="n">
        <x:v>0.1203</x:v>
      </x:c>
      <x:c r="AV168" s="26" t="n">
        <x:v>0.7944</x:v>
      </x:c>
      <x:c r="AW168" s="26" t="n">
        <x:v>0.595</x:v>
      </x:c>
      <x:c r="AX168" s="26" t="n">
        <x:v>1</x:v>
      </x:c>
    </x:row>
    <x:row r="169">
      <x:c r="A169" s="26" t="str">
        <x:v>INC-01</x:v>
      </x:c>
      <x:c r="B169" s="26" t="str">
        <x:v>Inclined / wearable-like</x:v>
      </x:c>
      <x:c r="C169" s="26" t="str">
        <x:v>As tested</x:v>
      </x:c>
      <x:c r="D169" s="26" t="str">
        <x:v>Pasted text(20260812-103956).txt</x:v>
      </x:c>
      <x:c r="E169" s="26" t="str">
        <x:v>GAIN_SWEEP</x:v>
      </x:c>
      <x:c r="F169" s="26" t="n">
        <x:v>13</x:v>
      </x:c>
      <x:c r="G169" s="26" t="n">
        <x:v>1</x:v>
      </x:c>
      <x:c r="H169" s="26" t="n">
        <x:v>268</x:v>
      </x:c>
      <x:c r="I169" s="26" t="n">
        <x:v>22</x:v>
      </x:c>
      <x:c r="J169" s="26" t="n">
        <x:v>268.04097</x:v>
      </x:c>
      <x:c r="K169" s="26" t="n">
        <x:v>0.35209</x:v>
      </x:c>
      <x:c r="L169" s="26" t="n">
        <x:v>25.32</x:v>
      </x:c>
      <x:c r="M169" s="26" t="n">
        <x:v>268.02842</x:v>
      </x:c>
      <x:c r="N169" s="26" t="n">
        <x:v>1.98449</x:v>
      </x:c>
      <x:c r="O169" s="26" t="n">
        <x:v>35.04</x:v>
      </x:c>
      <x:c r="P169" s="26" t="n">
        <x:v>268.02904</x:v>
      </x:c>
      <x:c r="Q169" s="26" t="n">
        <x:v>1.4713</x:v>
      </x:c>
      <x:c r="R169" s="26" t="n">
        <x:v>36.05</x:v>
      </x:c>
      <x:c r="S169" s="26" t="n">
        <x:v>268.04097</x:v>
      </x:c>
      <x:c r="T169" s="26" t="n">
        <x:v>0.35209</x:v>
      </x:c>
      <x:c r="U169" s="26" t="n">
        <x:v>268.02842</x:v>
      </x:c>
      <x:c r="V169" s="26" t="n">
        <x:v>1.98449</x:v>
      </x:c>
      <x:c r="W169" s="26" t="n">
        <x:v>268.02904</x:v>
      </x:c>
      <x:c r="X169" s="26" t="n">
        <x:v>1.4713</x:v>
      </x:c>
      <x:c r="Y169" s="26" t="n">
        <x:v>268.02889</x:v>
      </x:c>
      <x:c r="Z169" s="26" t="n">
        <x:v>0.02889</x:v>
      </x:c>
      <x:c r="AA169" s="26" t="n">
        <x:v>0.35209</x:v>
      </x:c>
      <x:c r="AB169" s="26" t="n">
        <x:v>1.98449</x:v>
      </x:c>
      <x:c r="AC169" s="26" t="n">
        <x:v>1.4713</x:v>
      </x:c>
      <x:c r="AD169" s="26" t="n">
        <x:v>2.49538</x:v>
      </x:c>
      <x:c r="AE169" s="26" t="n">
        <x:v>33.98</x:v>
      </x:c>
      <x:c r="AF169" s="26" t="str">
        <x:v>Y</x:v>
      </x:c>
      <x:c r="AG169" s="26" t="n">
        <x:v>0.42065</x:v>
      </x:c>
      <x:c r="AH169" s="26" t="n">
        <x:v>-137.96</x:v>
      </x:c>
      <x:c r="AI169" s="26" t="n">
        <x:v>0.596</x:v>
      </x:c>
      <x:c r="AJ169" s="26" t="n">
        <x:v>3.61</x:v>
      </x:c>
      <x:c r="AK169" s="26" t="n">
        <x:v>2.39874</x:v>
      </x:c>
      <x:c r="AL169" s="26" t="n">
        <x:v>-8.41</x:v>
      </x:c>
      <x:c r="AM169" s="26" t="n">
        <x:v>0.922</x:v>
      </x:c>
      <x:c r="AN169" s="26" t="n">
        <x:v>1</x:v>
      </x:c>
      <x:c r="AO169" s="26" t="n">
        <x:v>1.77484</x:v>
      </x:c>
      <x:c r="AP169" s="26" t="n">
        <x:v>-6.62</x:v>
      </x:c>
      <x:c r="AQ169" s="26" t="n">
        <x:v>0.933</x:v>
      </x:c>
      <x:c r="AR169" s="26" t="n">
        <x:v>0.78</x:v>
      </x:c>
      <x:c r="AS169" s="26" t="n">
        <x:v>3.01357</x:v>
      </x:c>
      <x:c r="AT169" s="26" t="n">
        <x:v>0.47</x:v>
      </x:c>
      <x:c r="AU169" s="26" t="n">
        <x:v>0.1396</x:v>
      </x:c>
      <x:c r="AV169" s="26" t="n">
        <x:v>0.796</x:v>
      </x:c>
      <x:c r="AW169" s="26" t="n">
        <x:v>0.589</x:v>
      </x:c>
      <x:c r="AX169" s="26" t="n">
        <x:v>1</x:v>
      </x:c>
    </x:row>
    <x:row r="170">
      <x:c r="A170" s="26" t="str">
        <x:v>INC-01</x:v>
      </x:c>
      <x:c r="B170" s="26" t="str">
        <x:v>Inclined / wearable-like</x:v>
      </x:c>
      <x:c r="C170" s="26" t="str">
        <x:v>As tested</x:v>
      </x:c>
      <x:c r="D170" s="26" t="str">
        <x:v>Pasted text(20260812-103956).txt</x:v>
      </x:c>
      <x:c r="E170" s="26" t="str">
        <x:v>GAIN_SWEEP</x:v>
      </x:c>
      <x:c r="F170" s="26" t="n">
        <x:v>14</x:v>
      </x:c>
      <x:c r="G170" s="26" t="n">
        <x:v>1</x:v>
      </x:c>
      <x:c r="H170" s="26" t="n">
        <x:v>268</x:v>
      </x:c>
      <x:c r="I170" s="26" t="n">
        <x:v>23</x:v>
      </x:c>
      <x:c r="J170" s="26" t="n">
        <x:v>268.03895</x:v>
      </x:c>
      <x:c r="K170" s="26" t="n">
        <x:v>0.35987</x:v>
      </x:c>
      <x:c r="L170" s="26" t="n">
        <x:v>25.04</x:v>
      </x:c>
      <x:c r="M170" s="26" t="n">
        <x:v>268.03473</x:v>
      </x:c>
      <x:c r="N170" s="26" t="n">
        <x:v>2.08517</x:v>
      </x:c>
      <x:c r="O170" s="26" t="n">
        <x:v>34.8</x:v>
      </x:c>
      <x:c r="P170" s="26" t="n">
        <x:v>268.02811</x:v>
      </x:c>
      <x:c r="Q170" s="26" t="n">
        <x:v>1.51869</x:v>
      </x:c>
      <x:c r="R170" s="26" t="n">
        <x:v>36.52</x:v>
      </x:c>
      <x:c r="S170" s="26" t="n">
        <x:v>268.03895</x:v>
      </x:c>
      <x:c r="T170" s="26" t="n">
        <x:v>0.35987</x:v>
      </x:c>
      <x:c r="U170" s="26" t="n">
        <x:v>268.03473</x:v>
      </x:c>
      <x:c r="V170" s="26" t="n">
        <x:v>2.08517</x:v>
      </x:c>
      <x:c r="W170" s="26" t="n">
        <x:v>268.02811</x:v>
      </x:c>
      <x:c r="X170" s="26" t="n">
        <x:v>1.51869</x:v>
      </x:c>
      <x:c r="Y170" s="26" t="n">
        <x:v>268.03256</x:v>
      </x:c>
      <x:c r="Z170" s="26" t="n">
        <x:v>0.03256</x:v>
      </x:c>
      <x:c r="AA170" s="26" t="n">
        <x:v>0.35987</x:v>
      </x:c>
      <x:c r="AB170" s="26" t="n">
        <x:v>2.08517</x:v>
      </x:c>
      <x:c r="AC170" s="26" t="n">
        <x:v>1.51869</x:v>
      </x:c>
      <x:c r="AD170" s="26" t="n">
        <x:v>2.60458</x:v>
      </x:c>
      <x:c r="AE170" s="26" t="n">
        <x:v>35.59</x:v>
      </x:c>
      <x:c r="AF170" s="26" t="str">
        <x:v>Y</x:v>
      </x:c>
      <x:c r="AG170" s="26" t="n">
        <x:v>0.43219</x:v>
      </x:c>
      <x:c r="AH170" s="26" t="n">
        <x:v>-137.52</x:v>
      </x:c>
      <x:c r="AI170" s="26" t="n">
        <x:v>0.593</x:v>
      </x:c>
      <x:c r="AJ170" s="26" t="n">
        <x:v>3.75</x:v>
      </x:c>
      <x:c r="AK170" s="26" t="n">
        <x:v>2.50002</x:v>
      </x:c>
      <x:c r="AL170" s="26" t="n">
        <x:v>-9.12</x:v>
      </x:c>
      <x:c r="AM170" s="26" t="n">
        <x:v>0.913</x:v>
      </x:c>
      <x:c r="AN170" s="26" t="n">
        <x:v>1.34</x:v>
      </x:c>
      <x:c r="AO170" s="26" t="n">
        <x:v>1.85654</x:v>
      </x:c>
      <x:c r="AP170" s="26" t="n">
        <x:v>-6.29</x:v>
      </x:c>
      <x:c r="AQ170" s="26" t="n">
        <x:v>0.934</x:v>
      </x:c>
      <x:c r="AR170" s="26" t="n">
        <x:v>1.27</x:v>
      </x:c>
      <x:c r="AS170" s="26" t="n">
        <x:v>3.14401</x:v>
      </x:c>
      <x:c r="AT170" s="26" t="n">
        <x:v>0.69</x:v>
      </x:c>
      <x:c r="AU170" s="26" t="n">
        <x:v>0.1375</x:v>
      </x:c>
      <x:c r="AV170" s="26" t="n">
        <x:v>0.7952</x:v>
      </x:c>
      <x:c r="AW170" s="26" t="n">
        <x:v>0.5905</x:v>
      </x:c>
      <x:c r="AX170" s="26" t="n">
        <x:v>1</x:v>
      </x:c>
    </x:row>
    <x:row r="171">
      <x:c r="A171" s="26" t="str">
        <x:v>INC-01</x:v>
      </x:c>
      <x:c r="B171" s="26" t="str">
        <x:v>Inclined / wearable-like</x:v>
      </x:c>
      <x:c r="C171" s="26" t="str">
        <x:v>As tested</x:v>
      </x:c>
      <x:c r="D171" s="26" t="str">
        <x:v>Pasted text(20260812-103956).txt</x:v>
      </x:c>
      <x:c r="E171" s="26" t="str">
        <x:v>GAIN_SWEEP</x:v>
      </x:c>
      <x:c r="F171" s="26" t="n">
        <x:v>15</x:v>
      </x:c>
      <x:c r="G171" s="26" t="n">
        <x:v>1</x:v>
      </x:c>
      <x:c r="H171" s="26" t="n">
        <x:v>268</x:v>
      </x:c>
      <x:c r="I171" s="26" t="n">
        <x:v>24</x:v>
      </x:c>
      <x:c r="J171" s="26" t="n">
        <x:v>267.96415</x:v>
      </x:c>
      <x:c r="K171" s="26" t="n">
        <x:v>0.336</x:v>
      </x:c>
      <x:c r="L171" s="26" t="n">
        <x:v>24.66</x:v>
      </x:c>
      <x:c r="M171" s="26" t="n">
        <x:v>268.01623</x:v>
      </x:c>
      <x:c r="N171" s="26" t="n">
        <x:v>2.19945</x:v>
      </x:c>
      <x:c r="O171" s="26" t="n">
        <x:v>35.48</x:v>
      </x:c>
      <x:c r="P171" s="26" t="n">
        <x:v>268.02062</x:v>
      </x:c>
      <x:c r="Q171" s="26" t="n">
        <x:v>1.65755</x:v>
      </x:c>
      <x:c r="R171" s="26" t="n">
        <x:v>36.55</x:v>
      </x:c>
      <x:c r="S171" s="26" t="n">
        <x:v>267.96415</x:v>
      </x:c>
      <x:c r="T171" s="26" t="n">
        <x:v>0.336</x:v>
      </x:c>
      <x:c r="U171" s="26" t="n">
        <x:v>268.01623</x:v>
      </x:c>
      <x:c r="V171" s="26" t="n">
        <x:v>2.19945</x:v>
      </x:c>
      <x:c r="W171" s="26" t="n">
        <x:v>268.02062</x:v>
      </x:c>
      <x:c r="X171" s="26" t="n">
        <x:v>1.65755</x:v>
      </x:c>
      <x:c r="Y171" s="26" t="n">
        <x:v>268.01709</x:v>
      </x:c>
      <x:c r="Z171" s="26" t="n">
        <x:v>0.01709</x:v>
      </x:c>
      <x:c r="AA171" s="26" t="n">
        <x:v>0.33517</x:v>
      </x:c>
      <x:c r="AB171" s="26" t="n">
        <x:v>2.19945</x:v>
      </x:c>
      <x:c r="AC171" s="26" t="n">
        <x:v>1.65755</x:v>
      </x:c>
      <x:c r="AD171" s="26" t="n">
        <x:v>2.77442</x:v>
      </x:c>
      <x:c r="AE171" s="26" t="n">
        <x:v>34.38</x:v>
      </x:c>
      <x:c r="AF171" s="26" t="str">
        <x:v>Y</x:v>
      </x:c>
      <x:c r="AG171" s="26" t="n">
        <x:v>0.28043</x:v>
      </x:c>
      <x:c r="AH171" s="26" t="n">
        <x:v>-145.02</x:v>
      </x:c>
      <x:c r="AI171" s="26" t="n">
        <x:v>0.406</x:v>
      </x:c>
      <x:c r="AJ171" s="26" t="n">
        <x:v>14.45</x:v>
      </x:c>
      <x:c r="AK171" s="26" t="n">
        <x:v>2.89749</x:v>
      </x:c>
      <x:c r="AL171" s="26" t="n">
        <x:v>-11.69</x:v>
      </x:c>
      <x:c r="AM171" s="26" t="n">
        <x:v>0.923</x:v>
      </x:c>
      <x:c r="AN171" s="26" t="n">
        <x:v>0.96</x:v>
      </x:c>
      <x:c r="AO171" s="26" t="n">
        <x:v>2.27404</x:v>
      </x:c>
      <x:c r="AP171" s="26" t="n">
        <x:v>-5.83</x:v>
      </x:c>
      <x:c r="AQ171" s="26" t="n">
        <x:v>0.943</x:v>
      </x:c>
      <x:c r="AR171" s="26" t="n">
        <x:v>1.02</x:v>
      </x:c>
      <x:c r="AS171" s="26" t="n">
        <x:v>3.69426</x:v>
      </x:c>
      <x:c r="AT171" s="26" t="n">
        <x:v>0.4</x:v>
      </x:c>
      <x:c r="AU171" s="26" t="n">
        <x:v>0.0759</x:v>
      </x:c>
      <x:c r="AV171" s="26" t="n">
        <x:v>0.7843</x:v>
      </x:c>
      <x:c r="AW171" s="26" t="n">
        <x:v>0.6156</x:v>
      </x:c>
      <x:c r="AX171" s="26" t="n">
        <x:v>1</x:v>
      </x:c>
    </x:row>
    <x:row r="172">
      <x:c r="A172" s="26" t="str">
        <x:v>INC-01</x:v>
      </x:c>
      <x:c r="B172" s="26" t="str">
        <x:v>Inclined / wearable-like</x:v>
      </x:c>
      <x:c r="C172" s="26" t="str">
        <x:v>As tested</x:v>
      </x:c>
      <x:c r="D172" s="26" t="str">
        <x:v>Pasted text(20260812-103956).txt</x:v>
      </x:c>
      <x:c r="E172" s="26" t="str">
        <x:v>GAIN_SWEEP</x:v>
      </x:c>
      <x:c r="F172" s="26" t="n">
        <x:v>16</x:v>
      </x:c>
      <x:c r="G172" s="26" t="n">
        <x:v>1</x:v>
      </x:c>
      <x:c r="H172" s="26" t="n">
        <x:v>268</x:v>
      </x:c>
      <x:c r="I172" s="26" t="n">
        <x:v>25</x:v>
      </x:c>
      <x:c r="J172" s="26" t="n">
        <x:v>296.77488</x:v>
      </x:c>
      <x:c r="K172" s="26" t="n">
        <x:v>0.35122</x:v>
      </x:c>
      <x:c r="L172" s="26" t="n">
        <x:v>24.7</x:v>
      </x:c>
      <x:c r="M172" s="26" t="n">
        <x:v>268.02176</x:v>
      </x:c>
      <x:c r="N172" s="26" t="n">
        <x:v>2.5487</x:v>
      </x:c>
      <x:c r="O172" s="26" t="n">
        <x:v>35.95</x:v>
      </x:c>
      <x:c r="P172" s="26" t="n">
        <x:v>268.02096</x:v>
      </x:c>
      <x:c r="Q172" s="26" t="n">
        <x:v>1.95508</x:v>
      </x:c>
      <x:c r="R172" s="26" t="n">
        <x:v>37.55</x:v>
      </x:c>
      <x:c r="S172" s="26" t="n">
        <x:v>268.03425</x:v>
      </x:c>
      <x:c r="T172" s="26" t="n">
        <x:v>0.29525</x:v>
      </x:c>
      <x:c r="U172" s="26" t="n">
        <x:v>268.02176</x:v>
      </x:c>
      <x:c r="V172" s="26" t="n">
        <x:v>2.5487</x:v>
      </x:c>
      <x:c r="W172" s="26" t="n">
        <x:v>268.02096</x:v>
      </x:c>
      <x:c r="X172" s="26" t="n">
        <x:v>1.95508</x:v>
      </x:c>
      <x:c r="Y172" s="26" t="n">
        <x:v>268.02157</x:v>
      </x:c>
      <x:c r="Z172" s="26" t="n">
        <x:v>0.02157</x:v>
      </x:c>
      <x:c r="AA172" s="26" t="n">
        <x:v>0.29525</x:v>
      </x:c>
      <x:c r="AB172" s="26" t="n">
        <x:v>2.5487</x:v>
      </x:c>
      <x:c r="AC172" s="26" t="n">
        <x:v>1.95508</x:v>
      </x:c>
      <x:c r="AD172" s="26" t="n">
        <x:v>3.22574</x:v>
      </x:c>
      <x:c r="AE172" s="26" t="n">
        <x:v>35.25</x:v>
      </x:c>
      <x:c r="AF172" s="26" t="str">
        <x:v>Y</x:v>
      </x:c>
      <x:c r="AG172" s="26" t="n">
        <x:v>0.34265</x:v>
      </x:c>
      <x:c r="AH172" s="26" t="n">
        <x:v>-145.11</x:v>
      </x:c>
      <x:c r="AI172" s="26" t="n">
        <x:v>0.48</x:v>
      </x:c>
      <x:c r="AJ172" s="26" t="n">
        <x:v>4.85</x:v>
      </x:c>
      <x:c r="AK172" s="26" t="n">
        <x:v>3.09608</x:v>
      </x:c>
      <x:c r="AL172" s="26" t="n">
        <x:v>-11.14</x:v>
      </x:c>
      <x:c r="AM172" s="26" t="n">
        <x:v>0.927</x:v>
      </x:c>
      <x:c r="AN172" s="26" t="n">
        <x:v>1.16</x:v>
      </x:c>
      <x:c r="AO172" s="26" t="n">
        <x:v>2.37994</x:v>
      </x:c>
      <x:c r="AP172" s="26" t="n">
        <x:v>-7.17</x:v>
      </x:c>
      <x:c r="AQ172" s="26" t="n">
        <x:v>0.941</x:v>
      </x:c>
      <x:c r="AR172" s="26" t="n">
        <x:v>0.84</x:v>
      </x:c>
      <x:c r="AS172" s="26" t="n">
        <x:v>3.92025</x:v>
      </x:c>
      <x:c r="AT172" s="26" t="n">
        <x:v>0.61</x:v>
      </x:c>
      <x:c r="AU172" s="26" t="n">
        <x:v>0.0874</x:v>
      </x:c>
      <x:c r="AV172" s="26" t="n">
        <x:v>0.7898</x:v>
      </x:c>
      <x:c r="AW172" s="26" t="n">
        <x:v>0.6071</x:v>
      </x:c>
      <x:c r="AX172" s="26" t="n">
        <x:v>1</x:v>
      </x:c>
    </x:row>
    <x:row r="173">
      <x:c r="A173" s="26" t="str">
        <x:v>INC-01</x:v>
      </x:c>
      <x:c r="B173" s="26" t="str">
        <x:v>Inclined / wearable-like</x:v>
      </x:c>
      <x:c r="C173" s="26" t="str">
        <x:v>As tested</x:v>
      </x:c>
      <x:c r="D173" s="26" t="str">
        <x:v>Pasted text(20260812-103956).txt</x:v>
      </x:c>
      <x:c r="E173" s="26" t="str">
        <x:v>GAIN_SWEEP</x:v>
      </x:c>
      <x:c r="F173" s="26" t="n">
        <x:v>17</x:v>
      </x:c>
      <x:c r="G173" s="26" t="n">
        <x:v>1</x:v>
      </x:c>
      <x:c r="H173" s="26" t="n">
        <x:v>268</x:v>
      </x:c>
      <x:c r="I173" s="26" t="n">
        <x:v>26</x:v>
      </x:c>
      <x:c r="J173" s="26" t="n">
        <x:v>210.66053</x:v>
      </x:c>
      <x:c r="K173" s="26" t="n">
        <x:v>0.32467</x:v>
      </x:c>
      <x:c r="L173" s="26" t="n">
        <x:v>24</x:v>
      </x:c>
      <x:c r="M173" s="26" t="n">
        <x:v>268.01476</x:v>
      </x:c>
      <x:c r="N173" s="26" t="n">
        <x:v>2.68087</x:v>
      </x:c>
      <x:c r="O173" s="26" t="n">
        <x:v>35.9</x:v>
      </x:c>
      <x:c r="P173" s="26" t="n">
        <x:v>268.02731</x:v>
      </x:c>
      <x:c r="Q173" s="26" t="n">
        <x:v>2.08329</x:v>
      </x:c>
      <x:c r="R173" s="26" t="n">
        <x:v>37.61</x:v>
      </x:c>
      <x:c r="S173" s="26" t="n">
        <x:v>268.11077</x:v>
      </x:c>
      <x:c r="T173" s="26" t="n">
        <x:v>0.30052</x:v>
      </x:c>
      <x:c r="U173" s="26" t="n">
        <x:v>268.01476</x:v>
      </x:c>
      <x:c r="V173" s="26" t="n">
        <x:v>2.68087</x:v>
      </x:c>
      <x:c r="W173" s="26" t="n">
        <x:v>268.02731</x:v>
      </x:c>
      <x:c r="X173" s="26" t="n">
        <x:v>2.08329</x:v>
      </x:c>
      <x:c r="Y173" s="26" t="n">
        <x:v>268.0202</x:v>
      </x:c>
      <x:c r="Z173" s="26" t="n">
        <x:v>0.0202</x:v>
      </x:c>
      <x:c r="AA173" s="26" t="n">
        <x:v>0.30052</x:v>
      </x:c>
      <x:c r="AB173" s="26" t="n">
        <x:v>2.68087</x:v>
      </x:c>
      <x:c r="AC173" s="26" t="n">
        <x:v>2.08329</x:v>
      </x:c>
      <x:c r="AD173" s="26" t="n">
        <x:v>3.40844</x:v>
      </x:c>
      <x:c r="AE173" s="26" t="n">
        <x:v>34.83</x:v>
      </x:c>
      <x:c r="AF173" s="26" t="str">
        <x:v>Y</x:v>
      </x:c>
      <x:c r="AG173" s="26" t="n">
        <x:v>0.36894</x:v>
      </x:c>
      <x:c r="AH173" s="26" t="n">
        <x:v>-145.28</x:v>
      </x:c>
      <x:c r="AI173" s="26" t="n">
        <x:v>0.504</x:v>
      </x:c>
      <x:c r="AJ173" s="26" t="n">
        <x:v>4.67</x:v>
      </x:c>
      <x:c r="AK173" s="26" t="n">
        <x:v>3.23671</x:v>
      </x:c>
      <x:c r="AL173" s="26" t="n">
        <x:v>-11.02</x:v>
      </x:c>
      <x:c r="AM173" s="26" t="n">
        <x:v>0.92</x:v>
      </x:c>
      <x:c r="AN173" s="26" t="n">
        <x:v>1.04</x:v>
      </x:c>
      <x:c r="AO173" s="26" t="n">
        <x:v>2.50888</x:v>
      </x:c>
      <x:c r="AP173" s="26" t="n">
        <x:v>-6.15</x:v>
      </x:c>
      <x:c r="AQ173" s="26" t="n">
        <x:v>0.942</x:v>
      </x:c>
      <x:c r="AR173" s="26" t="n">
        <x:v>0.84</x:v>
      </x:c>
      <x:c r="AS173" s="26" t="n">
        <x:v>4.1119</x:v>
      </x:c>
      <x:c r="AT173" s="26" t="n">
        <x:v>0.73</x:v>
      </x:c>
      <x:c r="AU173" s="26" t="n">
        <x:v>0.0897</x:v>
      </x:c>
      <x:c r="AV173" s="26" t="n">
        <x:v>0.7872</x:v>
      </x:c>
      <x:c r="AW173" s="26" t="n">
        <x:v>0.6102</x:v>
      </x:c>
      <x:c r="AX173" s="26" t="n">
        <x:v>1</x:v>
      </x:c>
    </x:row>
    <x:row r="174">
      <x:c r="A174" s="26" t="str">
        <x:v>INC-01</x:v>
      </x:c>
      <x:c r="B174" s="26" t="str">
        <x:v>Inclined / wearable-like</x:v>
      </x:c>
      <x:c r="C174" s="26" t="str">
        <x:v>As tested</x:v>
      </x:c>
      <x:c r="D174" s="26" t="str">
        <x:v>Pasted text(20260812-103956).txt</x:v>
      </x:c>
      <x:c r="E174" s="26" t="str">
        <x:v>GAIN_SWEEP</x:v>
      </x:c>
      <x:c r="F174" s="26" t="n">
        <x:v>18</x:v>
      </x:c>
      <x:c r="G174" s="26" t="n">
        <x:v>1</x:v>
      </x:c>
      <x:c r="H174" s="26" t="n">
        <x:v>268</x:v>
      </x:c>
      <x:c r="I174" s="26" t="n">
        <x:v>27</x:v>
      </x:c>
      <x:c r="J174" s="26" t="n">
        <x:v>296.69439</x:v>
      </x:c>
      <x:c r="K174" s="26" t="n">
        <x:v>0.37692</x:v>
      </x:c>
      <x:c r="L174" s="26" t="n">
        <x:v>24.84</x:v>
      </x:c>
      <x:c r="M174" s="26" t="n">
        <x:v>268.01187</x:v>
      </x:c>
      <x:c r="N174" s="26" t="n">
        <x:v>2.8059</x:v>
      </x:c>
      <x:c r="O174" s="26" t="n">
        <x:v>36.39</x:v>
      </x:c>
      <x:c r="P174" s="26" t="n">
        <x:v>268.01684</x:v>
      </x:c>
      <x:c r="Q174" s="26" t="n">
        <x:v>2.16474</x:v>
      </x:c>
      <x:c r="R174" s="26" t="n">
        <x:v>37.85</x:v>
      </x:c>
      <x:c r="S174" s="26" t="n">
        <x:v>267.99956</x:v>
      </x:c>
      <x:c r="T174" s="26" t="n">
        <x:v>0.29823</x:v>
      </x:c>
      <x:c r="U174" s="26" t="n">
        <x:v>268.01187</x:v>
      </x:c>
      <x:c r="V174" s="26" t="n">
        <x:v>2.8059</x:v>
      </x:c>
      <x:c r="W174" s="26" t="n">
        <x:v>268.01684</x:v>
      </x:c>
      <x:c r="X174" s="26" t="n">
        <x:v>2.16474</x:v>
      </x:c>
      <x:c r="Y174" s="26" t="n">
        <x:v>268.01363</x:v>
      </x:c>
      <x:c r="Z174" s="26" t="n">
        <x:v>0.01363</x:v>
      </x:c>
      <x:c r="AA174" s="26" t="n">
        <x:v>0.29823</x:v>
      </x:c>
      <x:c r="AB174" s="26" t="n">
        <x:v>2.8059</x:v>
      </x:c>
      <x:c r="AC174" s="26" t="n">
        <x:v>2.16474</x:v>
      </x:c>
      <x:c r="AD174" s="26" t="n">
        <x:v>3.55642</x:v>
      </x:c>
      <x:c r="AE174" s="26" t="n">
        <x:v>35.22</x:v>
      </x:c>
      <x:c r="AF174" s="26" t="str">
        <x:v>Y</x:v>
      </x:c>
      <x:c r="AG174" s="26" t="n">
        <x:v>0.35432</x:v>
      </x:c>
      <x:c r="AH174" s="26" t="n">
        <x:v>-145.99</x:v>
      </x:c>
      <x:c r="AI174" s="26" t="n">
        <x:v>0.49</x:v>
      </x:c>
      <x:c r="AJ174" s="26" t="n">
        <x:v>6.7</x:v>
      </x:c>
      <x:c r="AK174" s="26" t="n">
        <x:v>3.40487</x:v>
      </x:c>
      <x:c r="AL174" s="26" t="n">
        <x:v>-12.36</x:v>
      </x:c>
      <x:c r="AM174" s="26" t="n">
        <x:v>0.932</x:v>
      </x:c>
      <x:c r="AN174" s="26" t="n">
        <x:v>1.38</x:v>
      </x:c>
      <x:c r="AO174" s="26" t="n">
        <x:v>2.64324</x:v>
      </x:c>
      <x:c r="AP174" s="26" t="n">
        <x:v>-7.47</x:v>
      </x:c>
      <x:c r="AQ174" s="26" t="n">
        <x:v>0.945</x:v>
      </x:c>
      <x:c r="AR174" s="26" t="n">
        <x:v>1.03</x:v>
      </x:c>
      <x:c r="AS174" s="26" t="n">
        <x:v>4.32513</x:v>
      </x:c>
      <x:c r="AT174" s="26" t="n">
        <x:v>1.01</x:v>
      </x:c>
      <x:c r="AU174" s="26" t="n">
        <x:v>0.0819</x:v>
      </x:c>
      <x:c r="AV174" s="26" t="n">
        <x:v>0.7872</x:v>
      </x:c>
      <x:c r="AW174" s="26" t="n">
        <x:v>0.6111</x:v>
      </x:c>
      <x:c r="AX174" s="26" t="n">
        <x:v>1</x:v>
      </x:c>
    </x:row>
    <x:row r="175">
      <x:c r="A175" s="26" t="str">
        <x:v>INC-01</x:v>
      </x:c>
      <x:c r="B175" s="26" t="str">
        <x:v>Inclined / wearable-like</x:v>
      </x:c>
      <x:c r="C175" s="26" t="str">
        <x:v>As tested</x:v>
      </x:c>
      <x:c r="D175" s="26" t="str">
        <x:v>Pasted text(20260812-103956).txt</x:v>
      </x:c>
      <x:c r="E175" s="26" t="str">
        <x:v>GAIN_SWEEP</x:v>
      </x:c>
      <x:c r="F175" s="26" t="n">
        <x:v>19</x:v>
      </x:c>
      <x:c r="G175" s="26" t="n">
        <x:v>1</x:v>
      </x:c>
      <x:c r="H175" s="26" t="n">
        <x:v>268</x:v>
      </x:c>
      <x:c r="I175" s="26" t="n">
        <x:v>28</x:v>
      </x:c>
      <x:c r="J175" s="26" t="n">
        <x:v>296.76905</x:v>
      </x:c>
      <x:c r="K175" s="26" t="n">
        <x:v>0.36879</x:v>
      </x:c>
      <x:c r="L175" s="26" t="n">
        <x:v>24.34</x:v>
      </x:c>
      <x:c r="M175" s="26" t="n">
        <x:v>268.02234</x:v>
      </x:c>
      <x:c r="N175" s="26" t="n">
        <x:v>2.90103</x:v>
      </x:c>
      <x:c r="O175" s="26" t="n">
        <x:v>36.32</x:v>
      </x:c>
      <x:c r="P175" s="26" t="n">
        <x:v>268.03495</x:v>
      </x:c>
      <x:c r="Q175" s="26" t="n">
        <x:v>2.25515</x:v>
      </x:c>
      <x:c r="R175" s="26" t="n">
        <x:v>37.85</x:v>
      </x:c>
      <x:c r="S175" s="26" t="n">
        <x:v>268.08162</x:v>
      </x:c>
      <x:c r="T175" s="26" t="n">
        <x:v>0.3032</x:v>
      </x:c>
      <x:c r="U175" s="26" t="n">
        <x:v>268.02234</x:v>
      </x:c>
      <x:c r="V175" s="26" t="n">
        <x:v>2.90103</x:v>
      </x:c>
      <x:c r="W175" s="26" t="n">
        <x:v>268.03495</x:v>
      </x:c>
      <x:c r="X175" s="26" t="n">
        <x:v>2.25515</x:v>
      </x:c>
      <x:c r="Y175" s="26" t="n">
        <x:v>268.02746</x:v>
      </x:c>
      <x:c r="Z175" s="26" t="n">
        <x:v>0.02746</x:v>
      </x:c>
      <x:c r="AA175" s="26" t="n">
        <x:v>0.3032</x:v>
      </x:c>
      <x:c r="AB175" s="26" t="n">
        <x:v>2.90103</x:v>
      </x:c>
      <x:c r="AC175" s="26" t="n">
        <x:v>2.25515</x:v>
      </x:c>
      <x:c r="AD175" s="26" t="n">
        <x:v>3.68695</x:v>
      </x:c>
      <x:c r="AE175" s="26" t="n">
        <x:v>35.81</x:v>
      </x:c>
      <x:c r="AF175" s="26" t="str">
        <x:v>Y</x:v>
      </x:c>
      <x:c r="AG175" s="26" t="n">
        <x:v>0.37529</x:v>
      </x:c>
      <x:c r="AH175" s="26" t="n">
        <x:v>-138.07</x:v>
      </x:c>
      <x:c r="AI175" s="26" t="n">
        <x:v>0.468</x:v>
      </x:c>
      <x:c r="AJ175" s="26" t="n">
        <x:v>5.46</x:v>
      </x:c>
      <x:c r="AK175" s="26" t="n">
        <x:v>3.4761</x:v>
      </x:c>
      <x:c r="AL175" s="26" t="n">
        <x:v>-10.98</x:v>
      </x:c>
      <x:c r="AM175" s="26" t="n">
        <x:v>0.935</x:v>
      </x:c>
      <x:c r="AN175" s="26" t="n">
        <x:v>1.77</x:v>
      </x:c>
      <x:c r="AO175" s="26" t="n">
        <x:v>2.6857</x:v>
      </x:c>
      <x:c r="AP175" s="26" t="n">
        <x:v>-6.25</x:v>
      </x:c>
      <x:c r="AQ175" s="26" t="n">
        <x:v>0.941</x:v>
      </x:c>
      <x:c r="AR175" s="26" t="n">
        <x:v>0.53</x:v>
      </x:c>
      <x:c r="AS175" s="26" t="n">
        <x:v>4.40888</x:v>
      </x:c>
      <x:c r="AT175" s="26" t="n">
        <x:v>1.24</x:v>
      </x:c>
      <x:c r="AU175" s="26" t="n">
        <x:v>0.0851</x:v>
      </x:c>
      <x:c r="AV175" s="26" t="n">
        <x:v>0.7884</x:v>
      </x:c>
      <x:c r="AW175" s="26" t="n">
        <x:v>0.6092</x:v>
      </x:c>
      <x:c r="AX175" s="26" t="n">
        <x:v>1</x:v>
      </x:c>
    </x:row>
    <x:row r="176">
      <x:c r="A176" s="26" t="str">
        <x:v>INC-01</x:v>
      </x:c>
      <x:c r="B176" s="26" t="str">
        <x:v>Inclined / wearable-like</x:v>
      </x:c>
      <x:c r="C176" s="26" t="str">
        <x:v>As tested</x:v>
      </x:c>
      <x:c r="D176" s="26" t="str">
        <x:v>Pasted text(20260812-103956).txt</x:v>
      </x:c>
      <x:c r="E176" s="26" t="str">
        <x:v>GAIN_SWEEP</x:v>
      </x:c>
      <x:c r="F176" s="26" t="n">
        <x:v>20</x:v>
      </x:c>
      <x:c r="G176" s="26" t="n">
        <x:v>1</x:v>
      </x:c>
      <x:c r="H176" s="26" t="n">
        <x:v>268</x:v>
      </x:c>
      <x:c r="I176" s="26" t="n">
        <x:v>29</x:v>
      </x:c>
      <x:c r="J176" s="26" t="n">
        <x:v>268.08126</x:v>
      </x:c>
      <x:c r="K176" s="26" t="n">
        <x:v>0.31721</x:v>
      </x:c>
      <x:c r="L176" s="26" t="n">
        <x:v>23.12</x:v>
      </x:c>
      <x:c r="M176" s="26" t="n">
        <x:v>268.02802</x:v>
      </x:c>
      <x:c r="N176" s="26" t="n">
        <x:v>2.93231</x:v>
      </x:c>
      <x:c r="O176" s="26" t="n">
        <x:v>36.24</x:v>
      </x:c>
      <x:c r="P176" s="26" t="n">
        <x:v>268.04315</x:v>
      </x:c>
      <x:c r="Q176" s="26" t="n">
        <x:v>2.32264</x:v>
      </x:c>
      <x:c r="R176" s="26" t="n">
        <x:v>38.05</x:v>
      </x:c>
      <x:c r="S176" s="26" t="n">
        <x:v>268.08126</x:v>
      </x:c>
      <x:c r="T176" s="26" t="n">
        <x:v>0.31721</x:v>
      </x:c>
      <x:c r="U176" s="26" t="n">
        <x:v>268.02802</x:v>
      </x:c>
      <x:c r="V176" s="26" t="n">
        <x:v>2.93231</x:v>
      </x:c>
      <x:c r="W176" s="26" t="n">
        <x:v>268.04315</x:v>
      </x:c>
      <x:c r="X176" s="26" t="n">
        <x:v>2.32264</x:v>
      </x:c>
      <x:c r="Y176" s="26" t="n">
        <x:v>268.03418</x:v>
      </x:c>
      <x:c r="Z176" s="26" t="n">
        <x:v>0.03418</x:v>
      </x:c>
      <x:c r="AA176" s="26" t="n">
        <x:v>0.31721</x:v>
      </x:c>
      <x:c r="AB176" s="26" t="n">
        <x:v>2.93231</x:v>
      </x:c>
      <x:c r="AC176" s="26" t="n">
        <x:v>2.32264</x:v>
      </x:c>
      <x:c r="AD176" s="26" t="n">
        <x:v>3.75416</x:v>
      </x:c>
      <x:c r="AE176" s="26" t="n">
        <x:v>35.37</x:v>
      </x:c>
      <x:c r="AF176" s="26" t="str">
        <x:v>Y</x:v>
      </x:c>
      <x:c r="AG176" s="26" t="n">
        <x:v>0.37346</x:v>
      </x:c>
      <x:c r="AH176" s="26" t="n">
        <x:v>-135.18</x:v>
      </x:c>
      <x:c r="AI176" s="26" t="n">
        <x:v>0.497</x:v>
      </x:c>
      <x:c r="AJ176" s="26" t="n">
        <x:v>4.9</x:v>
      </x:c>
      <x:c r="AK176" s="26" t="n">
        <x:v>3.55046</x:v>
      </x:c>
      <x:c r="AL176" s="26" t="n">
        <x:v>-11.77</x:v>
      </x:c>
      <x:c r="AM176" s="26" t="n">
        <x:v>0.932</x:v>
      </x:c>
      <x:c r="AN176" s="26" t="n">
        <x:v>1.63</x:v>
      </x:c>
      <x:c r="AO176" s="26" t="n">
        <x:v>2.80045</x:v>
      </x:c>
      <x:c r="AP176" s="26" t="n">
        <x:v>-6.68</x:v>
      </x:c>
      <x:c r="AQ176" s="26" t="n">
        <x:v>0.946</x:v>
      </x:c>
      <x:c r="AR176" s="26" t="n">
        <x:v>1.56</x:v>
      </x:c>
      <x:c r="AS176" s="26" t="n">
        <x:v>4.53746</x:v>
      </x:c>
      <x:c r="AT176" s="26" t="n">
        <x:v>1.5</x:v>
      </x:c>
      <x:c r="AU176" s="26" t="n">
        <x:v>0.0823</x:v>
      </x:c>
      <x:c r="AV176" s="26" t="n">
        <x:v>0.7825</x:v>
      </x:c>
      <x:c r="AW176" s="26" t="n">
        <x:v>0.6172</x:v>
      </x:c>
      <x:c r="AX176" s="26" t="n">
        <x:v>1</x:v>
      </x:c>
    </x:row>
    <x:row r="177">
      <x:c r="A177" s="26" t="str">
        <x:v>INC-01</x:v>
      </x:c>
      <x:c r="B177" s="26" t="str">
        <x:v>Inclined / wearable-like</x:v>
      </x:c>
      <x:c r="C177" s="26" t="str">
        <x:v>As tested</x:v>
      </x:c>
      <x:c r="D177" s="26" t="str">
        <x:v>Pasted text(20260812-103956).txt</x:v>
      </x:c>
      <x:c r="E177" s="26" t="str">
        <x:v>GAIN_SWEEP</x:v>
      </x:c>
      <x:c r="F177" s="26" t="n">
        <x:v>21</x:v>
      </x:c>
      <x:c r="G177" s="26" t="n">
        <x:v>1</x:v>
      </x:c>
      <x:c r="H177" s="26" t="n">
        <x:v>268</x:v>
      </x:c>
      <x:c r="I177" s="26" t="n">
        <x:v>30</x:v>
      </x:c>
      <x:c r="J177" s="26" t="n">
        <x:v>296.43955</x:v>
      </x:c>
      <x:c r="K177" s="26" t="n">
        <x:v>0.32349</x:v>
      </x:c>
      <x:c r="L177" s="26" t="n">
        <x:v>23.34</x:v>
      </x:c>
      <x:c r="M177" s="26" t="n">
        <x:v>268.02404</x:v>
      </x:c>
      <x:c r="N177" s="26" t="n">
        <x:v>3.03521</x:v>
      </x:c>
      <x:c r="O177" s="26" t="n">
        <x:v>36.34</x:v>
      </x:c>
      <x:c r="P177" s="26" t="n">
        <x:v>268.01941</x:v>
      </x:c>
      <x:c r="Q177" s="26" t="n">
        <x:v>2.39378</x:v>
      </x:c>
      <x:c r="R177" s="26" t="n">
        <x:v>38</x:v>
      </x:c>
      <x:c r="S177" s="26" t="n">
        <x:v>268.00568</x:v>
      </x:c>
      <x:c r="T177" s="26" t="n">
        <x:v>0.30775</x:v>
      </x:c>
      <x:c r="U177" s="26" t="n">
        <x:v>268.02404</x:v>
      </x:c>
      <x:c r="V177" s="26" t="n">
        <x:v>3.03521</x:v>
      </x:c>
      <x:c r="W177" s="26" t="n">
        <x:v>268.01941</x:v>
      </x:c>
      <x:c r="X177" s="26" t="n">
        <x:v>2.39378</x:v>
      </x:c>
      <x:c r="Y177" s="26" t="n">
        <x:v>268.02217</x:v>
      </x:c>
      <x:c r="Z177" s="26" t="n">
        <x:v>0.02217</x:v>
      </x:c>
      <x:c r="AA177" s="26" t="n">
        <x:v>0.30775</x:v>
      </x:c>
      <x:c r="AB177" s="26" t="n">
        <x:v>3.03521</x:v>
      </x:c>
      <x:c r="AC177" s="26" t="n">
        <x:v>2.39378</x:v>
      </x:c>
      <x:c r="AD177" s="26" t="n">
        <x:v>3.87781</x:v>
      </x:c>
      <x:c r="AE177" s="26" t="n">
        <x:v>36.33</x:v>
      </x:c>
      <x:c r="AF177" s="26" t="str">
        <x:v>Y</x:v>
      </x:c>
      <x:c r="AG177" s="26" t="n">
        <x:v>0.38186</x:v>
      </x:c>
      <x:c r="AH177" s="26" t="n">
        <x:v>-128.52</x:v>
      </x:c>
      <x:c r="AI177" s="26" t="n">
        <x:v>0.497</x:v>
      </x:c>
      <x:c r="AJ177" s="26" t="n">
        <x:v>4.69</x:v>
      </x:c>
      <x:c r="AK177" s="26" t="n">
        <x:v>3.65183</x:v>
      </x:c>
      <x:c r="AL177" s="26" t="n">
        <x:v>-11.27</x:v>
      </x:c>
      <x:c r="AM177" s="26" t="n">
        <x:v>0.929</x:v>
      </x:c>
      <x:c r="AN177" s="26" t="n">
        <x:v>1.45</x:v>
      </x:c>
      <x:c r="AO177" s="26" t="n">
        <x:v>2.9028</x:v>
      </x:c>
      <x:c r="AP177" s="26" t="n">
        <x:v>-6.42</x:v>
      </x:c>
      <x:c r="AQ177" s="26" t="n">
        <x:v>0.94</x:v>
      </x:c>
      <x:c r="AR177" s="26" t="n">
        <x:v>2.3</x:v>
      </x:c>
      <x:c r="AS177" s="26" t="n">
        <x:v>4.6811</x:v>
      </x:c>
      <x:c r="AT177" s="26" t="n">
        <x:v>0.84</x:v>
      </x:c>
      <x:c r="AU177" s="26" t="n">
        <x:v>0.0816</x:v>
      </x:c>
      <x:c r="AV177" s="26" t="n">
        <x:v>0.7801</x:v>
      </x:c>
      <x:c r="AW177" s="26" t="n">
        <x:v>0.6201</x:v>
      </x:c>
      <x:c r="AX177" s="26" t="n">
        <x:v>1</x:v>
      </x:c>
    </x:row>
  </x:sheetData>
  <x:mergeCells>
    <x:mergeCell ref="A1:AX1"/>
    <x:mergeCell ref="A2:AX2"/>
  </x:mergeCells>
  <x:pageMargins left="0.7" right="0.7" top="0.75" bottom="0.75" header="0.3" footer="0.3"/>
  <x:tableParts count="1">
    <x:tablePart xmlns:r="http://schemas.openxmlformats.org/officeDocument/2006/relationships" r:id="R5ec9149e17674118"/>
  </x:tableParts>
</x:worksheet>
</file>

<file path=xl/worksheets/sheet7.xml><?xml version="1.0" encoding="utf-8"?>
<x:worksheet xmlns:x="http://schemas.openxmlformats.org/spreadsheetml/2006/main">
  <x:sheetFormatPr defaultRowHeight="15"/>
  <x:sheetData>
    <x:row r="1" ht="28" customHeight="1">
      <x:c r="A1" s="6" t="str">
        <x:v>VISATON EX 45 S CHARACTERIZATION — SETTINGS &amp; GLOSSARY</x:v>
      </x:c>
      <x:c r="B1" s="6"/>
      <x:c r="C1" s="6"/>
      <x:c r="D1" s="6"/>
      <x:c r="E1" s="6"/>
      <x:c r="F1" s="6"/>
    </x:row>
    <x:row r="3" ht="32" customHeight="1">
      <x:c r="A3" s="16" t="str">
        <x:v>Editable review threshold</x:v>
      </x:c>
      <x:c r="B3" s="16" t="str">
        <x:v>Value</x:v>
      </x:c>
      <x:c r="C3" s="16" t="str">
        <x:v>Meaning</x:v>
      </x:c>
    </x:row>
    <x:row r="4">
      <x:c r="A4" t="str">
        <x:v>Excellent frequency error |Hz|</x:v>
      </x:c>
      <x:c r="B4" s="18" t="n">
        <x:v>0.1</x:v>
      </x:c>
      <x:c r="C4" t="str">
        <x:v>Green review label; engineering review threshold, not a manufacturer specification.</x:v>
      </x:c>
    </x:row>
    <x:row r="5">
      <x:c r="A5" t="str">
        <x:v>Acceptable frequency error |Hz|</x:v>
      </x:c>
      <x:c r="B5" s="18" t="n">
        <x:v>0.5</x:v>
      </x:c>
      <x:c r="C5" t="str">
        <x:v>Yellow review label above excellent and up to this value.</x:v>
      </x:c>
    </x:row>
    <x:row r="6">
      <x:c r="A6" t="str">
        <x:v>Good repeatability CV (%)</x:v>
      </x:c>
      <x:c r="B6" s="18" t="n">
        <x:v>10</x:v>
      </x:c>
      <x:c r="C6" t="str">
        <x:v>Used when two or more valid repeats are available.</x:v>
      </x:c>
    </x:row>
    <x:row r="7">
      <x:c r="A7" t="str">
        <x:v>Strong synchronization ratio</x:v>
      </x:c>
      <x:c r="B7" s="18" t="n">
        <x:v>0.8</x:v>
      </x:c>
      <x:c r="C7" t="str">
        <x:v>Useful rule-of-thumb for phase-control screening; evaluate with signal level and SNR.</x:v>
      </x:c>
    </x:row>
    <x:row r="9" ht="32" customHeight="1">
      <x:c r="A9" s="16" t="str">
        <x:v>Term</x:v>
      </x:c>
      <x:c r="B9" s="16" t="str">
        <x:v>Plain-language meaning</x:v>
      </x:c>
      <x:c r="C9" s="16" t="str">
        <x:v>Technical meaning</x:v>
      </x:c>
    </x:row>
    <x:row r="10">
      <x:c r="A10" t="str">
        <x:v>Command frequency</x:v>
      </x:c>
      <x:c r="B10" t="str">
        <x:v>Frequency requested from the actuator.</x:v>
      </x:c>
      <x:c r="C10" t="str">
        <x:v>Reference excitation frequency generated by the ESP32 oscillator.</x:v>
      </x:c>
    </x:row>
    <x:row r="11">
      <x:c r="A11" t="str">
        <x:v>Local FFT frequency</x:v>
      </x:c>
      <x:c r="B11" t="str">
        <x:v>Frequency actually detected near the command.</x:v>
      </x:c>
      <x:c r="C11" t="str">
        <x:v>Interpolated spectral peak within the local search band for each axis/vector.</x:v>
      </x:c>
    </x:row>
    <x:row r="12">
      <x:c r="A12" t="str">
        <x:v>Quadrature amplitude</x:v>
      </x:c>
      <x:c r="B12" t="str">
        <x:v>How much vibration exists exactly at the commanded frequency.</x:v>
      </x:c>
      <x:c r="C12" t="str">
        <x:v>Synchronous amplitude projected on the actuator reference; primary amplitude metric for control.</x:v>
      </x:c>
    </x:row>
    <x:row r="13">
      <x:c r="A13" t="str">
        <x:v>Resultant amplitude</x:v>
      </x:c>
      <x:c r="B13" t="str">
        <x:v>Combined X/Y/Z acceleration magnitude.</x:v>
      </x:c>
      <x:c r="C13" t="str">
        <x:v>sqrt(X² + Y² + Z²).</x:v>
      </x:c>
    </x:row>
    <x:row r="14">
      <x:c r="A14" t="str">
        <x:v>Energy share</x:v>
      </x:c>
      <x:c r="B14" t="str">
        <x:v>Percentage-like directional contribution.</x:v>
      </x:c>
      <x:c r="C14" t="str">
        <x:v>X²/T², Y²/T², Z²/T²; these sum to ~100% when based on the same amplitudes.</x:v>
      </x:c>
    </x:row>
    <x:row r="15">
      <x:c r="A15" t="str">
        <x:v>Synchronization ratio</x:v>
      </x:c>
      <x:c r="B15" t="str">
        <x:v>How strongly an axis follows the actuator command.</x:v>
      </x:c>
      <x:c r="C15" t="str">
        <x:v>Fraction/strength of motion coherent with the commanded sinusoidal reference.</x:v>
      </x:c>
    </x:row>
    <x:row r="16">
      <x:c r="A16" t="str">
        <x:v>CV (%)</x:v>
      </x:c>
      <x:c r="B16" t="str">
        <x:v>Repeatability / stability indicator.</x:v>
      </x:c>
      <x:c r="C16" t="str">
        <x:v>Coefficient of variation; lower is more stable.</x:v>
      </x:c>
    </x:row>
    <x:row r="17">
      <x:c r="A17" t="str">
        <x:v>Dominant axis</x:v>
      </x:c>
      <x:c r="B17" t="str">
        <x:v>Largest measured sensor-axis amplitude.</x:v>
      </x:c>
      <x:c r="C17" t="str">
        <x:v>Largest exact-frequency quadrature component in ADXL coordinates; not an intrinsic actuator-axis label.</x:v>
      </x:c>
    </x:row>
    <x:row r="20">
      <x:c r="A20" s="24" t="str">
        <x:v>Important methodological note</x:v>
      </x:c>
      <x:c r="B20" s="24" t="str"/>
      <x:c r="C20" s="24" t="str"/>
      <x:c r="D20" s="24" t="str"/>
      <x:c r="E20" s="24" t="str"/>
      <x:c r="F20" s="24" t="str"/>
    </x:row>
    <x:row r="21">
      <x:c r="A21" s="28" t="str">
        <x:v>Axis labels X, Y and Z are the ADXL sensor coordinates. If the entire Visaton–mount–ADXL structure is re-oriented, the same physical vibration vector can project differently onto X/Y/Z. Therefore 'Y-dominant' or 'Z-dominant' describes the measured installed configuration, not an immutable property of the EX 45 S.</x:v>
      </x:c>
      <x:c r="B21" s="28"/>
      <x:c r="C21" s="28"/>
      <x:c r="D21" s="28"/>
      <x:c r="E21" s="28"/>
      <x:c r="F21" s="28"/>
    </x:row>
    <x:row r="22">
      <x:c r="A22" s="28"/>
      <x:c r="B22" s="28"/>
      <x:c r="C22" s="28"/>
      <x:c r="D22" s="28"/>
      <x:c r="E22" s="28"/>
      <x:c r="F22" s="28"/>
    </x:row>
    <x:row r="23">
      <x:c r="A23" s="28"/>
      <x:c r="B23" s="28"/>
      <x:c r="C23" s="28"/>
      <x:c r="D23" s="28"/>
      <x:c r="E23" s="28"/>
      <x:c r="F23" s="28"/>
    </x:row>
    <x:row r="24">
      <x:c r="A24" s="28"/>
      <x:c r="B24" s="28"/>
      <x:c r="C24" s="28"/>
      <x:c r="D24" s="28"/>
      <x:c r="E24" s="28"/>
      <x:c r="F24" s="28"/>
    </x:row>
  </x:sheetData>
  <x:mergeCells>
    <x:mergeCell ref="A1:F1"/>
    <x:mergeCell ref="A20:F20"/>
    <x:mergeCell ref="A21:F24"/>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3" hidden="0" customWidth="1"/>
    <x:col min="3" max="3" width="16" hidden="0" customWidth="1"/>
    <x:col min="4" max="4" width="12" hidden="0" customWidth="1"/>
    <x:col min="5" max="5" width="12" hidden="0" customWidth="1"/>
    <x:col min="6" max="6" width="12" hidden="0" customWidth="1"/>
    <x:col min="7" max="7" width="13" hidden="0" customWidth="1"/>
    <x:col min="8" max="8" width="12" hidden="0" customWidth="1"/>
    <x:col min="9" max="9" width="12" hidden="0" customWidth="1"/>
    <x:col min="10" max="10" width="12" hidden="0" customWidth="1"/>
    <x:col min="11" max="11" width="11" hidden="0" customWidth="1"/>
    <x:col min="12" max="12" width="45" hidden="0" customWidth="1"/>
  </x:cols>
  <x:sheetData>
    <x:row r="1" ht="28" customHeight="1">
      <x:c r="A1" s="46" t="str">
        <x:v>CONTROL-RELEVANT COMPARISON — WHAT CHANGES WITH GAIN AND ORIENTATION?</x:v>
      </x:c>
      <x:c r="B1" s="46"/>
      <x:c r="C1" s="46"/>
      <x:c r="D1" s="46"/>
      <x:c r="E1" s="46"/>
      <x:c r="F1" s="46"/>
      <x:c r="G1" s="46"/>
      <x:c r="H1" s="46"/>
      <x:c r="I1" s="46"/>
      <x:c r="J1" s="46"/>
      <x:c r="K1" s="46"/>
      <x:c r="L1" s="46"/>
    </x:row>
    <x:row r="2">
      <x:c r="A2" s="26" t="str">
        <x:v>These tables intentionally compare common DAC points so that gain and orientation effects are not confused with command-amplitude effects.</x:v>
      </x:c>
      <x:c r="B2" s="26"/>
      <x:c r="C2" s="26"/>
      <x:c r="D2" s="26"/>
      <x:c r="E2" s="26"/>
      <x:c r="F2" s="26"/>
      <x:c r="G2" s="26"/>
      <x:c r="H2" s="26"/>
      <x:c r="I2" s="26"/>
      <x:c r="J2" s="26"/>
      <x:c r="K2" s="26"/>
      <x:c r="L2" s="26"/>
    </x:row>
    <x:row r="3">
      <x:c r="A3" s="26"/>
      <x:c r="B3" s="26"/>
      <x:c r="C3" s="26"/>
      <x:c r="D3" s="26"/>
      <x:c r="E3" s="26"/>
      <x:c r="F3" s="26"/>
      <x:c r="G3" s="26"/>
      <x:c r="H3" s="26"/>
      <x:c r="I3" s="26"/>
      <x:c r="J3" s="26"/>
      <x:c r="K3" s="26"/>
      <x:c r="L3" s="26"/>
    </x:row>
    <x:row r="4">
      <x:c r="A4" s="24" t="str">
        <x:v>Common operating point: 268 Hz, DAC 13</x:v>
      </x:c>
      <x:c r="B4" s="24" t="str"/>
      <x:c r="C4" s="24" t="str"/>
      <x:c r="D4" s="24" t="str"/>
      <x:c r="E4" s="24" t="str"/>
      <x:c r="F4" s="24" t="str"/>
      <x:c r="G4" s="24" t="str"/>
      <x:c r="H4" s="24" t="str"/>
      <x:c r="I4" s="24" t="str"/>
      <x:c r="J4" s="24" t="str"/>
      <x:c r="K4" s="24" t="str"/>
      <x:c r="L4" s="24" t="str"/>
    </x:row>
    <x:row r="5" ht="32" customHeight="1">
      <x:c r="A5" s="16" t="str">
        <x:v>Test</x:v>
      </x:c>
      <x:c r="B5" s="16" t="str">
        <x:v>Geometry</x:v>
      </x:c>
      <x:c r="C5" s="16" t="str">
        <x:v>Gain</x:v>
      </x:c>
      <x:c r="D5" s="16" t="str">
        <x:v>X (m/s²)</x:v>
      </x:c>
      <x:c r="E5" s="16" t="str">
        <x:v>Y (m/s²)</x:v>
      </x:c>
      <x:c r="F5" s="16" t="str">
        <x:v>Z (m/s²)</x:v>
      </x:c>
      <x:c r="G5" s="16" t="str">
        <x:v>Total (m/s²)</x:v>
      </x:c>
      <x:c r="H5" s="16" t="str">
        <x:v>X energy %</x:v>
      </x:c>
      <x:c r="I5" s="16" t="str">
        <x:v>Y energy %</x:v>
      </x:c>
      <x:c r="J5" s="16" t="str">
        <x:v>Z energy %</x:v>
      </x:c>
      <x:c r="K5" s="16" t="str">
        <x:v>Dominant</x:v>
      </x:c>
      <x:c r="L5" s="16" t="str">
        <x:v>Interpretation</x:v>
      </x:c>
    </x:row>
    <x:row r="6">
      <x:c r="A6" s="26" t="str">
        <x:v>K1</x:v>
      </x:c>
      <x:c r="B6" s="26" t="str">
        <x:v>Horizontal / flat</x:v>
      </x:c>
      <x:c r="C6" s="26" t="str">
        <x:v>Low</x:v>
      </x:c>
      <x:c r="D6" s="39" t="n">
        <x:v>0.01489</x:v>
      </x:c>
      <x:c r="E6" s="39" t="n">
        <x:v>0.0592</x:v>
      </x:c>
      <x:c r="F6" s="39" t="n">
        <x:v>0.12804</x:v>
      </x:c>
      <x:c r="G6" s="39" t="n">
        <x:v>0.14276</x:v>
      </x:c>
      <x:c r="H6" s="47" t="n">
        <x:f>IF(OR(G6="",G6=0),"",D6^2/G6^2*100)</x:f>
        <x:v>1.0878682878411676</x:v>
      </x:c>
      <x:c r="I6" s="47" t="n">
        <x:f>IF(OR(G6="",G6=0),"",E6^2/G6^2*100)</x:f>
        <x:v>17.196114764596388</x:v>
      </x:c>
      <x:c r="J6" s="47" t="n">
        <x:f>IF(OR(G6="",G6=0),"",F6^2/G6^2*100)</x:f>
        <x:v>80.44114660339442</x:v>
      </x:c>
      <x:c r="K6" s="26" t="str">
        <x:f>IF(D6=MAX(D6:F6),"X",IF(E6=MAX(D6:F6),"Y","Z"))</x:f>
        <x:v>Z</x:v>
      </x:c>
      <x:c r="L6" s="26" t="str">
        <x:v>Horizontal response remains primarily Z-directed.</x:v>
      </x:c>
    </x:row>
    <x:row r="7">
      <x:c r="A7" s="26" t="str">
        <x:v>K2</x:v>
      </x:c>
      <x:c r="B7" s="26" t="str">
        <x:v>Horizontal / flat</x:v>
      </x:c>
      <x:c r="C7" s="26" t="str">
        <x:v>Low–medium</x:v>
      </x:c>
      <x:c r="D7" s="39" t="n">
        <x:v>0.02071</x:v>
      </x:c>
      <x:c r="E7" s="39" t="n">
        <x:v>0.12012</x:v>
      </x:c>
      <x:c r="F7" s="39" t="n">
        <x:v>0.26965</x:v>
      </x:c>
      <x:c r="G7" s="39" t="n">
        <x:v>0.29691</x:v>
      </x:c>
      <x:c r="H7" s="47" t="n">
        <x:f>IF(OR(G7="",G7=0),"",D7^2/G7^2*100)</x:f>
        <x:v>0.48653103434110456</x:v>
      </x:c>
      <x:c r="I7" s="47" t="n">
        <x:f>IF(OR(G7="",G7=0),"",E7^2/G7^2*100)</x:f>
        <x:v>16.367449027294974</x:v>
      </x:c>
      <x:c r="J7" s="47" t="n">
        <x:f>IF(OR(G7="",G7=0),"",F7^2/G7^2*100)</x:f>
        <x:v>82.48048372125089</x:v>
      </x:c>
      <x:c r="K7" s="26" t="str">
        <x:f>IF(D7=MAX(D7:F7),"X",IF(E7=MAX(D7:F7),"Y","Z"))</x:f>
        <x:v>Z</x:v>
      </x:c>
      <x:c r="L7" s="26" t="str">
        <x:v>Horizontal response remains primarily Z-directed.</x:v>
      </x:c>
    </x:row>
    <x:row r="8">
      <x:c r="A8" s="26" t="str">
        <x:v>K3</x:v>
      </x:c>
      <x:c r="B8" s="26" t="str">
        <x:v>Horizontal / flat</x:v>
      </x:c>
      <x:c r="C8" s="26" t="str">
        <x:v>High</x:v>
      </x:c>
      <x:c r="D8" s="39" t="n">
        <x:v>0.17521</x:v>
      </x:c>
      <x:c r="E8" s="39" t="n">
        <x:v>1.18004</x:v>
      </x:c>
      <x:c r="F8" s="39" t="n">
        <x:v>2.27108</x:v>
      </x:c>
      <x:c r="G8" s="39" t="n">
        <x:v>2.56945</x:v>
      </x:c>
      <x:c r="H8" s="47" t="n">
        <x:f>IF(OR(G8="",G8=0),"",D8^2/G8^2*100)</x:f>
        <x:v>0.4649833876939146</x:v>
      </x:c>
      <x:c r="I8" s="47" t="n">
        <x:f>IF(OR(G8="",G8=0),"",E8^2/G8^2*100)</x:f>
        <x:v>21.091774322964664</x:v>
      </x:c>
      <x:c r="J8" s="47" t="n">
        <x:f>IF(OR(G8="",G8=0),"",F8^2/G8^2*100)</x:f>
        <x:v>78.12400938424753</x:v>
      </x:c>
      <x:c r="K8" s="26" t="str">
        <x:f>IF(D8=MAX(D8:F8),"X",IF(E8=MAX(D8:F8),"Y","Z"))</x:f>
        <x:v>Z</x:v>
      </x:c>
      <x:c r="L8" s="26" t="str">
        <x:v>Horizontal response remains primarily Z-directed.</x:v>
      </x:c>
    </x:row>
    <x:row r="9">
      <x:c r="A9" s="26" t="str">
        <x:v>K4</x:v>
      </x:c>
      <x:c r="B9" s="26" t="str">
        <x:v>Horizontal / flat</x:v>
      </x:c>
      <x:c r="C9" s="26" t="str">
        <x:v>Highest tested</x:v>
      </x:c>
      <x:c r="D9" s="39" t="n">
        <x:v>0.33639</x:v>
      </x:c>
      <x:c r="E9" s="39" t="n">
        <x:v>3.83228</x:v>
      </x:c>
      <x:c r="F9" s="39" t="n">
        <x:v>4.87504</x:v>
      </x:c>
      <x:c r="G9" s="39" t="n">
        <x:v>6.2109</x:v>
      </x:c>
      <x:c r="H9" s="47" t="n">
        <x:f>IF(OR(G9="",G9=0),"",D9^2/G9^2*100)</x:f>
        <x:v>0.2933439124506487</x:v>
      </x:c>
      <x:c r="I9" s="47" t="n">
        <x:f>IF(OR(G9="",G9=0),"",E9^2/G9^2*100)</x:f>
        <x:v>38.07197368744048</x:v>
      </x:c>
      <x:c r="J9" s="47" t="n">
        <x:f>IF(OR(G9="",G9=0),"",F9^2/G9^2*100)</x:f>
        <x:v>61.609444532229965</x:v>
      </x:c>
      <x:c r="K9" s="26" t="str">
        <x:f>IF(D9=MAX(D9:F9),"X",IF(E9=MAX(D9:F9),"Y","Z"))</x:f>
        <x:v>Z</x:v>
      </x:c>
      <x:c r="L9" s="26" t="str">
        <x:v>Horizontal response remains primarily Z-directed.</x:v>
      </x:c>
    </x:row>
    <x:row r="10">
      <x:c r="A10" s="26" t="str">
        <x:v>INC-01</x:v>
      </x:c>
      <x:c r="B10" s="26" t="str">
        <x:v>Inclined / wearable-like</x:v>
      </x:c>
      <x:c r="C10" s="26" t="str">
        <x:v>As tested</x:v>
      </x:c>
      <x:c r="D10" s="39" t="n">
        <x:v>0.16671</x:v>
      </x:c>
      <x:c r="E10" s="39" t="n">
        <x:v>0.97667</x:v>
      </x:c>
      <x:c r="F10" s="39" t="n">
        <x:v>0.73318</x:v>
      </x:c>
      <x:c r="G10" s="39" t="n">
        <x:v>1.23301</x:v>
      </x:c>
      <x:c r="H10" s="47" t="n">
        <x:f>IF(OR(G10="",G10=0),"",D10^2/G10^2*100)</x:f>
        <x:v>1.828058566425822</x:v>
      </x:c>
      <x:c r="I10" s="47" t="n">
        <x:f>IF(OR(G10="",G10=0),"",E10^2/G10^2*100)</x:f>
        <x:v>62.742598052908214</x:v>
      </x:c>
      <x:c r="J10" s="47" t="n">
        <x:f>IF(OR(G10="",G10=0),"",F10^2/G10^2*100)</x:f>
        <x:v>35.35802686694547</x:v>
      </x:c>
      <x:c r="K10" s="26" t="str">
        <x:f>IF(D10=MAX(D10:F10),"X",IF(E10=MAX(D10:F10),"Y","Z"))</x:f>
        <x:v>Y</x:v>
      </x:c>
      <x:c r="L10" s="26" t="str">
        <x:v>Wearable geometry rotates measured dominance toward Y–Z plane.</x:v>
      </x:c>
    </x:row>
    <x:row r="11">
      <x:c r="A11" s="26"/>
      <x:c r="B11" s="26"/>
      <x:c r="C11" s="26"/>
      <x:c r="D11" s="26"/>
      <x:c r="E11" s="26"/>
      <x:c r="F11" s="26"/>
      <x:c r="G11" s="26"/>
      <x:c r="H11" s="26"/>
      <x:c r="I11" s="26"/>
      <x:c r="J11" s="26"/>
      <x:c r="K11" s="26"/>
      <x:c r="L11" s="26"/>
    </x:row>
    <x:row r="12">
      <x:c r="A12" s="26"/>
      <x:c r="B12" s="26"/>
      <x:c r="C12" s="26"/>
      <x:c r="D12" s="26"/>
      <x:c r="E12" s="26"/>
      <x:c r="F12" s="26"/>
      <x:c r="G12" s="26"/>
      <x:c r="H12" s="26"/>
      <x:c r="I12" s="26"/>
      <x:c r="J12" s="26"/>
      <x:c r="K12" s="26"/>
      <x:c r="L12" s="26"/>
    </x:row>
    <x:row r="13">
      <x:c r="A13" s="24" t="str">
        <x:v>Horizontal gain comparison: 268 Hz, DAC 5</x:v>
      </x:c>
      <x:c r="B13" s="24" t="str"/>
      <x:c r="C13" s="24" t="str"/>
      <x:c r="D13" s="24" t="str"/>
      <x:c r="E13" s="24" t="str"/>
      <x:c r="F13" s="24" t="str"/>
      <x:c r="G13" s="24" t="str"/>
      <x:c r="H13" s="24" t="str"/>
      <x:c r="I13" s="24" t="str"/>
      <x:c r="J13" s="24" t="str"/>
      <x:c r="K13" s="24" t="str"/>
      <x:c r="L13" s="24" t="str"/>
    </x:row>
    <x:row r="14" ht="32" customHeight="1">
      <x:c r="A14" s="16" t="str">
        <x:v>Test</x:v>
      </x:c>
      <x:c r="B14" s="16" t="str">
        <x:v>Geometry</x:v>
      </x:c>
      <x:c r="C14" s="16" t="str">
        <x:v>Gain</x:v>
      </x:c>
      <x:c r="D14" s="16" t="str">
        <x:v>X (m/s²)</x:v>
      </x:c>
      <x:c r="E14" s="16" t="str">
        <x:v>Y (m/s²)</x:v>
      </x:c>
      <x:c r="F14" s="16" t="str">
        <x:v>Z (m/s²)</x:v>
      </x:c>
      <x:c r="G14" s="16" t="str">
        <x:v>Total (m/s²)</x:v>
      </x:c>
      <x:c r="H14" s="16" t="str">
        <x:v>X energy %</x:v>
      </x:c>
      <x:c r="I14" s="16" t="str">
        <x:v>Y energy %</x:v>
      </x:c>
      <x:c r="J14" s="16" t="str">
        <x:v>Z energy %</x:v>
      </x:c>
      <x:c r="K14" s="16" t="str">
        <x:v>Dominant</x:v>
      </x:c>
      <x:c r="L14" s="16" t="str">
        <x:v>Interpretation</x:v>
      </x:c>
    </x:row>
    <x:row r="15">
      <x:c r="A15" s="26" t="str">
        <x:v>K1</x:v>
      </x:c>
      <x:c r="B15" s="26" t="str">
        <x:v>Horizontal / flat</x:v>
      </x:c>
      <x:c r="C15" s="26" t="str">
        <x:v>Low</x:v>
      </x:c>
      <x:c r="D15" s="39" t="n">
        <x:v>0.01228</x:v>
      </x:c>
      <x:c r="E15" s="39" t="n">
        <x:v>0.02294</x:v>
      </x:c>
      <x:c r="F15" s="39" t="n">
        <x:v>0.04457</x:v>
      </x:c>
      <x:c r="G15" s="39" t="n">
        <x:v>0.05331</x:v>
      </x:c>
      <x:c r="H15" s="47" t="n">
        <x:f>IF(OR(G15="",G15=0),"",D15^2/G15^2*100)</x:f>
        <x:v>5.306148113969809</x:v>
      </x:c>
      <x:c r="I15" s="47" t="n">
        <x:f>IF(OR(G15="",G15=0),"",E15^2/G15^2*100)</x:f>
        <x:v>18.516950349796033</x:v>
      </x:c>
      <x:c r="J15" s="47" t="n">
        <x:f>IF(OR(G15="",G15=0),"",F15^2/G15^2*100)</x:f>
        <x:v>69.89850758074692</x:v>
      </x:c>
      <x:c r="K15" s="26" t="str">
        <x:f>IF(D15=MAX(D15:F15),"X",IF(E15=MAX(D15:F15),"Y","Z"))</x:f>
        <x:v>Z</x:v>
      </x:c>
      <x:c r="L15" s="26" t="str">
        <x:v>Shows effective amplifier gain at the same DAC.</x:v>
      </x:c>
    </x:row>
    <x:row r="16">
      <x:c r="A16" s="26" t="str">
        <x:v>K2</x:v>
      </x:c>
      <x:c r="B16" s="26" t="str">
        <x:v>Horizontal / flat</x:v>
      </x:c>
      <x:c r="C16" s="26" t="str">
        <x:v>Low–medium</x:v>
      </x:c>
      <x:c r="D16" s="39" t="n">
        <x:v>0.01049</x:v>
      </x:c>
      <x:c r="E16" s="39" t="n">
        <x:v>0.03754</x:v>
      </x:c>
      <x:c r="F16" s="39" t="n">
        <x:v>0.08308</x:v>
      </x:c>
      <x:c r="G16" s="39" t="n">
        <x:v>0.09249</x:v>
      </x:c>
      <x:c r="H16" s="47" t="n">
        <x:f>IF(OR(G16="",G16=0),"",D16^2/G16^2*100)</x:f>
        <x:v>1.28635671366365</x:v>
      </x:c>
      <x:c r="I16" s="47" t="n">
        <x:f>IF(OR(G16="",G16=0),"",E16^2/G16^2*100)</x:f>
        <x:v>16.47399681480879</x:v>
      </x:c>
      <x:c r="J16" s="47" t="n">
        <x:f>IF(OR(G16="",G16=0),"",F16^2/G16^2*100)</x:f>
        <x:v>80.68697184271285</x:v>
      </x:c>
      <x:c r="K16" s="26" t="str">
        <x:f>IF(D16=MAX(D16:F16),"X",IF(E16=MAX(D16:F16),"Y","Z"))</x:f>
        <x:v>Z</x:v>
      </x:c>
      <x:c r="L16" s="26" t="str">
        <x:v>Shows effective amplifier gain at the same DAC.</x:v>
      </x:c>
    </x:row>
    <x:row r="17">
      <x:c r="A17" s="26" t="str">
        <x:v>K3</x:v>
      </x:c>
      <x:c r="B17" s="26" t="str">
        <x:v>Horizontal / flat</x:v>
      </x:c>
      <x:c r="C17" s="26" t="str">
        <x:v>High</x:v>
      </x:c>
      <x:c r="D17" s="39" t="n">
        <x:v>0.03189</x:v>
      </x:c>
      <x:c r="E17" s="39" t="n">
        <x:v>0.19805</x:v>
      </x:c>
      <x:c r="F17" s="39" t="n">
        <x:v>0.4666</x:v>
      </x:c>
      <x:c r="G17" s="39" t="n">
        <x:v>0.50988</x:v>
      </x:c>
      <x:c r="H17" s="47" t="n">
        <x:f>IF(OR(G17="",G17=0),"",D17^2/G17^2*100)</x:f>
        <x:v>0.3911767951048635</x:v>
      </x:c>
      <x:c r="I17" s="47" t="n">
        <x:f>IF(OR(G17="",G17=0),"",E17^2/G17^2*100)</x:f>
        <x:v>15.087376884553796</x:v>
      </x:c>
      <x:c r="J17" s="47" t="n">
        <x:f>IF(OR(G17="",G17=0),"",F17^2/G17^2*100)</x:f>
        <x:v>83.74396407262364</x:v>
      </x:c>
      <x:c r="K17" s="26" t="str">
        <x:f>IF(D17=MAX(D17:F17),"X",IF(E17=MAX(D17:F17),"Y","Z"))</x:f>
        <x:v>Z</x:v>
      </x:c>
      <x:c r="L17" s="26" t="str">
        <x:v>Shows effective amplifier gain at the same DAC.</x:v>
      </x:c>
    </x:row>
    <x:row r="18">
      <x:c r="A18" s="26" t="str">
        <x:v>K4</x:v>
      </x:c>
      <x:c r="B18" s="26" t="str">
        <x:v>Horizontal / flat</x:v>
      </x:c>
      <x:c r="C18" s="26" t="str">
        <x:v>Highest tested</x:v>
      </x:c>
      <x:c r="D18" s="39" t="n">
        <x:v>0.04331</x:v>
      </x:c>
      <x:c r="E18" s="39" t="n">
        <x:v>0.34929</x:v>
      </x:c>
      <x:c r="F18" s="39" t="n">
        <x:v>0.64902</x:v>
      </x:c>
      <x:c r="G18" s="39" t="n">
        <x:v>0.74277</x:v>
      </x:c>
      <x:c r="H18" s="47" t="n">
        <x:f>IF(OR(G18="",G18=0),"",D18^2/G18^2*100)</x:f>
        <x:v>0.3399911859309477</x:v>
      </x:c>
      <x:c r="I18" s="47" t="n">
        <x:f>IF(OR(G18="",G18=0),"",E18^2/G18^2*100)</x:f>
        <x:v>22.11381109019996</x:v>
      </x:c>
      <x:c r="J18" s="47" t="n">
        <x:f>IF(OR(G18="",G18=0),"",F18^2/G18^2*100)</x:f>
        <x:v>76.34972042073291</x:v>
      </x:c>
      <x:c r="K18" s="26" t="str">
        <x:f>IF(D18=MAX(D18:F18),"X",IF(E18=MAX(D18:F18),"Y","Z"))</x:f>
        <x:v>Z</x:v>
      </x:c>
      <x:c r="L18" s="26" t="str">
        <x:v>Shows effective amplifier gain at the same DAC.</x:v>
      </x:c>
    </x:row>
    <x:row r="19">
      <x:c r="A19" s="26" t="str">
        <x:v>K5</x:v>
      </x:c>
      <x:c r="B19" s="26" t="str">
        <x:v>Horizontal / flat</x:v>
      </x:c>
      <x:c r="C19" s="26" t="str">
        <x:v>Intermediate</x:v>
      </x:c>
      <x:c r="D19" s="39" t="n">
        <x:v>0.03828</x:v>
      </x:c>
      <x:c r="E19" s="39" t="n">
        <x:v>0.10704</x:v>
      </x:c>
      <x:c r="F19" s="39" t="n">
        <x:v>0.28609</x:v>
      </x:c>
      <x:c r="G19" s="39" t="n">
        <x:v>0.30833</x:v>
      </x:c>
      <x:c r="H19" s="47" t="n">
        <x:f>IF(OR(G19="",G19=0),"",D19^2/G19^2*100)</x:f>
        <x:v>1.5413891313890922</x:v>
      </x:c>
      <x:c r="I19" s="47" t="n">
        <x:f>IF(OR(G19="",G19=0),"",E19^2/G19^2*100)</x:f>
        <x:v>12.052041959469447</x:v>
      </x:c>
      <x:c r="J19" s="47" t="n">
        <x:f>IF(OR(G19="",G19=0),"",F19^2/G19^2*100)</x:f>
        <x:v>86.09417913654302</x:v>
      </x:c>
      <x:c r="K19" s="26" t="str">
        <x:f>IF(D19=MAX(D19:F19),"X",IF(E19=MAX(D19:F19),"Y","Z"))</x:f>
        <x:v>Z</x:v>
      </x:c>
      <x:c r="L19" s="26" t="str">
        <x:v>Shows effective amplifier gain at the same DAC.</x:v>
      </x:c>
    </x:row>
    <x:row r="20">
      <x:c r="A20" s="26"/>
      <x:c r="B20" s="26"/>
      <x:c r="C20" s="26"/>
      <x:c r="D20" s="26"/>
      <x:c r="E20" s="26"/>
      <x:c r="F20" s="26"/>
      <x:c r="G20" s="26"/>
      <x:c r="H20" s="26"/>
      <x:c r="I20" s="26"/>
      <x:c r="J20" s="26"/>
      <x:c r="K20" s="26"/>
      <x:c r="L20" s="26"/>
    </x:row>
    <x:row r="21">
      <x:c r="A21" s="26"/>
      <x:c r="B21" s="26"/>
      <x:c r="C21" s="26"/>
      <x:c r="D21" s="26"/>
      <x:c r="E21" s="26"/>
      <x:c r="F21" s="26"/>
      <x:c r="G21" s="26"/>
      <x:c r="H21" s="26"/>
      <x:c r="I21" s="26"/>
      <x:c r="J21" s="26"/>
      <x:c r="K21" s="26"/>
      <x:c r="L21" s="26"/>
    </x:row>
    <x:row r="22">
      <x:c r="A22" s="24" t="str">
        <x:v>Inclined wearable-like control points</x:v>
      </x:c>
      <x:c r="B22" s="24" t="str"/>
      <x:c r="C22" s="24" t="str"/>
      <x:c r="D22" s="24" t="str"/>
      <x:c r="E22" s="24" t="str"/>
      <x:c r="F22" s="24" t="str"/>
      <x:c r="G22" s="24" t="str"/>
      <x:c r="H22" s="24" t="str"/>
      <x:c r="I22" s="24" t="str"/>
      <x:c r="J22" s="24" t="str"/>
      <x:c r="K22" s="24" t="str"/>
      <x:c r="L22" s="24" t="str"/>
    </x:row>
    <x:row r="23" ht="32" customHeight="1">
      <x:c r="A23" s="16" t="str">
        <x:v>DAC</x:v>
      </x:c>
      <x:c r="B23" s="16" t="str">
        <x:v>X amp</x:v>
      </x:c>
      <x:c r="C23" s="16" t="str">
        <x:v>Y amp</x:v>
      </x:c>
      <x:c r="D23" s="16" t="str">
        <x:v>Z amp</x:v>
      </x:c>
      <x:c r="E23" s="16" t="str">
        <x:v>Total</x:v>
      </x:c>
      <x:c r="F23" s="16" t="str">
        <x:v>X sync</x:v>
      </x:c>
      <x:c r="G23" s="16" t="str">
        <x:v>Y sync</x:v>
      </x:c>
      <x:c r="H23" s="16" t="str">
        <x:v>Z sync</x:v>
      </x:c>
      <x:c r="I23" s="16" t="str">
        <x:v>Y/Z amplitude</x:v>
      </x:c>
      <x:c r="J23" s="16" t="str">
        <x:v>Z/X amplitude</x:v>
      </x:c>
      <x:c r="K23" s="16" t="str">
        <x:v>Dominant</x:v>
      </x:c>
      <x:c r="L23" s="16" t="str">
        <x:v>Control comment</x:v>
      </x:c>
    </x:row>
    <x:row r="24">
      <x:c r="A24" s="26" t="n">
        <x:v>10</x:v>
      </x:c>
      <x:c r="B24" s="39" t="n">
        <x:v>0.03155</x:v>
      </x:c>
      <x:c r="C24" s="39" t="n">
        <x:v>0.68373</x:v>
      </x:c>
      <x:c r="D24" s="39" t="n">
        <x:v>0.56922</x:v>
      </x:c>
      <x:c r="E24" s="39" t="n">
        <x:v>0.89039</x:v>
      </x:c>
      <x:c r="F24" s="39" t="n">
        <x:v>0.069</x:v>
      </x:c>
      <x:c r="G24" s="39" t="n">
        <x:v>0.729</x:v>
      </x:c>
      <x:c r="H24" s="39" t="n">
        <x:v>0.787</x:v>
      </x:c>
      <x:c r="I24" s="39" t="n">
        <x:f>IF(D24=0,"",C24/D24)</x:f>
        <x:v>1.201170022135554</x:v>
      </x:c>
      <x:c r="J24" s="39" t="n">
        <x:f>IF(B24=0,"",D24/B24)</x:f>
        <x:v>18.041838351822502</x:v>
      </x:c>
      <x:c r="K24" s="26" t="str">
        <x:f>IF(B24=MAX(B24:D24),"X",IF(C24=MAX(B24:D24),"Y","Z"))</x:f>
        <x:v>Y</x:v>
      </x:c>
      <x:c r="L24" s="26" t="str">
        <x:v>Z offers much stronger coherent authority than X; monitor Y simultaneously.</x:v>
      </x:c>
    </x:row>
    <x:row r="25">
      <x:c r="A25" s="26" t="n">
        <x:v>15</x:v>
      </x:c>
      <x:c r="B25" s="39" t="n">
        <x:v>0.21213</x:v>
      </x:c>
      <x:c r="C25" s="39" t="n">
        <x:v>1.25491</x:v>
      </x:c>
      <x:c r="D25" s="39" t="n">
        <x:v>0.95502</x:v>
      </x:c>
      <x:c r="E25" s="39" t="n">
        <x:v>1.59155</x:v>
      </x:c>
      <x:c r="F25" s="39" t="n">
        <x:v>0.379</x:v>
      </x:c>
      <x:c r="G25" s="39" t="n">
        <x:v>0.847</x:v>
      </x:c>
      <x:c r="H25" s="39" t="n">
        <x:v>0.886</x:v>
      </x:c>
      <x:c r="I25" s="39" t="n">
        <x:f>IF(D25=0,"",C25/D25)</x:f>
        <x:v>1.314014366191284</x:v>
      </x:c>
      <x:c r="J25" s="39" t="n">
        <x:f>IF(B25=0,"",D25/B25)</x:f>
        <x:v>4.5020506293310705</x:v>
      </x:c>
      <x:c r="K25" s="26" t="str">
        <x:f>IF(B25=MAX(B25:D25),"X",IF(C25=MAX(B25:D25),"Y","Z"))</x:f>
        <x:v>Y</x:v>
      </x:c>
      <x:c r="L25" s="26" t="str">
        <x:v>Z offers much stronger coherent authority than X; monitor Y simultaneously.</x:v>
      </x:c>
    </x:row>
    <x:row r="26">
      <x:c r="A26" s="26" t="n">
        <x:v>20</x:v>
      </x:c>
      <x:c r="B26" s="39" t="n">
        <x:v>0.268</x:v>
      </x:c>
      <x:c r="C26" s="39" t="n">
        <x:v>2.22958</x:v>
      </x:c>
      <x:c r="D26" s="39" t="n">
        <x:v>1.66745</x:v>
      </x:c>
      <x:c r="E26" s="39" t="n">
        <x:v>2.79743</x:v>
      </x:c>
      <x:c r="F26" s="39" t="n">
        <x:v>0.362</x:v>
      </x:c>
      <x:c r="G26" s="39" t="n">
        <x:v>0.89</x:v>
      </x:c>
      <x:c r="H26" s="39" t="n">
        <x:v>0.923</x:v>
      </x:c>
      <x:c r="I26" s="39" t="n">
        <x:f>IF(D26=0,"",C26/D26)</x:f>
        <x:v>1.3371195538097094</x:v>
      </x:c>
      <x:c r="J26" s="39" t="n">
        <x:f>IF(B26=0,"",D26/B26)</x:f>
        <x:v>6.221828358208955</x:v>
      </x:c>
      <x:c r="K26" s="26" t="str">
        <x:f>IF(B26=MAX(B26:D26),"X",IF(C26=MAX(B26:D26),"Y","Z"))</x:f>
        <x:v>Y</x:v>
      </x:c>
      <x:c r="L26" s="26" t="str">
        <x:v>Z offers much stronger coherent authority than X; monitor Y simultaneously.</x:v>
      </x:c>
    </x:row>
    <x:row r="27">
      <x:c r="A27" s="26" t="n">
        <x:v>25</x:v>
      </x:c>
      <x:c r="B27" s="39" t="n">
        <x:v>0.34265</x:v>
      </x:c>
      <x:c r="C27" s="39" t="n">
        <x:v>3.09608</x:v>
      </x:c>
      <x:c r="D27" s="39" t="n">
        <x:v>2.37994</x:v>
      </x:c>
      <x:c r="E27" s="39" t="n">
        <x:v>3.92025</x:v>
      </x:c>
      <x:c r="F27" s="39" t="n">
        <x:v>0.48</x:v>
      </x:c>
      <x:c r="G27" s="39" t="n">
        <x:v>0.927</x:v>
      </x:c>
      <x:c r="H27" s="39" t="n">
        <x:v>0.941</x:v>
      </x:c>
      <x:c r="I27" s="39" t="n">
        <x:f>IF(D27=0,"",C27/D27)</x:f>
        <x:v>1.3009067455482073</x:v>
      </x:c>
      <x:c r="J27" s="39" t="n">
        <x:f>IF(B27=0,"",D27/B27)</x:f>
        <x:v>6.945688019845323</x:v>
      </x:c>
      <x:c r="K27" s="26" t="str">
        <x:f>IF(B27=MAX(B27:D27),"X",IF(C27=MAX(B27:D27),"Y","Z"))</x:f>
        <x:v>Y</x:v>
      </x:c>
      <x:c r="L27" s="26" t="str">
        <x:v>Z offers much stronger coherent authority than X; monitor Y simultaneously.</x:v>
      </x:c>
    </x:row>
    <x:row r="28">
      <x:c r="A28" s="26" t="n">
        <x:v>30</x:v>
      </x:c>
      <x:c r="B28" s="39" t="n">
        <x:v>0.38186</x:v>
      </x:c>
      <x:c r="C28" s="39" t="n">
        <x:v>3.65183</x:v>
      </x:c>
      <x:c r="D28" s="39" t="n">
        <x:v>2.9028</x:v>
      </x:c>
      <x:c r="E28" s="39" t="n">
        <x:v>4.6811</x:v>
      </x:c>
      <x:c r="F28" s="39" t="n">
        <x:v>0.497</x:v>
      </x:c>
      <x:c r="G28" s="39" t="n">
        <x:v>0.929</x:v>
      </x:c>
      <x:c r="H28" s="39" t="n">
        <x:v>0.94</x:v>
      </x:c>
      <x:c r="I28" s="39" t="n">
        <x:f>IF(D28=0,"",C28/D28)</x:f>
        <x:v>1.2580370676588122</x:v>
      </x:c>
      <x:c r="J28" s="39" t="n">
        <x:f>IF(B28=0,"",D28/B28)</x:f>
        <x:v>7.601738857172786</x:v>
      </x:c>
      <x:c r="K28" s="26" t="str">
        <x:f>IF(B28=MAX(B28:D28),"X",IF(C28=MAX(B28:D28),"Y","Z"))</x:f>
        <x:v>Y</x:v>
      </x:c>
      <x:c r="L28" s="26" t="str">
        <x:v>Z offers much stronger coherent authority than X; monitor Y simultaneously.</x:v>
      </x:c>
    </x:row>
    <x:row r="29">
      <x:c r="A29" s="26"/>
      <x:c r="B29" s="26"/>
      <x:c r="C29" s="26"/>
      <x:c r="D29" s="26"/>
      <x:c r="E29" s="26"/>
      <x:c r="F29" s="26"/>
      <x:c r="G29" s="26"/>
      <x:c r="H29" s="26"/>
      <x:c r="I29" s="26"/>
      <x:c r="J29" s="26"/>
      <x:c r="K29" s="26"/>
      <x:c r="L29" s="26"/>
    </x:row>
    <x:row r="30">
      <x:c r="A30" s="26"/>
      <x:c r="B30" s="26"/>
      <x:c r="C30" s="26"/>
      <x:c r="D30" s="26"/>
      <x:c r="E30" s="26"/>
      <x:c r="F30" s="26"/>
      <x:c r="G30" s="26"/>
      <x:c r="H30" s="26"/>
      <x:c r="I30" s="26"/>
      <x:c r="J30" s="26"/>
      <x:c r="K30" s="26"/>
      <x:c r="L30" s="26"/>
    </x:row>
  </x:sheetData>
  <x:mergeCells>
    <x:mergeCell ref="A1:L1"/>
    <x:mergeCell ref="A2:L2"/>
    <x:mergeCell ref="A4:L4"/>
    <x:mergeCell ref="A13:L13"/>
    <x:mergeCell ref="A22:L22"/>
  </x:mergeCells>
  <x:conditionalFormatting sqref="H6:J19">
    <x:cfRule type="dataBar" priority="1">
      <x:dataBar>
        <x:cfvo type="min"/>
        <x:cfvo type="max"/>
        <x:color rgb="FF5B9BD5"/>
      </x:dataBar>
      <x:extLst>
        <x:ext xmlns:x14="http://schemas.microsoft.com/office/spreadsheetml/2009/9/main" uri="{B025F937-C7B1-47D3-B67F-A62EFF666E3E}">
          <x14:id>{1BD492CA-4AC1-DAB9-ECA6-949A098AAD0B}</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1BD492CA-4AC1-DAB9-ECA6-949A098AAD0B}">
            <x14:dataBar gradient="1">
              <x14:cfvo type="min"/>
              <x14:cfvo type="max"/>
              <x14:fillColor rgb="FF5B9BD5"/>
            </x14:dataBar>
          </x14:cfRule>
          <xm:sqref>H6:J19</xm:sqref>
        </x14:conditionalFormatting>
      </x14:conditionalFormattings>
    </x:ext>
  </x:extLst>
</x:worksheet>
</file>

<file path=xl/worksheets/sheet9.xml><?xml version="1.0" encoding="utf-8"?>
<x:worksheet xmlns:x="http://schemas.openxmlformats.org/spreadsheetml/2006/main">
  <x:sheetFormatPr defaultRowHeight="15"/>
  <x:cols>
    <x:col min="1" max="1" width="10" hidden="0" customWidth="1"/>
    <x:col min="2" max="2" width="12" hidden="0" customWidth="1"/>
    <x:col min="3" max="3" width="30" hidden="0" customWidth="1"/>
    <x:col min="4" max="4" width="20" hidden="0" customWidth="1"/>
    <x:col min="5" max="5" width="22" hidden="0" customWidth="1"/>
    <x:col min="6" max="6" width="13" hidden="0" customWidth="1"/>
    <x:col min="7" max="7" width="9" hidden="0" customWidth="1"/>
    <x:col min="8" max="8" width="9" hidden="0" customWidth="1"/>
    <x:col min="9" max="9" width="13" hidden="0" customWidth="1"/>
    <x:col min="10" max="10" width="13" hidden="0" customWidth="1"/>
    <x:col min="11" max="11" width="13" hidden="0" customWidth="1"/>
    <x:col min="12" max="12" width="13" hidden="0" customWidth="1"/>
    <x:col min="13" max="13" width="11" hidden="0" customWidth="1"/>
    <x:col min="14" max="14" width="11" hidden="0" customWidth="1"/>
    <x:col min="15" max="15" width="11" hidden="0" customWidth="1"/>
    <x:col min="16" max="16" width="12" hidden="0" customWidth="1"/>
    <x:col min="17" max="17" width="11" hidden="0" customWidth="1"/>
    <x:col min="18" max="18" width="11" hidden="0" customWidth="1"/>
    <x:col min="19" max="19" width="11" hidden="0" customWidth="1"/>
    <x:col min="20" max="20" width="10" hidden="0" customWidth="1"/>
    <x:col min="21" max="21" width="10" hidden="0" customWidth="1"/>
    <x:col min="22" max="22" width="10" hidden="0" customWidth="1"/>
    <x:col min="23" max="23" width="32" hidden="0" customWidth="1"/>
  </x:cols>
  <x:sheetData>
    <x:row r="1" ht="28" customHeight="1">
      <x:c r="A1" s="6" t="str">
        <x:v>FUTURE INCLINED TEST TEMPLATE — APPEND NEW WEARABLE GEOMETRIES HERE</x:v>
      </x:c>
      <x:c r="B1" s="6"/>
      <x:c r="C1" s="6"/>
      <x:c r="D1" s="6"/>
      <x:c r="E1" s="6"/>
      <x:c r="F1" s="6"/>
      <x:c r="G1" s="6"/>
      <x:c r="H1" s="6"/>
      <x:c r="I1" s="6"/>
      <x:c r="J1" s="6"/>
      <x:c r="K1" s="6"/>
      <x:c r="L1" s="6"/>
      <x:c r="M1" s="6"/>
      <x:c r="N1" s="6"/>
      <x:c r="O1" s="6"/>
      <x:c r="P1" s="6"/>
      <x:c r="Q1" s="6"/>
      <x:c r="R1" s="6"/>
      <x:c r="S1" s="6"/>
      <x:c r="T1" s="6"/>
      <x:c r="U1" s="6"/>
      <x:c r="V1" s="6"/>
      <x:c r="W1" s="6"/>
    </x:row>
    <x:row r="2">
      <x:c r="A2" s="26" t="str">
        <x:v>Enter or paste one row per independent measurement. Always record the physical installation angle/description, amplifier knob reference, command frequency and DAC. This makes future tests comparable even when the dominant ADXL axis changes. If you send future logs back to ChatGPT, they can be appended to the master workbook using the same schema.</x:v>
      </x:c>
      <x:c r="B2" s="26"/>
      <x:c r="C2" s="26"/>
      <x:c r="D2" s="26"/>
      <x:c r="E2" s="26"/>
      <x:c r="F2" s="26"/>
      <x:c r="G2" s="26"/>
      <x:c r="H2" s="26"/>
      <x:c r="I2" s="26"/>
      <x:c r="J2" s="26"/>
      <x:c r="K2" s="26"/>
      <x:c r="L2" s="26"/>
      <x:c r="M2" s="26"/>
      <x:c r="N2" s="26"/>
      <x:c r="O2" s="26"/>
      <x:c r="P2" s="26"/>
      <x:c r="Q2" s="26"/>
      <x:c r="R2" s="26"/>
      <x:c r="S2" s="26"/>
      <x:c r="T2" s="26"/>
      <x:c r="U2" s="26"/>
      <x:c r="V2" s="26"/>
      <x:c r="W2" s="26"/>
    </x:row>
    <x:row r="3">
      <x:c r="A3" s="26"/>
      <x:c r="B3" s="26"/>
      <x:c r="C3" s="26"/>
      <x:c r="D3" s="26"/>
      <x:c r="E3" s="26"/>
      <x:c r="F3" s="26"/>
      <x:c r="G3" s="26"/>
      <x:c r="H3" s="26"/>
      <x:c r="I3" s="26"/>
      <x:c r="J3" s="26"/>
      <x:c r="K3" s="26"/>
      <x:c r="L3" s="26"/>
      <x:c r="M3" s="26"/>
      <x:c r="N3" s="26"/>
      <x:c r="O3" s="26"/>
      <x:c r="P3" s="26"/>
      <x:c r="Q3" s="26"/>
      <x:c r="R3" s="26"/>
      <x:c r="S3" s="26"/>
      <x:c r="T3" s="26"/>
      <x:c r="U3" s="26"/>
      <x:c r="V3" s="26"/>
      <x:c r="W3" s="26"/>
    </x:row>
    <x:row r="5" ht="32" customHeight="1">
      <x:c r="A5" s="16" t="str">
        <x:v>Test ID</x:v>
      </x:c>
      <x:c r="B5" s="16" t="str">
        <x:v>Date</x:v>
      </x:c>
      <x:c r="C5" s="16" t="str">
        <x:v>Orientation description</x:v>
      </x:c>
      <x:c r="D5" s="16" t="str">
        <x:v>Inclination angle (deg)</x:v>
      </x:c>
      <x:c r="E5" s="16" t="str">
        <x:v>Knob mark / gain reference</x:v>
      </x:c>
      <x:c r="F5" s="16" t="str">
        <x:v>Cmd Freq (Hz)</x:v>
      </x:c>
      <x:c r="G5" s="16" t="str">
        <x:v>DAC</x:v>
      </x:c>
      <x:c r="H5" s="16" t="str">
        <x:v>Repeat</x:v>
      </x:c>
      <x:c r="I5" s="16" t="str">
        <x:v>X Local Freq</x:v>
      </x:c>
      <x:c r="J5" s="16" t="str">
        <x:v>Y Local Freq</x:v>
      </x:c>
      <x:c r="K5" s="16" t="str">
        <x:v>Z Local Freq</x:v>
      </x:c>
      <x:c r="L5" s="16" t="str">
        <x:v>Vector Freq</x:v>
      </x:c>
      <x:c r="M5" s="16" t="str">
        <x:v>Quad X</x:v>
      </x:c>
      <x:c r="N5" s="16" t="str">
        <x:v>Quad Y</x:v>
      </x:c>
      <x:c r="O5" s="16" t="str">
        <x:v>Quad Z</x:v>
      </x:c>
      <x:c r="P5" s="16" t="str">
        <x:v>Resultant</x:v>
      </x:c>
      <x:c r="Q5" s="16" t="str">
        <x:v>X Phase</x:v>
      </x:c>
      <x:c r="R5" s="16" t="str">
        <x:v>Y Phase</x:v>
      </x:c>
      <x:c r="S5" s="16" t="str">
        <x:v>Z Phase</x:v>
      </x:c>
      <x:c r="T5" s="16" t="str">
        <x:v>X Sync</x:v>
      </x:c>
      <x:c r="U5" s="16" t="str">
        <x:v>Y Sync</x:v>
      </x:c>
      <x:c r="V5" s="16" t="str">
        <x:v>Z Sync</x:v>
      </x:c>
      <x:c r="W5" s="16" t="str">
        <x:v>Mount / sensor notes</x:v>
      </x:c>
    </x:row>
    <x:row r="6">
      <x:c r="A6" s="26"/>
      <x:c r="B6" s="26"/>
      <x:c r="C6" s="26"/>
      <x:c r="D6" s="26"/>
      <x:c r="E6" s="26"/>
      <x:c r="F6" s="26"/>
      <x:c r="G6" s="26"/>
      <x:c r="H6" s="26"/>
      <x:c r="I6" s="26"/>
      <x:c r="J6" s="26"/>
      <x:c r="K6" s="26"/>
      <x:c r="L6" s="26"/>
      <x:c r="M6" s="26"/>
      <x:c r="N6" s="26"/>
      <x:c r="O6" s="26"/>
      <x:c r="P6" s="26"/>
      <x:c r="Q6" s="26"/>
      <x:c r="R6" s="26"/>
      <x:c r="S6" s="26"/>
      <x:c r="T6" s="26"/>
      <x:c r="U6" s="26"/>
      <x:c r="V6" s="26"/>
      <x:c r="W6" s="26"/>
    </x:row>
    <x:row r="7">
      <x:c r="A7" s="26"/>
      <x:c r="B7" s="26"/>
      <x:c r="C7" s="26"/>
      <x:c r="D7" s="26"/>
      <x:c r="E7" s="26"/>
      <x:c r="F7" s="26"/>
      <x:c r="G7" s="26"/>
      <x:c r="H7" s="26"/>
      <x:c r="I7" s="26"/>
      <x:c r="J7" s="26"/>
      <x:c r="K7" s="26"/>
      <x:c r="L7" s="26"/>
      <x:c r="M7" s="26"/>
      <x:c r="N7" s="26"/>
      <x:c r="O7" s="26"/>
      <x:c r="P7" s="26"/>
      <x:c r="Q7" s="26"/>
      <x:c r="R7" s="26"/>
      <x:c r="S7" s="26"/>
      <x:c r="T7" s="26"/>
      <x:c r="U7" s="26"/>
      <x:c r="V7" s="26"/>
      <x:c r="W7" s="26"/>
    </x:row>
    <x:row r="8">
      <x:c r="A8" s="26"/>
      <x:c r="B8" s="26"/>
      <x:c r="C8" s="26"/>
      <x:c r="D8" s="26"/>
      <x:c r="E8" s="26"/>
      <x:c r="F8" s="26"/>
      <x:c r="G8" s="26"/>
      <x:c r="H8" s="26"/>
      <x:c r="I8" s="26"/>
      <x:c r="J8" s="26"/>
      <x:c r="K8" s="26"/>
      <x:c r="L8" s="26"/>
      <x:c r="M8" s="26"/>
      <x:c r="N8" s="26"/>
      <x:c r="O8" s="26"/>
      <x:c r="P8" s="26"/>
      <x:c r="Q8" s="26"/>
      <x:c r="R8" s="26"/>
      <x:c r="S8" s="26"/>
      <x:c r="T8" s="26"/>
      <x:c r="U8" s="26"/>
      <x:c r="V8" s="26"/>
      <x:c r="W8" s="26"/>
    </x:row>
    <x:row r="9">
      <x:c r="A9" s="26"/>
      <x:c r="B9" s="26"/>
      <x:c r="C9" s="26"/>
      <x:c r="D9" s="26"/>
      <x:c r="E9" s="26"/>
      <x:c r="F9" s="26"/>
      <x:c r="G9" s="26"/>
      <x:c r="H9" s="26"/>
      <x:c r="I9" s="26"/>
      <x:c r="J9" s="26"/>
      <x:c r="K9" s="26"/>
      <x:c r="L9" s="26"/>
      <x:c r="M9" s="26"/>
      <x:c r="N9" s="26"/>
      <x:c r="O9" s="26"/>
      <x:c r="P9" s="26"/>
      <x:c r="Q9" s="26"/>
      <x:c r="R9" s="26"/>
      <x:c r="S9" s="26"/>
      <x:c r="T9" s="26"/>
      <x:c r="U9" s="26"/>
      <x:c r="V9" s="26"/>
      <x:c r="W9" s="26"/>
    </x:row>
    <x:row r="10">
      <x:c r="A10" s="26"/>
      <x:c r="B10" s="26"/>
      <x:c r="C10" s="26"/>
      <x:c r="D10" s="26"/>
      <x:c r="E10" s="26"/>
      <x:c r="F10" s="26"/>
      <x:c r="G10" s="26"/>
      <x:c r="H10" s="26"/>
      <x:c r="I10" s="26"/>
      <x:c r="J10" s="26"/>
      <x:c r="K10" s="26"/>
      <x:c r="L10" s="26"/>
      <x:c r="M10" s="26"/>
      <x:c r="N10" s="26"/>
      <x:c r="O10" s="26"/>
      <x:c r="P10" s="26"/>
      <x:c r="Q10" s="26"/>
      <x:c r="R10" s="26"/>
      <x:c r="S10" s="26"/>
      <x:c r="T10" s="26"/>
      <x:c r="U10" s="26"/>
      <x:c r="V10" s="26"/>
      <x:c r="W10" s="26"/>
    </x:row>
    <x:row r="11">
      <x:c r="A11" s="26"/>
      <x:c r="B11" s="26"/>
      <x:c r="C11" s="26"/>
      <x:c r="D11" s="26"/>
      <x:c r="E11" s="26"/>
      <x:c r="F11" s="26"/>
      <x:c r="G11" s="26"/>
      <x:c r="H11" s="26"/>
      <x:c r="I11" s="26"/>
      <x:c r="J11" s="26"/>
      <x:c r="K11" s="26"/>
      <x:c r="L11" s="26"/>
      <x:c r="M11" s="26"/>
      <x:c r="N11" s="26"/>
      <x:c r="O11" s="26"/>
      <x:c r="P11" s="26"/>
      <x:c r="Q11" s="26"/>
      <x:c r="R11" s="26"/>
      <x:c r="S11" s="26"/>
      <x:c r="T11" s="26"/>
      <x:c r="U11" s="26"/>
      <x:c r="V11" s="26"/>
      <x:c r="W11" s="26"/>
    </x:row>
    <x:row r="12">
      <x:c r="A12" s="26"/>
      <x:c r="B12" s="26"/>
      <x:c r="C12" s="26"/>
      <x:c r="D12" s="26"/>
      <x:c r="E12" s="26"/>
      <x:c r="F12" s="26"/>
      <x:c r="G12" s="26"/>
      <x:c r="H12" s="26"/>
      <x:c r="I12" s="26"/>
      <x:c r="J12" s="26"/>
      <x:c r="K12" s="26"/>
      <x:c r="L12" s="26"/>
      <x:c r="M12" s="26"/>
      <x:c r="N12" s="26"/>
      <x:c r="O12" s="26"/>
      <x:c r="P12" s="26"/>
      <x:c r="Q12" s="26"/>
      <x:c r="R12" s="26"/>
      <x:c r="S12" s="26"/>
      <x:c r="T12" s="26"/>
      <x:c r="U12" s="26"/>
      <x:c r="V12" s="26"/>
      <x:c r="W12" s="26"/>
    </x:row>
    <x:row r="13">
      <x:c r="A13" s="26"/>
      <x:c r="B13" s="26"/>
      <x:c r="C13" s="26"/>
      <x:c r="D13" s="26"/>
      <x:c r="E13" s="26"/>
      <x:c r="F13" s="26"/>
      <x:c r="G13" s="26"/>
      <x:c r="H13" s="26"/>
      <x:c r="I13" s="26"/>
      <x:c r="J13" s="26"/>
      <x:c r="K13" s="26"/>
      <x:c r="L13" s="26"/>
      <x:c r="M13" s="26"/>
      <x:c r="N13" s="26"/>
      <x:c r="O13" s="26"/>
      <x:c r="P13" s="26"/>
      <x:c r="Q13" s="26"/>
      <x:c r="R13" s="26"/>
      <x:c r="S13" s="26"/>
      <x:c r="T13" s="26"/>
      <x:c r="U13" s="26"/>
      <x:c r="V13" s="26"/>
      <x:c r="W13" s="26"/>
    </x:row>
    <x:row r="14">
      <x:c r="A14" s="26"/>
      <x:c r="B14" s="26"/>
      <x:c r="C14" s="26"/>
      <x:c r="D14" s="26"/>
      <x:c r="E14" s="26"/>
      <x:c r="F14" s="26"/>
      <x:c r="G14" s="26"/>
      <x:c r="H14" s="26"/>
      <x:c r="I14" s="26"/>
      <x:c r="J14" s="26"/>
      <x:c r="K14" s="26"/>
      <x:c r="L14" s="26"/>
      <x:c r="M14" s="26"/>
      <x:c r="N14" s="26"/>
      <x:c r="O14" s="26"/>
      <x:c r="P14" s="26"/>
      <x:c r="Q14" s="26"/>
      <x:c r="R14" s="26"/>
      <x:c r="S14" s="26"/>
      <x:c r="T14" s="26"/>
      <x:c r="U14" s="26"/>
      <x:c r="V14" s="26"/>
      <x:c r="W14" s="26"/>
    </x:row>
    <x:row r="15">
      <x:c r="A15" s="26"/>
      <x:c r="B15" s="26"/>
      <x:c r="C15" s="26"/>
      <x:c r="D15" s="26"/>
      <x:c r="E15" s="26"/>
      <x:c r="F15" s="26"/>
      <x:c r="G15" s="26"/>
      <x:c r="H15" s="26"/>
      <x:c r="I15" s="26"/>
      <x:c r="J15" s="26"/>
      <x:c r="K15" s="26"/>
      <x:c r="L15" s="26"/>
      <x:c r="M15" s="26"/>
      <x:c r="N15" s="26"/>
      <x:c r="O15" s="26"/>
      <x:c r="P15" s="26"/>
      <x:c r="Q15" s="26"/>
      <x:c r="R15" s="26"/>
      <x:c r="S15" s="26"/>
      <x:c r="T15" s="26"/>
      <x:c r="U15" s="26"/>
      <x:c r="V15" s="26"/>
      <x:c r="W15" s="26"/>
    </x:row>
    <x:row r="16">
      <x:c r="A16" s="26"/>
      <x:c r="B16" s="26"/>
      <x:c r="C16" s="26"/>
      <x:c r="D16" s="26"/>
      <x:c r="E16" s="26"/>
      <x:c r="F16" s="26"/>
      <x:c r="G16" s="26"/>
      <x:c r="H16" s="26"/>
      <x:c r="I16" s="26"/>
      <x:c r="J16" s="26"/>
      <x:c r="K16" s="26"/>
      <x:c r="L16" s="26"/>
      <x:c r="M16" s="26"/>
      <x:c r="N16" s="26"/>
      <x:c r="O16" s="26"/>
      <x:c r="P16" s="26"/>
      <x:c r="Q16" s="26"/>
      <x:c r="R16" s="26"/>
      <x:c r="S16" s="26"/>
      <x:c r="T16" s="26"/>
      <x:c r="U16" s="26"/>
      <x:c r="V16" s="26"/>
      <x:c r="W16" s="26"/>
    </x:row>
    <x:row r="17">
      <x:c r="A17" s="26"/>
      <x:c r="B17" s="26"/>
      <x:c r="C17" s="26"/>
      <x:c r="D17" s="26"/>
      <x:c r="E17" s="26"/>
      <x:c r="F17" s="26"/>
      <x:c r="G17" s="26"/>
      <x:c r="H17" s="26"/>
      <x:c r="I17" s="26"/>
      <x:c r="J17" s="26"/>
      <x:c r="K17" s="26"/>
      <x:c r="L17" s="26"/>
      <x:c r="M17" s="26"/>
      <x:c r="N17" s="26"/>
      <x:c r="O17" s="26"/>
      <x:c r="P17" s="26"/>
      <x:c r="Q17" s="26"/>
      <x:c r="R17" s="26"/>
      <x:c r="S17" s="26"/>
      <x:c r="T17" s="26"/>
      <x:c r="U17" s="26"/>
      <x:c r="V17" s="26"/>
      <x:c r="W17" s="26"/>
    </x:row>
    <x:row r="18">
      <x:c r="A18" s="26"/>
      <x:c r="B18" s="26"/>
      <x:c r="C18" s="26"/>
      <x:c r="D18" s="26"/>
      <x:c r="E18" s="26"/>
      <x:c r="F18" s="26"/>
      <x:c r="G18" s="26"/>
      <x:c r="H18" s="26"/>
      <x:c r="I18" s="26"/>
      <x:c r="J18" s="26"/>
      <x:c r="K18" s="26"/>
      <x:c r="L18" s="26"/>
      <x:c r="M18" s="26"/>
      <x:c r="N18" s="26"/>
      <x:c r="O18" s="26"/>
      <x:c r="P18" s="26"/>
      <x:c r="Q18" s="26"/>
      <x:c r="R18" s="26"/>
      <x:c r="S18" s="26"/>
      <x:c r="T18" s="26"/>
      <x:c r="U18" s="26"/>
      <x:c r="V18" s="26"/>
      <x:c r="W18" s="26"/>
    </x:row>
    <x:row r="19">
      <x:c r="A19" s="26"/>
      <x:c r="B19" s="26"/>
      <x:c r="C19" s="26"/>
      <x:c r="D19" s="26"/>
      <x:c r="E19" s="26"/>
      <x:c r="F19" s="26"/>
      <x:c r="G19" s="26"/>
      <x:c r="H19" s="26"/>
      <x:c r="I19" s="26"/>
      <x:c r="J19" s="26"/>
      <x:c r="K19" s="26"/>
      <x:c r="L19" s="26"/>
      <x:c r="M19" s="26"/>
      <x:c r="N19" s="26"/>
      <x:c r="O19" s="26"/>
      <x:c r="P19" s="26"/>
      <x:c r="Q19" s="26"/>
      <x:c r="R19" s="26"/>
      <x:c r="S19" s="26"/>
      <x:c r="T19" s="26"/>
      <x:c r="U19" s="26"/>
      <x:c r="V19" s="26"/>
      <x:c r="W19" s="26"/>
    </x:row>
    <x:row r="20">
      <x:c r="A20" s="26"/>
      <x:c r="B20" s="26"/>
      <x:c r="C20" s="26"/>
      <x:c r="D20" s="26"/>
      <x:c r="E20" s="26"/>
      <x:c r="F20" s="26"/>
      <x:c r="G20" s="26"/>
      <x:c r="H20" s="26"/>
      <x:c r="I20" s="26"/>
      <x:c r="J20" s="26"/>
      <x:c r="K20" s="26"/>
      <x:c r="L20" s="26"/>
      <x:c r="M20" s="26"/>
      <x:c r="N20" s="26"/>
      <x:c r="O20" s="26"/>
      <x:c r="P20" s="26"/>
      <x:c r="Q20" s="26"/>
      <x:c r="R20" s="26"/>
      <x:c r="S20" s="26"/>
      <x:c r="T20" s="26"/>
      <x:c r="U20" s="26"/>
      <x:c r="V20" s="26"/>
      <x:c r="W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row>
    <x:row r="22">
      <x:c r="A22" s="26"/>
      <x:c r="B22" s="26"/>
      <x:c r="C22" s="26"/>
      <x:c r="D22" s="26"/>
      <x:c r="E22" s="26"/>
      <x:c r="F22" s="26"/>
      <x:c r="G22" s="26"/>
      <x:c r="H22" s="26"/>
      <x:c r="I22" s="26"/>
      <x:c r="J22" s="26"/>
      <x:c r="K22" s="26"/>
      <x:c r="L22" s="26"/>
      <x:c r="M22" s="26"/>
      <x:c r="N22" s="26"/>
      <x:c r="O22" s="26"/>
      <x:c r="P22" s="26"/>
      <x:c r="Q22" s="26"/>
      <x:c r="R22" s="26"/>
      <x:c r="S22" s="26"/>
      <x:c r="T22" s="26"/>
      <x:c r="U22" s="26"/>
      <x:c r="V22" s="26"/>
      <x:c r="W22" s="26"/>
    </x:row>
    <x:row r="23">
      <x:c r="A23" s="26"/>
      <x:c r="B23" s="26"/>
      <x:c r="C23" s="26"/>
      <x:c r="D23" s="26"/>
      <x:c r="E23" s="26"/>
      <x:c r="F23" s="26"/>
      <x:c r="G23" s="26"/>
      <x:c r="H23" s="26"/>
      <x:c r="I23" s="26"/>
      <x:c r="J23" s="26"/>
      <x:c r="K23" s="26"/>
      <x:c r="L23" s="26"/>
      <x:c r="M23" s="26"/>
      <x:c r="N23" s="26"/>
      <x:c r="O23" s="26"/>
      <x:c r="P23" s="26"/>
      <x:c r="Q23" s="26"/>
      <x:c r="R23" s="26"/>
      <x:c r="S23" s="26"/>
      <x:c r="T23" s="26"/>
      <x:c r="U23" s="26"/>
      <x:c r="V23" s="26"/>
      <x:c r="W23" s="26"/>
    </x:row>
    <x:row r="24">
      <x:c r="A24" s="26"/>
      <x:c r="B24" s="26"/>
      <x:c r="C24" s="26"/>
      <x:c r="D24" s="26"/>
      <x:c r="E24" s="26"/>
      <x:c r="F24" s="26"/>
      <x:c r="G24" s="26"/>
      <x:c r="H24" s="26"/>
      <x:c r="I24" s="26"/>
      <x:c r="J24" s="26"/>
      <x:c r="K24" s="26"/>
      <x:c r="L24" s="26"/>
      <x:c r="M24" s="26"/>
      <x:c r="N24" s="26"/>
      <x:c r="O24" s="26"/>
      <x:c r="P24" s="26"/>
      <x:c r="Q24" s="26"/>
      <x:c r="R24" s="26"/>
      <x:c r="S24" s="26"/>
      <x:c r="T24" s="26"/>
      <x:c r="U24" s="26"/>
      <x:c r="V24" s="26"/>
      <x:c r="W24" s="26"/>
    </x:row>
    <x:row r="25">
      <x:c r="A25" s="26"/>
      <x:c r="B25" s="26"/>
      <x:c r="C25" s="26"/>
      <x:c r="D25" s="26"/>
      <x:c r="E25" s="26"/>
      <x:c r="F25" s="26"/>
      <x:c r="G25" s="26"/>
      <x:c r="H25" s="26"/>
      <x:c r="I25" s="26"/>
      <x:c r="J25" s="26"/>
      <x:c r="K25" s="26"/>
      <x:c r="L25" s="26"/>
      <x:c r="M25" s="26"/>
      <x:c r="N25" s="26"/>
      <x:c r="O25" s="26"/>
      <x:c r="P25" s="26"/>
      <x:c r="Q25" s="26"/>
      <x:c r="R25" s="26"/>
      <x:c r="S25" s="26"/>
      <x:c r="T25" s="26"/>
      <x:c r="U25" s="26"/>
      <x:c r="V25" s="26"/>
      <x:c r="W25" s="26"/>
    </x:row>
    <x:row r="26">
      <x:c r="A26" s="26"/>
      <x:c r="B26" s="26"/>
      <x:c r="C26" s="26"/>
      <x:c r="D26" s="26"/>
      <x:c r="E26" s="26"/>
      <x:c r="F26" s="26"/>
      <x:c r="G26" s="26"/>
      <x:c r="H26" s="26"/>
      <x:c r="I26" s="26"/>
      <x:c r="J26" s="26"/>
      <x:c r="K26" s="26"/>
      <x:c r="L26" s="26"/>
      <x:c r="M26" s="26"/>
      <x:c r="N26" s="26"/>
      <x:c r="O26" s="26"/>
      <x:c r="P26" s="26"/>
      <x:c r="Q26" s="26"/>
      <x:c r="R26" s="26"/>
      <x:c r="S26" s="26"/>
      <x:c r="T26" s="26"/>
      <x:c r="U26" s="26"/>
      <x:c r="V26" s="26"/>
      <x:c r="W26" s="26"/>
    </x:row>
    <x:row r="27">
      <x:c r="A27" s="26"/>
      <x:c r="B27" s="26"/>
      <x:c r="C27" s="26"/>
      <x:c r="D27" s="26"/>
      <x:c r="E27" s="26"/>
      <x:c r="F27" s="26"/>
      <x:c r="G27" s="26"/>
      <x:c r="H27" s="26"/>
      <x:c r="I27" s="26"/>
      <x:c r="J27" s="26"/>
      <x:c r="K27" s="26"/>
      <x:c r="L27" s="26"/>
      <x:c r="M27" s="26"/>
      <x:c r="N27" s="26"/>
      <x:c r="O27" s="26"/>
      <x:c r="P27" s="26"/>
      <x:c r="Q27" s="26"/>
      <x:c r="R27" s="26"/>
      <x:c r="S27" s="26"/>
      <x:c r="T27" s="26"/>
      <x:c r="U27" s="26"/>
      <x:c r="V27" s="26"/>
      <x:c r="W27" s="26"/>
    </x:row>
    <x:row r="28">
      <x:c r="A28" s="26"/>
      <x:c r="B28" s="26"/>
      <x:c r="C28" s="26"/>
      <x:c r="D28" s="26"/>
      <x:c r="E28" s="26"/>
      <x:c r="F28" s="26"/>
      <x:c r="G28" s="26"/>
      <x:c r="H28" s="26"/>
      <x:c r="I28" s="26"/>
      <x:c r="J28" s="26"/>
      <x:c r="K28" s="26"/>
      <x:c r="L28" s="26"/>
      <x:c r="M28" s="26"/>
      <x:c r="N28" s="26"/>
      <x:c r="O28" s="26"/>
      <x:c r="P28" s="26"/>
      <x:c r="Q28" s="26"/>
      <x:c r="R28" s="26"/>
      <x:c r="S28" s="26"/>
      <x:c r="T28" s="26"/>
      <x:c r="U28" s="26"/>
      <x:c r="V28" s="26"/>
      <x:c r="W28" s="26"/>
    </x:row>
    <x:row r="29">
      <x:c r="A29" s="26"/>
      <x:c r="B29" s="26"/>
      <x:c r="C29" s="26"/>
      <x:c r="D29" s="26"/>
      <x:c r="E29" s="26"/>
      <x:c r="F29" s="26"/>
      <x:c r="G29" s="26"/>
      <x:c r="H29" s="26"/>
      <x:c r="I29" s="26"/>
      <x:c r="J29" s="26"/>
      <x:c r="K29" s="26"/>
      <x:c r="L29" s="26"/>
      <x:c r="M29" s="26"/>
      <x:c r="N29" s="26"/>
      <x:c r="O29" s="26"/>
      <x:c r="P29" s="26"/>
      <x:c r="Q29" s="26"/>
      <x:c r="R29" s="26"/>
      <x:c r="S29" s="26"/>
      <x:c r="T29" s="26"/>
      <x:c r="U29" s="26"/>
      <x:c r="V29" s="26"/>
      <x:c r="W29" s="26"/>
    </x:row>
    <x:row r="30">
      <x:c r="A30" s="26"/>
      <x:c r="B30" s="26"/>
      <x:c r="C30" s="26"/>
      <x:c r="D30" s="26"/>
      <x:c r="E30" s="26"/>
      <x:c r="F30" s="26"/>
      <x:c r="G30" s="26"/>
      <x:c r="H30" s="26"/>
      <x:c r="I30" s="26"/>
      <x:c r="J30" s="26"/>
      <x:c r="K30" s="26"/>
      <x:c r="L30" s="26"/>
      <x:c r="M30" s="26"/>
      <x:c r="N30" s="26"/>
      <x:c r="O30" s="26"/>
      <x:c r="P30" s="26"/>
      <x:c r="Q30" s="26"/>
      <x:c r="R30" s="26"/>
      <x:c r="S30" s="26"/>
      <x:c r="T30" s="26"/>
      <x:c r="U30" s="26"/>
      <x:c r="V30" s="26"/>
      <x:c r="W30" s="26"/>
    </x:row>
    <x:row r="31">
      <x:c r="A31" s="26"/>
      <x:c r="B31" s="26"/>
      <x:c r="C31" s="26"/>
      <x:c r="D31" s="26"/>
      <x:c r="E31" s="26"/>
      <x:c r="F31" s="26"/>
      <x:c r="G31" s="26"/>
      <x:c r="H31" s="26"/>
      <x:c r="I31" s="26"/>
      <x:c r="J31" s="26"/>
      <x:c r="K31" s="26"/>
      <x:c r="L31" s="26"/>
      <x:c r="M31" s="26"/>
      <x:c r="N31" s="26"/>
      <x:c r="O31" s="26"/>
      <x:c r="P31" s="26"/>
      <x:c r="Q31" s="26"/>
      <x:c r="R31" s="26"/>
      <x:c r="S31" s="26"/>
      <x:c r="T31" s="26"/>
      <x:c r="U31" s="26"/>
      <x:c r="V31" s="26"/>
      <x:c r="W31" s="26"/>
    </x:row>
    <x:row r="32">
      <x:c r="A32" s="26"/>
      <x:c r="B32" s="26"/>
      <x:c r="C32" s="26"/>
      <x:c r="D32" s="26"/>
      <x:c r="E32" s="26"/>
      <x:c r="F32" s="26"/>
      <x:c r="G32" s="26"/>
      <x:c r="H32" s="26"/>
      <x:c r="I32" s="26"/>
      <x:c r="J32" s="26"/>
      <x:c r="K32" s="26"/>
      <x:c r="L32" s="26"/>
      <x:c r="M32" s="26"/>
      <x:c r="N32" s="26"/>
      <x:c r="O32" s="26"/>
      <x:c r="P32" s="26"/>
      <x:c r="Q32" s="26"/>
      <x:c r="R32" s="26"/>
      <x:c r="S32" s="26"/>
      <x:c r="T32" s="26"/>
      <x:c r="U32" s="26"/>
      <x:c r="V32" s="26"/>
      <x:c r="W32" s="26"/>
    </x:row>
    <x:row r="33">
      <x:c r="A33" s="26"/>
      <x:c r="B33" s="26"/>
      <x:c r="C33" s="26"/>
      <x:c r="D33" s="26"/>
      <x:c r="E33" s="26"/>
      <x:c r="F33" s="26"/>
      <x:c r="G33" s="26"/>
      <x:c r="H33" s="26"/>
      <x:c r="I33" s="26"/>
      <x:c r="J33" s="26"/>
      <x:c r="K33" s="26"/>
      <x:c r="L33" s="26"/>
      <x:c r="M33" s="26"/>
      <x:c r="N33" s="26"/>
      <x:c r="O33" s="26"/>
      <x:c r="P33" s="26"/>
      <x:c r="Q33" s="26"/>
      <x:c r="R33" s="26"/>
      <x:c r="S33" s="26"/>
      <x:c r="T33" s="26"/>
      <x:c r="U33" s="26"/>
      <x:c r="V33" s="26"/>
      <x:c r="W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row>
    <x:row r="36">
      <x:c r="A36" s="26"/>
      <x:c r="B36" s="26"/>
      <x:c r="C36" s="26"/>
      <x:c r="D36" s="26"/>
      <x:c r="E36" s="26"/>
      <x:c r="F36" s="26"/>
      <x:c r="G36" s="26"/>
      <x:c r="H36" s="26"/>
      <x:c r="I36" s="26"/>
      <x:c r="J36" s="26"/>
      <x:c r="K36" s="26"/>
      <x:c r="L36" s="26"/>
      <x:c r="M36" s="26"/>
      <x:c r="N36" s="26"/>
      <x:c r="O36" s="26"/>
      <x:c r="P36" s="26"/>
      <x:c r="Q36" s="26"/>
      <x:c r="R36" s="26"/>
      <x:c r="S36" s="26"/>
      <x:c r="T36" s="26"/>
      <x:c r="U36" s="26"/>
      <x:c r="V36" s="26"/>
      <x:c r="W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row>
    <x:row r="39">
      <x:c r="A39" s="26"/>
      <x:c r="B39" s="26"/>
      <x:c r="C39" s="26"/>
      <x:c r="D39" s="26"/>
      <x:c r="E39" s="26"/>
      <x:c r="F39" s="26"/>
      <x:c r="G39" s="26"/>
      <x:c r="H39" s="26"/>
      <x:c r="I39" s="26"/>
      <x:c r="J39" s="26"/>
      <x:c r="K39" s="26"/>
      <x:c r="L39" s="26"/>
      <x:c r="M39" s="26"/>
      <x:c r="N39" s="26"/>
      <x:c r="O39" s="26"/>
      <x:c r="P39" s="26"/>
      <x:c r="Q39" s="26"/>
      <x:c r="R39" s="26"/>
      <x:c r="S39" s="26"/>
      <x:c r="T39" s="26"/>
      <x:c r="U39" s="26"/>
      <x:c r="V39" s="26"/>
      <x:c r="W39" s="26"/>
    </x:row>
    <x:row r="40">
      <x:c r="A40" s="26"/>
      <x:c r="B40" s="26"/>
      <x:c r="C40" s="26"/>
      <x:c r="D40" s="26"/>
      <x:c r="E40" s="26"/>
      <x:c r="F40" s="26"/>
      <x:c r="G40" s="26"/>
      <x:c r="H40" s="26"/>
      <x:c r="I40" s="26"/>
      <x:c r="J40" s="26"/>
      <x:c r="K40" s="26"/>
      <x:c r="L40" s="26"/>
      <x:c r="M40" s="26"/>
      <x:c r="N40" s="26"/>
      <x:c r="O40" s="26"/>
      <x:c r="P40" s="26"/>
      <x:c r="Q40" s="26"/>
      <x:c r="R40" s="26"/>
      <x:c r="S40" s="26"/>
      <x:c r="T40" s="26"/>
      <x:c r="U40" s="26"/>
      <x:c r="V40" s="26"/>
      <x:c r="W40" s="26"/>
    </x:row>
    <x:row r="41">
      <x:c r="A41" s="26"/>
      <x:c r="B41" s="26"/>
      <x:c r="C41" s="26"/>
      <x:c r="D41" s="26"/>
      <x:c r="E41" s="26"/>
      <x:c r="F41" s="26"/>
      <x:c r="G41" s="26"/>
      <x:c r="H41" s="26"/>
      <x:c r="I41" s="26"/>
      <x:c r="J41" s="26"/>
      <x:c r="K41" s="26"/>
      <x:c r="L41" s="26"/>
      <x:c r="M41" s="26"/>
      <x:c r="N41" s="26"/>
      <x:c r="O41" s="26"/>
      <x:c r="P41" s="26"/>
      <x:c r="Q41" s="26"/>
      <x:c r="R41" s="26"/>
      <x:c r="S41" s="26"/>
      <x:c r="T41" s="26"/>
      <x:c r="U41" s="26"/>
      <x:c r="V41" s="26"/>
      <x:c r="W41" s="26"/>
    </x:row>
    <x:row r="42">
      <x:c r="A42" s="26"/>
      <x:c r="B42" s="26"/>
      <x:c r="C42" s="26"/>
      <x:c r="D42" s="26"/>
      <x:c r="E42" s="26"/>
      <x:c r="F42" s="26"/>
      <x:c r="G42" s="26"/>
      <x:c r="H42" s="26"/>
      <x:c r="I42" s="26"/>
      <x:c r="J42" s="26"/>
      <x:c r="K42" s="26"/>
      <x:c r="L42" s="26"/>
      <x:c r="M42" s="26"/>
      <x:c r="N42" s="26"/>
      <x:c r="O42" s="26"/>
      <x:c r="P42" s="26"/>
      <x:c r="Q42" s="26"/>
      <x:c r="R42" s="26"/>
      <x:c r="S42" s="26"/>
      <x:c r="T42" s="26"/>
      <x:c r="U42" s="26"/>
      <x:c r="V42" s="26"/>
      <x:c r="W42" s="26"/>
    </x:row>
    <x:row r="43">
      <x:c r="A43" s="26"/>
      <x:c r="B43" s="26"/>
      <x:c r="C43" s="26"/>
      <x:c r="D43" s="26"/>
      <x:c r="E43" s="26"/>
      <x:c r="F43" s="26"/>
      <x:c r="G43" s="26"/>
      <x:c r="H43" s="26"/>
      <x:c r="I43" s="26"/>
      <x:c r="J43" s="26"/>
      <x:c r="K43" s="26"/>
      <x:c r="L43" s="26"/>
      <x:c r="M43" s="26"/>
      <x:c r="N43" s="26"/>
      <x:c r="O43" s="26"/>
      <x:c r="P43" s="26"/>
      <x:c r="Q43" s="26"/>
      <x:c r="R43" s="26"/>
      <x:c r="S43" s="26"/>
      <x:c r="T43" s="26"/>
      <x:c r="U43" s="26"/>
      <x:c r="V43" s="26"/>
      <x:c r="W43" s="26"/>
    </x:row>
    <x:row r="44">
      <x:c r="A44" s="26"/>
      <x:c r="B44" s="26"/>
      <x:c r="C44" s="26"/>
      <x:c r="D44" s="26"/>
      <x:c r="E44" s="26"/>
      <x:c r="F44" s="26"/>
      <x:c r="G44" s="26"/>
      <x:c r="H44" s="26"/>
      <x:c r="I44" s="26"/>
      <x:c r="J44" s="26"/>
      <x:c r="K44" s="26"/>
      <x:c r="L44" s="26"/>
      <x:c r="M44" s="26"/>
      <x:c r="N44" s="26"/>
      <x:c r="O44" s="26"/>
      <x:c r="P44" s="26"/>
      <x:c r="Q44" s="26"/>
      <x:c r="R44" s="26"/>
      <x:c r="S44" s="26"/>
      <x:c r="T44" s="26"/>
      <x:c r="U44" s="26"/>
      <x:c r="V44" s="26"/>
      <x:c r="W44" s="26"/>
    </x:row>
    <x:row r="45">
      <x:c r="A45" s="26"/>
      <x:c r="B45" s="26"/>
      <x:c r="C45" s="26"/>
      <x:c r="D45" s="26"/>
      <x:c r="E45" s="26"/>
      <x:c r="F45" s="26"/>
      <x:c r="G45" s="26"/>
      <x:c r="H45" s="26"/>
      <x:c r="I45" s="26"/>
      <x:c r="J45" s="26"/>
      <x:c r="K45" s="26"/>
      <x:c r="L45" s="26"/>
      <x:c r="M45" s="26"/>
      <x:c r="N45" s="26"/>
      <x:c r="O45" s="26"/>
      <x:c r="P45" s="26"/>
      <x:c r="Q45" s="26"/>
      <x:c r="R45" s="26"/>
      <x:c r="S45" s="26"/>
      <x:c r="T45" s="26"/>
      <x:c r="U45" s="26"/>
      <x:c r="V45" s="26"/>
      <x:c r="W45" s="26"/>
    </x:row>
  </x:sheetData>
  <x:mergeCells>
    <x:mergeCell ref="A1:W1"/>
    <x:mergeCell ref="A2:W3"/>
  </x:mergeCells>
  <x:pageMargins left="0.7" right="0.7" top="0.75" bottom="0.75" header="0.3" footer="0.3"/>
  <x:tableParts count="1">
    <x:tablePart xmlns:r="http://schemas.openxmlformats.org/officeDocument/2006/relationships" r:id="R9e54a99d450b42be"/>
  </x:tableParts>
</x:worksheet>
</file>

<file path=xl/worksheets/sheet10.xml><?xml version="1.0" encoding="utf-8"?>
<x:worksheet xmlns:x="http://schemas.openxmlformats.org/spreadsheetml/2006/main">
  <x:sheetFormatPr defaultRowHeight="15"/>
  <x:cols>
    <x:col min="1" max="1" width="9" hidden="0" customWidth="1"/>
    <x:col min="2" max="2" width="11" hidden="0" customWidth="1"/>
    <x:col min="3" max="3" width="7" hidden="0" customWidth="1"/>
    <x:col min="4" max="4" width="12" hidden="0" customWidth="1"/>
    <x:col min="5" max="5" width="12" hidden="0" customWidth="1"/>
    <x:col min="6" max="6" width="10" hidden="0" customWidth="1"/>
    <x:col min="7" max="7" width="10" hidden="0" customWidth="1"/>
    <x:col min="8" max="8" width="8" hidden="0" customWidth="1"/>
    <x:col min="9" max="9" width="9" hidden="0" customWidth="1"/>
    <x:col min="10" max="10" width="10" hidden="0" customWidth="1"/>
    <x:col min="11" max="11" width="10" hidden="0" customWidth="1"/>
    <x:col min="12" max="12" width="8" hidden="0" customWidth="1"/>
    <x:col min="13" max="13" width="9" hidden="0" customWidth="1"/>
    <x:col min="14" max="14" width="10" hidden="0" customWidth="1"/>
    <x:col min="15" max="15" width="10" hidden="0" customWidth="1"/>
    <x:col min="16" max="16" width="8" hidden="0" customWidth="1"/>
    <x:col min="17" max="17" width="9" hidden="0" customWidth="1"/>
    <x:col min="18" max="18" width="11" hidden="0" customWidth="1"/>
    <x:col min="19" max="19" width="10" hidden="0" customWidth="1"/>
    <x:col min="20" max="20" width="10" hidden="0" customWidth="1"/>
    <x:col min="21" max="21" width="10" hidden="0" customWidth="1"/>
    <x:col min="22" max="22" width="10" hidden="0" customWidth="1"/>
    <x:col min="23" max="23" width="11" hidden="0" customWidth="1"/>
    <x:col min="24" max="24" width="12" hidden="0" customWidth="1"/>
    <x:col min="25" max="25" width="12" hidden="0" customWidth="1"/>
    <x:col min="26" max="26" width="12" hidden="0" customWidth="1"/>
    <x:col min="27" max="27" width="12" hidden="0" customWidth="1"/>
    <x:col min="28" max="28" width="10" hidden="0" customWidth="1"/>
    <x:col min="29" max="29" width="7" hidden="0" customWidth="1"/>
  </x:cols>
  <x:sheetData>
    <x:row r="1">
      <x:c r="A1" s="59" t="str">
        <x:v>Run_ID</x:v>
      </x:c>
      <x:c r="B1" s="59" t="str">
        <x:v>CmdFreq_Hz</x:v>
      </x:c>
      <x:c r="C1" s="59" t="str">
        <x:v>DAC</x:v>
      </x:c>
      <x:c r="D1" s="59" t="str">
        <x:v>VectorFreq_Hz</x:v>
      </x:c>
      <x:c r="E1" s="59" t="str">
        <x:v>VectorFreqError_Hz</x:v>
      </x:c>
      <x:c r="F1" s="59" t="str">
        <x:v>X_A_mps2</x:v>
      </x:c>
      <x:c r="G1" s="59" t="str">
        <x:v>X_Phase_deg</x:v>
      </x:c>
      <x:c r="H1" s="59" t="str">
        <x:v>X_Sync</x:v>
      </x:c>
      <x:c r="I1" s="59" t="str">
        <x:v>X_CV_pct</x:v>
      </x:c>
      <x:c r="J1" s="59" t="str">
        <x:v>Y_A_mps2</x:v>
      </x:c>
      <x:c r="K1" s="59" t="str">
        <x:v>Y_Phase_deg</x:v>
      </x:c>
      <x:c r="L1" s="59" t="str">
        <x:v>Y_Sync</x:v>
      </x:c>
      <x:c r="M1" s="59" t="str">
        <x:v>Y_CV_pct</x:v>
      </x:c>
      <x:c r="N1" s="59" t="str">
        <x:v>Z_A_mps2</x:v>
      </x:c>
      <x:c r="O1" s="59" t="str">
        <x:v>Z_Phase_deg</x:v>
      </x:c>
      <x:c r="P1" s="59" t="str">
        <x:v>Z_Sync</x:v>
      </x:c>
      <x:c r="Q1" s="59" t="str">
        <x:v>Z_CV_pct</x:v>
      </x:c>
      <x:c r="R1" s="59" t="str">
        <x:v>Total_A_mps2</x:v>
      </x:c>
      <x:c r="S1" s="59" t="str">
        <x:v>Total_CV_pct</x:v>
      </x:c>
      <x:c r="T1" s="59" t="str">
        <x:v>X_Energy_pct</x:v>
      </x:c>
      <x:c r="U1" s="59" t="str">
        <x:v>Y_Energy_pct</x:v>
      </x:c>
      <x:c r="V1" s="59" t="str">
        <x:v>Z_Energy_pct</x:v>
      </x:c>
      <x:c r="W1" s="59" t="str">
        <x:v>Dominant_Axis</x:v>
      </x:c>
      <x:c r="X1" s="59" t="str">
        <x:v>YZ_PhaseSep_deg</x:v>
      </x:c>
      <x:c r="Y1" s="59" t="str">
        <x:v>X_LocalFreq_Hz</x:v>
      </x:c>
      <x:c r="Z1" s="59" t="str">
        <x:v>Y_LocalFreq_Hz</x:v>
      </x:c>
      <x:c r="AA1" s="59" t="str">
        <x:v>Z_LocalFreq_Hz</x:v>
      </x:c>
      <x:c r="AB1" s="59" t="str">
        <x:v>FFT_Vector_SNR</x:v>
      </x:c>
      <x:c r="AC1" s="59" t="str">
        <x:v>Valid</x:v>
      </x:c>
    </x:row>
    <x:row r="2">
      <x:c r="A2" s="60" t="n">
        <x:v>1</x:v>
      </x:c>
      <x:c r="B2" s="61" t="n">
        <x:v>100</x:v>
      </x:c>
      <x:c r="C2" s="61" t="n">
        <x:v>11</x:v>
      </x:c>
      <x:c r="D2" s="61" t="n">
        <x:v>100.07725</x:v>
      </x:c>
      <x:c r="E2" s="61" t="n">
        <x:v>0.07725</x:v>
      </x:c>
      <x:c r="F2" s="61" t="n">
        <x:v>0.04019</x:v>
      </x:c>
      <x:c r="G2" s="61" t="n">
        <x:v>38.22</x:v>
      </x:c>
      <x:c r="H2" s="61" t="n">
        <x:v>0.073</x:v>
      </x:c>
      <x:c r="I2" s="61" t="n">
        <x:v>27.58</x:v>
      </x:c>
      <x:c r="J2" s="61" t="n">
        <x:v>0.02745</x:v>
      </x:c>
      <x:c r="K2" s="61" t="n">
        <x:v>5.63</x:v>
      </x:c>
      <x:c r="L2" s="61" t="n">
        <x:v>0.039</x:v>
      </x:c>
      <x:c r="M2" s="61" t="n">
        <x:v>55.78</x:v>
      </x:c>
      <x:c r="N2" s="61" t="n">
        <x:v>0.09656</x:v>
      </x:c>
      <x:c r="O2" s="61" t="n">
        <x:v>44.93</x:v>
      </x:c>
      <x:c r="P2" s="61" t="n">
        <x:v>0.201</x:v>
      </x:c>
      <x:c r="Q2" s="61" t="n">
        <x:v>8.06</x:v>
      </x:c>
      <x:c r="R2" s="61" t="n">
        <x:v>0.1095</x:v>
      </x:c>
      <x:c r="S2" s="61" t="n">
        <x:v>6.1</x:v>
      </x:c>
      <x:c r="T2" s="62" t="n">
        <x:f>IF(R2=0,0,100*F2^2/R2^2)</x:f>
        <x:v>13.471246220887805</x:v>
      </x:c>
      <x:c r="U2" s="62" t="n">
        <x:f>IF(R2=0,0,100*J2^2/R2^2)</x:f>
        <x:v>6.284293488459373</x:v>
      </x:c>
      <x:c r="V2" s="62" t="n">
        <x:f>IF(R2=0,0,100*N2^2/R2^2)</x:f>
        <x:v>77.76179479160152</x:v>
      </x:c>
      <x:c r="W2" s="60" t="str">
        <x:f>IF(AND(F2&gt;=J2,F2&gt;=N2),"X",IF(J2&gt;=N2,"Y","Z"))</x:f>
        <x:v>Z</x:v>
      </x:c>
      <x:c r="X2" s="61" t="n">
        <x:f>ABS(MOD(K2-O2+180,360)-180)</x:f>
        <x:v>39.30000000000001</x:v>
      </x:c>
      <x:c r="Y2" s="61" t="n">
        <x:v>100.03412</x:v>
      </x:c>
      <x:c r="Z2" s="61" t="n">
        <x:v>100.10209</x:v>
      </x:c>
      <x:c r="AA2" s="61" t="n">
        <x:v>100.08271</x:v>
      </x:c>
      <x:c r="AB2" s="61" t="n">
        <x:v>15.6</x:v>
      </x:c>
      <x:c r="AC2" s="60" t="n">
        <x:v>1</x:v>
      </x:c>
    </x:row>
    <x:row r="3">
      <x:c r="A3" s="60" t="n">
        <x:v>1</x:v>
      </x:c>
      <x:c r="B3" s="61" t="n">
        <x:v>100</x:v>
      </x:c>
      <x:c r="C3" s="61" t="n">
        <x:v>12</x:v>
      </x:c>
      <x:c r="D3" s="61" t="n">
        <x:v>100.00249</x:v>
      </x:c>
      <x:c r="E3" s="61" t="n">
        <x:v>0.00249</x:v>
      </x:c>
      <x:c r="F3" s="61" t="n">
        <x:v>0.0346</x:v>
      </x:c>
      <x:c r="G3" s="61" t="n">
        <x:v>31.87</x:v>
      </x:c>
      <x:c r="H3" s="61" t="n">
        <x:v>0.052</x:v>
      </x:c>
      <x:c r="I3" s="61" t="n">
        <x:v>38.14</x:v>
      </x:c>
      <x:c r="J3" s="61" t="n">
        <x:v>0.0325</x:v>
      </x:c>
      <x:c r="K3" s="61" t="n">
        <x:v>30.86</x:v>
      </x:c>
      <x:c r="L3" s="61" t="n">
        <x:v>0.049</x:v>
      </x:c>
      <x:c r="M3" s="61" t="n">
        <x:v>45.84</x:v>
      </x:c>
      <x:c r="N3" s="61" t="n">
        <x:v>0.10301</x:v>
      </x:c>
      <x:c r="O3" s="61" t="n">
        <x:v>40.03</x:v>
      </x:c>
      <x:c r="P3" s="61" t="n">
        <x:v>0.24</x:v>
      </x:c>
      <x:c r="Q3" s="61" t="n">
        <x:v>13.57</x:v>
      </x:c>
      <x:c r="R3" s="61" t="n">
        <x:v>0.11425</x:v>
      </x:c>
      <x:c r="S3" s="61" t="n">
        <x:v>16.52</x:v>
      </x:c>
      <x:c r="T3" s="62" t="n">
        <x:f>IF(R3=0,0,100*F3^2/R3^2)</x:f>
        <x:v>9.171487534055704</x:v>
      </x:c>
      <x:c r="U3" s="62" t="n">
        <x:f>IF(R3=0,0,100*J3^2/R3^2)</x:f>
        <x:v>8.091970753989726</x:v>
      </x:c>
      <x:c r="V3" s="62" t="n">
        <x:f>IF(R3=0,0,100*N3^2/R3^2)</x:f>
        <x:v>81.29172828215603</x:v>
      </x:c>
      <x:c r="W3" s="60" t="str">
        <x:f>IF(AND(F3&gt;=J3,F3&gt;=N3),"X",IF(J3&gt;=N3,"Y","Z"))</x:f>
        <x:v>Z</x:v>
      </x:c>
      <x:c r="X3" s="61" t="n">
        <x:f>ABS(MOD(K3-O3+180,360)-180)</x:f>
        <x:v>9.170000000000016</x:v>
      </x:c>
      <x:c r="Y3" s="61" t="n">
        <x:v>99.97209</x:v>
      </x:c>
      <x:c r="Z3" s="61" t="n">
        <x:v>99.96386</x:v>
      </x:c>
      <x:c r="AA3" s="61" t="n">
        <x:v>100.01161</x:v>
      </x:c>
      <x:c r="AB3" s="61" t="n">
        <x:v>16.68</x:v>
      </x:c>
      <x:c r="AC3" s="60" t="n">
        <x:v>1</x:v>
      </x:c>
    </x:row>
    <x:row r="4">
      <x:c r="A4" s="60" t="n">
        <x:v>1</x:v>
      </x:c>
      <x:c r="B4" s="61" t="n">
        <x:v>100</x:v>
      </x:c>
      <x:c r="C4" s="61" t="n">
        <x:v>13</x:v>
      </x:c>
      <x:c r="D4" s="61" t="n">
        <x:v>100.01963</x:v>
      </x:c>
      <x:c r="E4" s="61" t="n">
        <x:v>0.01963</x:v>
      </x:c>
      <x:c r="F4" s="61" t="n">
        <x:v>0.04608</x:v>
      </x:c>
      <x:c r="G4" s="61" t="n">
        <x:v>27.34</x:v>
      </x:c>
      <x:c r="H4" s="61" t="n">
        <x:v>0.077</x:v>
      </x:c>
      <x:c r="I4" s="61" t="n">
        <x:v>38.57</x:v>
      </x:c>
      <x:c r="J4" s="61" t="n">
        <x:v>0.03071</x:v>
      </x:c>
      <x:c r="K4" s="61" t="n">
        <x:v>43.41</x:v>
      </x:c>
      <x:c r="L4" s="61" t="n">
        <x:v>0.038</x:v>
      </x:c>
      <x:c r="M4" s="61" t="n">
        <x:v>38.69</x:v>
      </x:c>
      <x:c r="N4" s="61" t="n">
        <x:v>0.15626</x:v>
      </x:c>
      <x:c r="O4" s="61" t="n">
        <x:v>35</x:v>
      </x:c>
      <x:c r="P4" s="61" t="n">
        <x:v>0.34</x:v>
      </x:c>
      <x:c r="Q4" s="61" t="n">
        <x:v>8.85</x:v>
      </x:c>
      <x:c r="R4" s="61" t="n">
        <x:v>0.16683</x:v>
      </x:c>
      <x:c r="S4" s="61" t="n">
        <x:v>8.8</x:v>
      </x:c>
      <x:c r="T4" s="62" t="n">
        <x:f>IF(R4=0,0,100*F4^2/R4^2)</x:f>
        <x:v>7.629158562174257</x:v>
      </x:c>
      <x:c r="U4" s="62" t="n">
        <x:f>IF(R4=0,0,100*J4^2/R4^2)</x:f>
        <x:v>3.388529986881513</x:v>
      </x:c>
      <x:c r="V4" s="62" t="n">
        <x:f>IF(R4=0,0,100*N4^2/R4^2)</x:f>
        <x:v>87.72984061665245</x:v>
      </x:c>
      <x:c r="W4" s="60" t="str">
        <x:f>IF(AND(F4&gt;=J4,F4&gt;=N4),"X",IF(J4&gt;=N4,"Y","Z"))</x:f>
        <x:v>Z</x:v>
      </x:c>
      <x:c r="X4" s="61" t="n">
        <x:f>ABS(MOD(K4-O4+180,360)-180)</x:f>
        <x:v>8.409999999999997</x:v>
      </x:c>
      <x:c r="Y4" s="61" t="n">
        <x:v>99.96899</x:v>
      </x:c>
      <x:c r="Z4" s="61" t="n">
        <x:v>99.99007</x:v>
      </x:c>
      <x:c r="AA4" s="61" t="n">
        <x:v>100.02557</x:v>
      </x:c>
      <x:c r="AB4" s="61" t="n">
        <x:v>18.17</x:v>
      </x:c>
      <x:c r="AC4" s="60" t="n">
        <x:v>1</x:v>
      </x:c>
    </x:row>
    <x:row r="5">
      <x:c r="A5" s="60" t="n">
        <x:v>1</x:v>
      </x:c>
      <x:c r="B5" s="61" t="n">
        <x:v>100</x:v>
      </x:c>
      <x:c r="C5" s="61" t="n">
        <x:v>14</x:v>
      </x:c>
      <x:c r="D5" s="61" t="n">
        <x:v>99.9789</x:v>
      </x:c>
      <x:c r="E5" s="61" t="n">
        <x:v>-0.0211</x:v>
      </x:c>
      <x:c r="F5" s="61" t="n">
        <x:v>0.04599</x:v>
      </x:c>
      <x:c r="G5" s="61" t="n">
        <x:v>35.26</x:v>
      </x:c>
      <x:c r="H5" s="61" t="n">
        <x:v>0.076</x:v>
      </x:c>
      <x:c r="I5" s="61" t="n">
        <x:v>16.15</x:v>
      </x:c>
      <x:c r="J5" s="61" t="n">
        <x:v>0.01813</x:v>
      </x:c>
      <x:c r="K5" s="61" t="n">
        <x:v>-4.75</x:v>
      </x:c>
      <x:c r="L5" s="61" t="n">
        <x:v>0.023</x:v>
      </x:c>
      <x:c r="M5" s="61" t="n">
        <x:v>32.14</x:v>
      </x:c>
      <x:c r="N5" s="61" t="n">
        <x:v>0.20044</x:v>
      </x:c>
      <x:c r="O5" s="61" t="n">
        <x:v>35.39</x:v>
      </x:c>
      <x:c r="P5" s="61" t="n">
        <x:v>0.373</x:v>
      </x:c>
      <x:c r="Q5" s="61" t="n">
        <x:v>5.52</x:v>
      </x:c>
      <x:c r="R5" s="61" t="n">
        <x:v>0.20662</x:v>
      </x:c>
      <x:c r="S5" s="61" t="n">
        <x:v>5.34</x:v>
      </x:c>
      <x:c r="T5" s="62" t="n">
        <x:f>IF(R5=0,0,100*F5^2/R5^2)</x:f>
        <x:v>4.954297760111653</x:v>
      </x:c>
      <x:c r="U5" s="62" t="n">
        <x:f>IF(R5=0,0,100*J5^2/R5^2)</x:f>
        <x:v>0.7699293825447291</x:v>
      </x:c>
      <x:c r="V5" s="62" t="n">
        <x:f>IF(R5=0,0,100*N5^2/R5^2)</x:f>
        <x:v>94.10746475383704</x:v>
      </x:c>
      <x:c r="W5" s="60" t="str">
        <x:f>IF(AND(F5&gt;=J5,F5&gt;=N5),"X",IF(J5&gt;=N5,"Y","Z"))</x:f>
        <x:v>Z</x:v>
      </x:c>
      <x:c r="X5" s="61" t="n">
        <x:f>ABS(MOD(K5-O5+180,360)-180)</x:f>
        <x:v>40.139999999999986</x:v>
      </x:c>
      <x:c r="Y5" s="61" t="n">
        <x:v>100.01741</x:v>
      </x:c>
      <x:c r="Z5" s="61" t="n">
        <x:v>99.51055</x:v>
      </x:c>
      <x:c r="AA5" s="61" t="n">
        <x:v>99.98222</x:v>
      </x:c>
      <x:c r="AB5" s="61" t="n">
        <x:v>20.81</x:v>
      </x:c>
      <x:c r="AC5" s="60" t="n">
        <x:v>1</x:v>
      </x:c>
    </x:row>
    <x:row r="6">
      <x:c r="A6" s="60" t="n">
        <x:v>1</x:v>
      </x:c>
      <x:c r="B6" s="61" t="n">
        <x:v>100</x:v>
      </x:c>
      <x:c r="C6" s="61" t="n">
        <x:v>15</x:v>
      </x:c>
      <x:c r="D6" s="61" t="n">
        <x:v>99.98732</x:v>
      </x:c>
      <x:c r="E6" s="61" t="n">
        <x:v>-0.01268</x:v>
      </x:c>
      <x:c r="F6" s="61" t="n">
        <x:v>0.05338</x:v>
      </x:c>
      <x:c r="G6" s="61" t="n">
        <x:v>50.07</x:v>
      </x:c>
      <x:c r="H6" s="61" t="n">
        <x:v>0.077</x:v>
      </x:c>
      <x:c r="I6" s="61" t="n">
        <x:v>20.17</x:v>
      </x:c>
      <x:c r="J6" s="61" t="n">
        <x:v>0.02795</x:v>
      </x:c>
      <x:c r="K6" s="61" t="n">
        <x:v>-81.06</x:v>
      </x:c>
      <x:c r="L6" s="61" t="n">
        <x:v>0.037</x:v>
      </x:c>
      <x:c r="M6" s="61" t="n">
        <x:v>39.44</x:v>
      </x:c>
      <x:c r="N6" s="61" t="n">
        <x:v>0.24307</x:v>
      </x:c>
      <x:c r="O6" s="61" t="n">
        <x:v>38.45</x:v>
      </x:c>
      <x:c r="P6" s="61" t="n">
        <x:v>0.435</x:v>
      </x:c>
      <x:c r="Q6" s="61" t="n">
        <x:v>5.99</x:v>
      </x:c>
      <x:c r="R6" s="61" t="n">
        <x:v>0.25082</x:v>
      </x:c>
      <x:c r="S6" s="61" t="n">
        <x:v>5.71</x:v>
      </x:c>
      <x:c r="T6" s="62" t="n">
        <x:f>IF(R6=0,0,100*F6^2/R6^2)</x:f>
        <x:v>4.529317985798543</x:v>
      </x:c>
      <x:c r="U6" s="62" t="n">
        <x:f>IF(R6=0,0,100*J6^2/R6^2)</x:f>
        <x:v>1.2417646644005669</x:v>
      </x:c>
      <x:c r="V6" s="62" t="n">
        <x:f>IF(R6=0,0,100*N6^2/R6^2)</x:f>
        <x:v>93.91574218812517</x:v>
      </x:c>
      <x:c r="W6" s="60" t="str">
        <x:f>IF(AND(F6&gt;=J6,F6&gt;=N6),"X",IF(J6&gt;=N6,"Y","Z"))</x:f>
        <x:v>Z</x:v>
      </x:c>
      <x:c r="X6" s="61" t="n">
        <x:f>ABS(MOD(K6-O6+180,360)-180)</x:f>
        <x:v>119.51</x:v>
      </x:c>
      <x:c r="Y6" s="61" t="n">
        <x:v>100.04928</x:v>
      </x:c>
      <x:c r="Z6" s="61" t="n">
        <x:v>99.97497</x:v>
      </x:c>
      <x:c r="AA6" s="61" t="n">
        <x:v>99.98472</x:v>
      </x:c>
      <x:c r="AB6" s="61" t="n">
        <x:v>23.72</x:v>
      </x:c>
      <x:c r="AC6" s="60" t="n">
        <x:v>1</x:v>
      </x:c>
    </x:row>
    <x:row r="7">
      <x:c r="A7" s="60" t="n">
        <x:v>1</x:v>
      </x:c>
      <x:c r="B7" s="61" t="n">
        <x:v>100</x:v>
      </x:c>
      <x:c r="C7" s="61" t="n">
        <x:v>16</x:v>
      </x:c>
      <x:c r="D7" s="61" t="n">
        <x:v>100.01002</x:v>
      </x:c>
      <x:c r="E7" s="61" t="n">
        <x:v>0.01002</x:v>
      </x:c>
      <x:c r="F7" s="61" t="n">
        <x:v>0.06657</x:v>
      </x:c>
      <x:c r="G7" s="61" t="n">
        <x:v>49.01</x:v>
      </x:c>
      <x:c r="H7" s="61" t="n">
        <x:v>0.102</x:v>
      </x:c>
      <x:c r="I7" s="61" t="n">
        <x:v>24.84</x:v>
      </x:c>
      <x:c r="J7" s="61" t="n">
        <x:v>0.01844</x:v>
      </x:c>
      <x:c r="K7" s="61" t="n">
        <x:v>-43.13</x:v>
      </x:c>
      <x:c r="L7" s="61" t="n">
        <x:v>0.023</x:v>
      </x:c>
      <x:c r="M7" s="61" t="n">
        <x:v>25.66</x:v>
      </x:c>
      <x:c r="N7" s="61" t="n">
        <x:v>0.28593</x:v>
      </x:c>
      <x:c r="O7" s="61" t="n">
        <x:v>34.37</x:v>
      </x:c>
      <x:c r="P7" s="61" t="n">
        <x:v>0.437</x:v>
      </x:c>
      <x:c r="Q7" s="61" t="n">
        <x:v>7.15</x:v>
      </x:c>
      <x:c r="R7" s="61" t="n">
        <x:v>0.29453</x:v>
      </x:c>
      <x:c r="S7" s="61" t="n">
        <x:v>7.15</x:v>
      </x:c>
      <x:c r="T7" s="62" t="n">
        <x:f>IF(R7=0,0,100*F7^2/R7^2)</x:f>
        <x:v>5.108554595917699</x:v>
      </x:c>
      <x:c r="U7" s="62" t="n">
        <x:f>IF(R7=0,0,100*J7^2/R7^2)</x:f>
        <x:v>0.3919789621148142</x:v>
      </x:c>
      <x:c r="V7" s="62" t="n">
        <x:f>IF(R7=0,0,100*N7^2/R7^2)</x:f>
        <x:v>94.2454459447454</x:v>
      </x:c>
      <x:c r="W7" s="60" t="str">
        <x:f>IF(AND(F7&gt;=J7,F7&gt;=N7),"X",IF(J7&gt;=N7,"Y","Z"))</x:f>
        <x:v>Z</x:v>
      </x:c>
      <x:c r="X7" s="61" t="n">
        <x:f>ABS(MOD(K7-O7+180,360)-180)</x:f>
        <x:v>77.5</x:v>
      </x:c>
      <x:c r="Y7" s="61" t="n">
        <x:v>100.06654</x:v>
      </x:c>
      <x:c r="Z7" s="61" t="n">
        <x:v>98.58138</x:v>
      </x:c>
      <x:c r="AA7" s="61" t="n">
        <x:v>100.00674</x:v>
      </x:c>
      <x:c r="AB7" s="61" t="n">
        <x:v>23.51</x:v>
      </x:c>
      <x:c r="AC7" s="60" t="n">
        <x:v>1</x:v>
      </x:c>
    </x:row>
    <x:row r="8">
      <x:c r="A8" s="60" t="n">
        <x:v>1</x:v>
      </x:c>
      <x:c r="B8" s="61" t="n">
        <x:v>100</x:v>
      </x:c>
      <x:c r="C8" s="61" t="n">
        <x:v>17</x:v>
      </x:c>
      <x:c r="D8" s="61" t="n">
        <x:v>99.97984</x:v>
      </x:c>
      <x:c r="E8" s="61" t="n">
        <x:v>-0.02016</x:v>
      </x:c>
      <x:c r="F8" s="61" t="n">
        <x:v>0.07742</x:v>
      </x:c>
      <x:c r="G8" s="61" t="n">
        <x:v>39.01</x:v>
      </x:c>
      <x:c r="H8" s="61" t="n">
        <x:v>0.116</x:v>
      </x:c>
      <x:c r="I8" s="61" t="n">
        <x:v>18.87</x:v>
      </x:c>
      <x:c r="J8" s="61" t="n">
        <x:v>0.03215</x:v>
      </x:c>
      <x:c r="K8" s="61" t="n">
        <x:v>-64.96</x:v>
      </x:c>
      <x:c r="L8" s="61" t="n">
        <x:v>0.039</x:v>
      </x:c>
      <x:c r="M8" s="61" t="n">
        <x:v>67.23</x:v>
      </x:c>
      <x:c r="N8" s="61" t="n">
        <x:v>0.35876</x:v>
      </x:c>
      <x:c r="O8" s="61" t="n">
        <x:v>36.2</x:v>
      </x:c>
      <x:c r="P8" s="61" t="n">
        <x:v>0.511</x:v>
      </x:c>
      <x:c r="Q8" s="61" t="n">
        <x:v>4.31</x:v>
      </x:c>
      <x:c r="R8" s="61" t="n">
        <x:v>0.36921</x:v>
      </x:c>
      <x:c r="S8" s="61" t="n">
        <x:v>3.82</x:v>
      </x:c>
      <x:c r="T8" s="62" t="n">
        <x:f>IF(R8=0,0,100*F8^2/R8^2)</x:f>
        <x:v>4.3970299453591535</x:v>
      </x:c>
      <x:c r="U8" s="62" t="n">
        <x:f>IF(R8=0,0,100*J8^2/R8^2)</x:f>
        <x:v>0.758254582925442</x:v>
      </x:c>
      <x:c r="V8" s="62" t="n">
        <x:f>IF(R8=0,0,100*N8^2/R8^2)</x:f>
        <x:v>94.41937472118514</x:v>
      </x:c>
      <x:c r="W8" s="60" t="str">
        <x:f>IF(AND(F8&gt;=J8,F8&gt;=N8),"X",IF(J8&gt;=N8,"Y","Z"))</x:f>
        <x:v>Z</x:v>
      </x:c>
      <x:c r="X8" s="61" t="n">
        <x:f>ABS(MOD(K8-O8+180,360)-180)</x:f>
        <x:v>101.16</x:v>
      </x:c>
      <x:c r="Y8" s="61" t="n">
        <x:v>99.98296</x:v>
      </x:c>
      <x:c r="Z8" s="61" t="n">
        <x:v>99.8629</x:v>
      </x:c>
      <x:c r="AA8" s="61" t="n">
        <x:v>99.98011</x:v>
      </x:c>
      <x:c r="AB8" s="61" t="n">
        <x:v>25.94</x:v>
      </x:c>
      <x:c r="AC8" s="60" t="n">
        <x:v>1</x:v>
      </x:c>
    </x:row>
    <x:row r="9">
      <x:c r="A9" s="60" t="n">
        <x:v>1</x:v>
      </x:c>
      <x:c r="B9" s="61" t="n">
        <x:v>100</x:v>
      </x:c>
      <x:c r="C9" s="61" t="n">
        <x:v>18</x:v>
      </x:c>
      <x:c r="D9" s="61" t="n">
        <x:v>100.00125</x:v>
      </x:c>
      <x:c r="E9" s="61" t="n">
        <x:v>0.00125</x:v>
      </x:c>
      <x:c r="F9" s="61" t="n">
        <x:v>0.08297</x:v>
      </x:c>
      <x:c r="G9" s="61" t="n">
        <x:v>47.99</x:v>
      </x:c>
      <x:c r="H9" s="61" t="n">
        <x:v>0.113</x:v>
      </x:c>
      <x:c r="I9" s="61" t="n">
        <x:v>15.44</x:v>
      </x:c>
      <x:c r="J9" s="61" t="n">
        <x:v>0.02236</x:v>
      </x:c>
      <x:c r="K9" s="61" t="n">
        <x:v>-113.88</x:v>
      </x:c>
      <x:c r="L9" s="61" t="n">
        <x:v>0.029</x:v>
      </x:c>
      <x:c r="M9" s="61" t="n">
        <x:v>59.49</x:v>
      </x:c>
      <x:c r="N9" s="61" t="n">
        <x:v>0.38462</x:v>
      </x:c>
      <x:c r="O9" s="61" t="n">
        <x:v>34.01</x:v>
      </x:c>
      <x:c r="P9" s="61" t="n">
        <x:v>0.506</x:v>
      </x:c>
      <x:c r="Q9" s="61" t="n">
        <x:v>3.78</x:v>
      </x:c>
      <x:c r="R9" s="61" t="n">
        <x:v>0.39447</x:v>
      </x:c>
      <x:c r="S9" s="61" t="n">
        <x:v>3.46</x:v>
      </x:c>
      <x:c r="T9" s="62" t="n">
        <x:f>IF(R9=0,0,100*F9^2/R9^2)</x:f>
        <x:v>4.4239908493484545</x:v>
      </x:c>
      <x:c r="U9" s="62" t="n">
        <x:f>IF(R9=0,0,100*J9^2/R9^2)</x:f>
        <x:v>0.32130363453027977</x:v>
      </x:c>
      <x:c r="V9" s="62" t="n">
        <x:f>IF(R9=0,0,100*N9^2/R9^2)</x:f>
        <x:v>95.06830851522169</x:v>
      </x:c>
      <x:c r="W9" s="60" t="str">
        <x:f>IF(AND(F9&gt;=J9,F9&gt;=N9),"X",IF(J9&gt;=N9,"Y","Z"))</x:f>
        <x:v>Z</x:v>
      </x:c>
      <x:c r="X9" s="61" t="n">
        <x:f>ABS(MOD(K9-O9+180,360)-180)</x:f>
        <x:v>147.89</x:v>
      </x:c>
      <x:c r="Y9" s="61" t="n">
        <x:v>99.92189</x:v>
      </x:c>
      <x:c r="Z9" s="61" t="n">
        <x:v>100.0442</x:v>
      </x:c>
      <x:c r="AA9" s="61" t="n">
        <x:v>100.00514</x:v>
      </x:c>
      <x:c r="AB9" s="61" t="n">
        <x:v>27.09</x:v>
      </x:c>
      <x:c r="AC9" s="60" t="n">
        <x:v>1</x:v>
      </x:c>
    </x:row>
    <x:row r="10">
      <x:c r="A10" s="60" t="n">
        <x:v>1</x:v>
      </x:c>
      <x:c r="B10" s="61" t="n">
        <x:v>100</x:v>
      </x:c>
      <x:c r="C10" s="61" t="n">
        <x:v>19</x:v>
      </x:c>
      <x:c r="D10" s="61" t="n">
        <x:v>99.98993</x:v>
      </x:c>
      <x:c r="E10" s="61" t="n">
        <x:v>-0.01007</x:v>
      </x:c>
      <x:c r="F10" s="61" t="n">
        <x:v>0.08444</x:v>
      </x:c>
      <x:c r="G10" s="61" t="n">
        <x:v>53.79</x:v>
      </x:c>
      <x:c r="H10" s="61" t="n">
        <x:v>0.11</x:v>
      </x:c>
      <x:c r="I10" s="61" t="n">
        <x:v>22.5</x:v>
      </x:c>
      <x:c r="J10" s="61" t="n">
        <x:v>0.03804</x:v>
      </x:c>
      <x:c r="K10" s="61" t="n">
        <x:v>-144.44</x:v>
      </x:c>
      <x:c r="L10" s="61" t="n">
        <x:v>0.045</x:v>
      </x:c>
      <x:c r="M10" s="61" t="n">
        <x:v>41.58</x:v>
      </x:c>
      <x:c r="N10" s="61" t="n">
        <x:v>0.44721</x:v>
      </x:c>
      <x:c r="O10" s="61" t="n">
        <x:v>36.03</x:v>
      </x:c>
      <x:c r="P10" s="61" t="n">
        <x:v>0.586</x:v>
      </x:c>
      <x:c r="Q10" s="61" t="n">
        <x:v>2.54</x:v>
      </x:c>
      <x:c r="R10" s="61" t="n">
        <x:v>0.45722</x:v>
      </x:c>
      <x:c r="S10" s="61" t="n">
        <x:v>2.59</x:v>
      </x:c>
      <x:c r="T10" s="62" t="n">
        <x:f>IF(R10=0,0,100*F10^2/R10^2)</x:f>
        <x:v>3.4107195506510872</x:v>
      </x:c>
      <x:c r="U10" s="62" t="n">
        <x:f>IF(R10=0,0,100*J10^2/R10^2)</x:f>
        <x:v>0.6921983789606702</x:v>
      </x:c>
      <x:c r="V10" s="62" t="n">
        <x:f>IF(R10=0,0,100*N10^2/R10^2)</x:f>
        <x:v>95.6692950301962</x:v>
      </x:c>
      <x:c r="W10" s="60" t="str">
        <x:f>IF(AND(F10&gt;=J10,F10&gt;=N10),"X",IF(J10&gt;=N10,"Y","Z"))</x:f>
        <x:v>Z</x:v>
      </x:c>
      <x:c r="X10" s="61" t="n">
        <x:f>ABS(MOD(K10-O10+180,360)-180)</x:f>
        <x:v>179.52999999999997</x:v>
      </x:c>
      <x:c r="Y10" s="61" t="n">
        <x:v>99.91681</x:v>
      </x:c>
      <x:c r="Z10" s="61" t="n">
        <x:v>100.03897</x:v>
      </x:c>
      <x:c r="AA10" s="61" t="n">
        <x:v>99.99291</x:v>
      </x:c>
      <x:c r="AB10" s="61" t="n">
        <x:v>27.44</x:v>
      </x:c>
      <x:c r="AC10" s="60" t="n">
        <x:v>1</x:v>
      </x:c>
    </x:row>
    <x:row r="11">
      <x:c r="A11" s="60" t="n">
        <x:v>1</x:v>
      </x:c>
      <x:c r="B11" s="61" t="n">
        <x:v>100</x:v>
      </x:c>
      <x:c r="C11" s="61" t="n">
        <x:v>20</x:v>
      </x:c>
      <x:c r="D11" s="61" t="n">
        <x:v>99.99519</x:v>
      </x:c>
      <x:c r="E11" s="61" t="n">
        <x:v>-0.00481</x:v>
      </x:c>
      <x:c r="F11" s="61" t="n">
        <x:v>0.08723</x:v>
      </x:c>
      <x:c r="G11" s="61" t="n">
        <x:v>38.95</x:v>
      </x:c>
      <x:c r="H11" s="61" t="n">
        <x:v>0.1</x:v>
      </x:c>
      <x:c r="I11" s="61" t="n">
        <x:v>12.54</x:v>
      </x:c>
      <x:c r="J11" s="61" t="n">
        <x:v>0.04333</x:v>
      </x:c>
      <x:c r="K11" s="61" t="n">
        <x:v>-132.59</x:v>
      </x:c>
      <x:c r="L11" s="61" t="n">
        <x:v>0.05</x:v>
      </x:c>
      <x:c r="M11" s="61" t="n">
        <x:v>22.29</x:v>
      </x:c>
      <x:c r="N11" s="61" t="n">
        <x:v>0.50888</x:v>
      </x:c>
      <x:c r="O11" s="61" t="n">
        <x:v>35.05</x:v>
      </x:c>
      <x:c r="P11" s="61" t="n">
        <x:v>0.541</x:v>
      </x:c>
      <x:c r="Q11" s="61" t="n">
        <x:v>2.32</x:v>
      </x:c>
      <x:c r="R11" s="61" t="n">
        <x:v>0.5183</x:v>
      </x:c>
      <x:c r="S11" s="61" t="n">
        <x:v>2.12</x:v>
      </x:c>
      <x:c r="T11" s="62" t="n">
        <x:f>IF(R11=0,0,100*F11^2/R11^2)</x:f>
        <x:v>2.832496143743652</x:v>
      </x:c>
      <x:c r="U11" s="62" t="n">
        <x:f>IF(R11=0,0,100*J11^2/R11^2)</x:f>
        <x:v>0.6988998711224742</x:v>
      </x:c>
      <x:c r="V11" s="62" t="n">
        <x:f>IF(R11=0,0,100*N11^2/R11^2)</x:f>
        <x:v>96.39807189602216</x:v>
      </x:c>
      <x:c r="W11" s="60" t="str">
        <x:f>IF(AND(F11&gt;=J11,F11&gt;=N11),"X",IF(J11&gt;=N11,"Y","Z"))</x:f>
        <x:v>Z</x:v>
      </x:c>
      <x:c r="X11" s="61" t="n">
        <x:f>ABS(MOD(K11-O11+180,360)-180)</x:f>
        <x:v>167.64</x:v>
      </x:c>
      <x:c r="Y11" s="61" t="n">
        <x:v>100.02721</x:v>
      </x:c>
      <x:c r="Z11" s="61" t="n">
        <x:v>100.20324</x:v>
      </x:c>
      <x:c r="AA11" s="61" t="n">
        <x:v>99.99295</x:v>
      </x:c>
      <x:c r="AB11" s="61" t="n">
        <x:v>29.76</x:v>
      </x:c>
      <x:c r="AC11" s="60" t="n">
        <x:v>1</x:v>
      </x:c>
    </x:row>
    <x:row r="12">
      <x:c r="A12" s="60" t="n">
        <x:v>2</x:v>
      </x:c>
      <x:c r="B12" s="61" t="n">
        <x:v>125</x:v>
      </x:c>
      <x:c r="C12" s="61" t="n">
        <x:v>11</x:v>
      </x:c>
      <x:c r="D12" s="61" t="n">
        <x:v>125.01008</x:v>
      </x:c>
      <x:c r="E12" s="61" t="n">
        <x:v>0.01008</x:v>
      </x:c>
      <x:c r="F12" s="61" t="n">
        <x:v>0.0296</x:v>
      </x:c>
      <x:c r="G12" s="61" t="n">
        <x:v>29.38</x:v>
      </x:c>
      <x:c r="H12" s="61" t="n">
        <x:v>0.052</x:v>
      </x:c>
      <x:c r="I12" s="61" t="n">
        <x:v>50.37</x:v>
      </x:c>
      <x:c r="J12" s="61" t="n">
        <x:v>0.04571</x:v>
      </x:c>
      <x:c r="K12" s="61" t="n">
        <x:v>46.33</x:v>
      </x:c>
      <x:c r="L12" s="61" t="n">
        <x:v>0.063</x:v>
      </x:c>
      <x:c r="M12" s="61" t="n">
        <x:v>18.76</x:v>
      </x:c>
      <x:c r="N12" s="61" t="n">
        <x:v>0.10418</x:v>
      </x:c>
      <x:c r="O12" s="61" t="n">
        <x:v>65.57</x:v>
      </x:c>
      <x:c r="P12" s="61" t="n">
        <x:v>0.203</x:v>
      </x:c>
      <x:c r="Q12" s="61" t="n">
        <x:v>18.6</x:v>
      </x:c>
      <x:c r="R12" s="61" t="n">
        <x:v>0.11905</x:v>
      </x:c>
      <x:c r="S12" s="61" t="n">
        <x:v>12.75</x:v>
      </x:c>
      <x:c r="T12" s="62" t="n">
        <x:f>IF(R12=0,0,100*F12^2/R12^2)</x:f>
        <x:v>6.181937680020025</x:v>
      </x:c>
      <x:c r="U12" s="62" t="n">
        <x:f>IF(R12=0,0,100*J12^2/R12^2)</x:f>
        <x:v>14.742245633877745</x:v>
      </x:c>
      <x:c r="V12" s="62" t="n">
        <x:f>IF(R12=0,0,100*N12^2/R12^2)</x:f>
        <x:v>76.57903806224589</x:v>
      </x:c>
      <x:c r="W12" s="60" t="str">
        <x:f>IF(AND(F12&gt;=J12,F12&gt;=N12),"X",IF(J12&gt;=N12,"Y","Z"))</x:f>
        <x:v>Z</x:v>
      </x:c>
      <x:c r="X12" s="61" t="n">
        <x:f>ABS(MOD(K12-O12+180,360)-180)</x:f>
        <x:v>19.24000000000001</x:v>
      </x:c>
      <x:c r="Y12" s="61" t="n">
        <x:v>124.87763</x:v>
      </x:c>
      <x:c r="Z12" s="61" t="n">
        <x:v>125.05945</x:v>
      </x:c>
      <x:c r="AA12" s="61" t="n">
        <x:v>125.01969</x:v>
      </x:c>
      <x:c r="AB12" s="61" t="n">
        <x:v>12.39</x:v>
      </x:c>
      <x:c r="AC12" s="60" t="n">
        <x:v>1</x:v>
      </x:c>
    </x:row>
    <x:row r="13">
      <x:c r="A13" s="60" t="n">
        <x:v>2</x:v>
      </x:c>
      <x:c r="B13" s="61" t="n">
        <x:v>125</x:v>
      </x:c>
      <x:c r="C13" s="61" t="n">
        <x:v>12</x:v>
      </x:c>
      <x:c r="D13" s="61" t="n">
        <x:v>125.0617</x:v>
      </x:c>
      <x:c r="E13" s="61" t="n">
        <x:v>0.0617</x:v>
      </x:c>
      <x:c r="F13" s="61" t="n">
        <x:v>0.03094</x:v>
      </x:c>
      <x:c r="G13" s="61" t="n">
        <x:v>36.03</x:v>
      </x:c>
      <x:c r="H13" s="61" t="n">
        <x:v>0.058</x:v>
      </x:c>
      <x:c r="I13" s="61" t="n">
        <x:v>24.01</x:v>
      </x:c>
      <x:c r="J13" s="61" t="n">
        <x:v>0.04938</x:v>
      </x:c>
      <x:c r="K13" s="61" t="n">
        <x:v>54.94</x:v>
      </x:c>
      <x:c r="L13" s="61" t="n">
        <x:v>0.074</x:v>
      </x:c>
      <x:c r="M13" s="61" t="n">
        <x:v>20.26</x:v>
      </x:c>
      <x:c r="N13" s="61" t="n">
        <x:v>0.11389</x:v>
      </x:c>
      <x:c r="O13" s="61" t="n">
        <x:v>50.22</x:v>
      </x:c>
      <x:c r="P13" s="61" t="n">
        <x:v>0.26</x:v>
      </x:c>
      <x:c r="Q13" s="61" t="n">
        <x:v>13.2</x:v>
      </x:c>
      <x:c r="R13" s="61" t="n">
        <x:v>0.12864</x:v>
      </x:c>
      <x:c r="S13" s="61" t="n">
        <x:v>9.68</x:v>
      </x:c>
      <x:c r="T13" s="62" t="n">
        <x:f>IF(R13=0,0,100*F13^2/R13^2)</x:f>
        <x:v>5.784802762462562</x:v>
      </x:c>
      <x:c r="U13" s="62" t="n">
        <x:f>IF(R13=0,0,100*J13^2/R13^2)</x:f>
        <x:v>14.73499892097349</x:v>
      </x:c>
      <x:c r="V13" s="62" t="n">
        <x:f>IF(R13=0,0,100*N13^2/R13^2)</x:f>
        <x:v>78.38250215901988</x:v>
      </x:c>
      <x:c r="W13" s="60" t="str">
        <x:f>IF(AND(F13&gt;=J13,F13&gt;=N13),"X",IF(J13&gt;=N13,"Y","Z"))</x:f>
        <x:v>Z</x:v>
      </x:c>
      <x:c r="X13" s="61" t="n">
        <x:f>ABS(MOD(K13-O13+180,360)-180)</x:f>
        <x:v>4.719999999999999</x:v>
      </x:c>
      <x:c r="Y13" s="61" t="n">
        <x:v>124.89641</x:v>
      </x:c>
      <x:c r="Z13" s="61" t="n">
        <x:v>125.07007</x:v>
      </x:c>
      <x:c r="AA13" s="61" t="n">
        <x:v>125.07666</x:v>
      </x:c>
      <x:c r="AB13" s="61" t="n">
        <x:v>13.42</x:v>
      </x:c>
      <x:c r="AC13" s="60" t="n">
        <x:v>1</x:v>
      </x:c>
    </x:row>
    <x:row r="14">
      <x:c r="A14" s="60" t="n">
        <x:v>2</x:v>
      </x:c>
      <x:c r="B14" s="61" t="n">
        <x:v>125</x:v>
      </x:c>
      <x:c r="C14" s="61" t="n">
        <x:v>13</x:v>
      </x:c>
      <x:c r="D14" s="61" t="n">
        <x:v>124.9683</x:v>
      </x:c>
      <x:c r="E14" s="61" t="n">
        <x:v>-0.0317</x:v>
      </x:c>
      <x:c r="F14" s="61" t="n">
        <x:v>0.04144</x:v>
      </x:c>
      <x:c r="G14" s="61" t="n">
        <x:v>42.72</x:v>
      </x:c>
      <x:c r="H14" s="61" t="n">
        <x:v>0.078</x:v>
      </x:c>
      <x:c r="I14" s="61" t="n">
        <x:v>14.17</x:v>
      </x:c>
      <x:c r="J14" s="61" t="n">
        <x:v>0.04303</x:v>
      </x:c>
      <x:c r="K14" s="61" t="n">
        <x:v>45.16</x:v>
      </x:c>
      <x:c r="L14" s="61" t="n">
        <x:v>0.077</x:v>
      </x:c>
      <x:c r="M14" s="61" t="n">
        <x:v>22.59</x:v>
      </x:c>
      <x:c r="N14" s="61" t="n">
        <x:v>0.13012</x:v>
      </x:c>
      <x:c r="O14" s="61" t="n">
        <x:v>50.16</x:v>
      </x:c>
      <x:c r="P14" s="61" t="n">
        <x:v>0.301</x:v>
      </x:c>
      <x:c r="Q14" s="61" t="n">
        <x:v>13.25</x:v>
      </x:c>
      <x:c r="R14" s="61" t="n">
        <x:v>0.14356</x:v>
      </x:c>
      <x:c r="S14" s="61" t="n">
        <x:v>11.85</x:v>
      </x:c>
      <x:c r="T14" s="62" t="n">
        <x:f>IF(R14=0,0,100*F14^2/R14^2)</x:f>
        <x:v>8.332447656499097</x:v>
      </x:c>
      <x:c r="U14" s="62" t="n">
        <x:f>IF(R14=0,0,100*J14^2/R14^2)</x:f>
        <x:v>8.984125145243885</x:v>
      </x:c>
      <x:c r="V14" s="62" t="n">
        <x:f>IF(R14=0,0,100*N14^2/R14^2)</x:f>
        <x:v>82.15258054917037</x:v>
      </x:c>
      <x:c r="W14" s="60" t="str">
        <x:f>IF(AND(F14&gt;=J14,F14&gt;=N14),"X",IF(J14&gt;=N14,"Y","Z"))</x:f>
        <x:v>Z</x:v>
      </x:c>
      <x:c r="X14" s="61" t="n">
        <x:f>ABS(MOD(K14-O14+180,360)-180)</x:f>
        <x:v>5</x:v>
      </x:c>
      <x:c r="Y14" s="61" t="n">
        <x:v>124.91936</x:v>
      </x:c>
      <x:c r="Z14" s="61" t="n">
        <x:v>124.98431</x:v>
      </x:c>
      <x:c r="AA14" s="61" t="n">
        <x:v>124.9688</x:v>
      </x:c>
      <x:c r="AB14" s="61" t="n">
        <x:v>18.39</x:v>
      </x:c>
      <x:c r="AC14" s="60" t="n">
        <x:v>1</x:v>
      </x:c>
    </x:row>
    <x:row r="15">
      <x:c r="A15" s="60" t="n">
        <x:v>2</x:v>
      </x:c>
      <x:c r="B15" s="61" t="n">
        <x:v>125</x:v>
      </x:c>
      <x:c r="C15" s="61" t="n">
        <x:v>14</x:v>
      </x:c>
      <x:c r="D15" s="61" t="n">
        <x:v>125.02106</x:v>
      </x:c>
      <x:c r="E15" s="61" t="n">
        <x:v>0.02106</x:v>
      </x:c>
      <x:c r="F15" s="61" t="n">
        <x:v>0.0402</x:v>
      </x:c>
      <x:c r="G15" s="61" t="n">
        <x:v>45.13</x:v>
      </x:c>
      <x:c r="H15" s="61" t="n">
        <x:v>0.067</x:v>
      </x:c>
      <x:c r="I15" s="61" t="n">
        <x:v>21.78</x:v>
      </x:c>
      <x:c r="J15" s="61" t="n">
        <x:v>0.05791</x:v>
      </x:c>
      <x:c r="K15" s="61" t="n">
        <x:v>46.98</x:v>
      </x:c>
      <x:c r="L15" s="61" t="n">
        <x:v>0.09</x:v>
      </x:c>
      <x:c r="M15" s="61" t="n">
        <x:v>30.92</x:v>
      </x:c>
      <x:c r="N15" s="61" t="n">
        <x:v>0.16809</x:v>
      </x:c>
      <x:c r="O15" s="61" t="n">
        <x:v>47.95</x:v>
      </x:c>
      <x:c r="P15" s="61" t="n">
        <x:v>0.353</x:v>
      </x:c>
      <x:c r="Q15" s="61" t="n">
        <x:v>5.08</x:v>
      </x:c>
      <x:c r="R15" s="61" t="n">
        <x:v>0.1831</x:v>
      </x:c>
      <x:c r="S15" s="61" t="n">
        <x:v>5.28</x:v>
      </x:c>
      <x:c r="T15" s="62" t="n">
        <x:f>IF(R15=0,0,100*F15^2/R15^2)</x:f>
        <x:v>4.8203149771174925</x:v>
      </x:c>
      <x:c r="U15" s="62" t="n">
        <x:f>IF(R15=0,0,100*J15^2/R15^2)</x:f>
        <x:v>10.003003972187233</x:v>
      </x:c>
      <x:c r="V15" s="62" t="n">
        <x:f>IF(R15=0,0,100*N15^2/R15^2)</x:f>
        <x:v>84.27661152175902</x:v>
      </x:c>
      <x:c r="W15" s="60" t="str">
        <x:f>IF(AND(F15&gt;=J15,F15&gt;=N15),"X",IF(J15&gt;=N15,"Y","Z"))</x:f>
        <x:v>Z</x:v>
      </x:c>
      <x:c r="X15" s="61" t="n">
        <x:f>ABS(MOD(K15-O15+180,360)-180)</x:f>
        <x:v>0.9699999999999989</x:v>
      </x:c>
      <x:c r="Y15" s="61" t="n">
        <x:v>125.07149</x:v>
      </x:c>
      <x:c r="Z15" s="61" t="n">
        <x:v>124.95579</x:v>
      </x:c>
      <x:c r="AA15" s="61" t="n">
        <x:v>125.02401</x:v>
      </x:c>
      <x:c r="AB15" s="61" t="n">
        <x:v>19.31</x:v>
      </x:c>
      <x:c r="AC15" s="60" t="n">
        <x:v>1</x:v>
      </x:c>
    </x:row>
    <x:row r="16">
      <x:c r="A16" s="60" t="n">
        <x:v>2</x:v>
      </x:c>
      <x:c r="B16" s="61" t="n">
        <x:v>125</x:v>
      </x:c>
      <x:c r="C16" s="61" t="n">
        <x:v>15</x:v>
      </x:c>
      <x:c r="D16" s="61" t="n">
        <x:v>125.02835</x:v>
      </x:c>
      <x:c r="E16" s="61" t="n">
        <x:v>0.02835</x:v>
      </x:c>
      <x:c r="F16" s="61" t="n">
        <x:v>0.03971</x:v>
      </x:c>
      <x:c r="G16" s="61" t="n">
        <x:v>34.86</x:v>
      </x:c>
      <x:c r="H16" s="61" t="n">
        <x:v>0.062</x:v>
      </x:c>
      <x:c r="I16" s="61" t="n">
        <x:v>35.06</x:v>
      </x:c>
      <x:c r="J16" s="61" t="n">
        <x:v>0.06011</x:v>
      </x:c>
      <x:c r="K16" s="61" t="n">
        <x:v>49.78</x:v>
      </x:c>
      <x:c r="L16" s="61" t="n">
        <x:v>0.078</x:v>
      </x:c>
      <x:c r="M16" s="61" t="n">
        <x:v>4.4</x:v>
      </x:c>
      <x:c r="N16" s="61" t="n">
        <x:v>0.20952</x:v>
      </x:c>
      <x:c r="O16" s="61" t="n">
        <x:v>49.12</x:v>
      </x:c>
      <x:c r="P16" s="61" t="n">
        <x:v>0.394</x:v>
      </x:c>
      <x:c r="Q16" s="61" t="n">
        <x:v>10.48</x:v>
      </x:c>
      <x:c r="R16" s="61" t="n">
        <x:v>0.22192</x:v>
      </x:c>
      <x:c r="S16" s="61" t="n">
        <x:v>9.91</x:v>
      </x:c>
      <x:c r="T16" s="62" t="n">
        <x:f>IF(R16=0,0,100*F16^2/R16^2)</x:f>
        <x:v>3.201893530681179</x:v>
      </x:c>
      <x:c r="U16" s="62" t="n">
        <x:f>IF(R16=0,0,100*J16^2/R16^2)</x:f>
        <x:v>7.336696747699438</x:v>
      </x:c>
      <x:c r="V16" s="62" t="n">
        <x:f>IF(R16=0,0,100*N16^2/R16^2)</x:f>
        <x:v>89.13701437126808</x:v>
      </x:c>
      <x:c r="W16" s="60" t="str">
        <x:f>IF(AND(F16&gt;=J16,F16&gt;=N16),"X",IF(J16&gt;=N16,"Y","Z"))</x:f>
        <x:v>Z</x:v>
      </x:c>
      <x:c r="X16" s="61" t="n">
        <x:f>ABS(MOD(K16-O16+180,360)-180)</x:f>
        <x:v>0.6599999999999966</x:v>
      </x:c>
      <x:c r="Y16" s="61" t="n">
        <x:v>124.83077</x:v>
      </x:c>
      <x:c r="Z16" s="61" t="n">
        <x:v>125.05556</x:v>
      </x:c>
      <x:c r="AA16" s="61" t="n">
        <x:v>125.03328</x:v>
      </x:c>
      <x:c r="AB16" s="61" t="n">
        <x:v>19.49</x:v>
      </x:c>
      <x:c r="AC16" s="60" t="n">
        <x:v>1</x:v>
      </x:c>
    </x:row>
    <x:row r="17">
      <x:c r="A17" s="60" t="n">
        <x:v>2</x:v>
      </x:c>
      <x:c r="B17" s="61" t="n">
        <x:v>125</x:v>
      </x:c>
      <x:c r="C17" s="61" t="n">
        <x:v>16</x:v>
      </x:c>
      <x:c r="D17" s="61" t="n">
        <x:v>125.01029</x:v>
      </x:c>
      <x:c r="E17" s="61" t="n">
        <x:v>0.01029</x:v>
      </x:c>
      <x:c r="F17" s="61" t="n">
        <x:v>0.05773</x:v>
      </x:c>
      <x:c r="G17" s="61" t="n">
        <x:v>39.45</x:v>
      </x:c>
      <x:c r="H17" s="61" t="n">
        <x:v>0.099</x:v>
      </x:c>
      <x:c r="I17" s="61" t="n">
        <x:v>12.99</x:v>
      </x:c>
      <x:c r="J17" s="61" t="n">
        <x:v>0.05224</x:v>
      </x:c>
      <x:c r="K17" s="61" t="n">
        <x:v>51.88</x:v>
      </x:c>
      <x:c r="L17" s="61" t="n">
        <x:v>0.061</x:v>
      </x:c>
      <x:c r="M17" s="61" t="n">
        <x:v>19.09</x:v>
      </x:c>
      <x:c r="N17" s="61" t="n">
        <x:v>0.23032</x:v>
      </x:c>
      <x:c r="O17" s="61" t="n">
        <x:v>49.23</x:v>
      </x:c>
      <x:c r="P17" s="61" t="n">
        <x:v>0.444</x:v>
      </x:c>
      <x:c r="Q17" s="61" t="n">
        <x:v>5.02</x:v>
      </x:c>
      <x:c r="R17" s="61" t="n">
        <x:v>0.24344</x:v>
      </x:c>
      <x:c r="S17" s="61" t="n">
        <x:v>3.98</x:v>
      </x:c>
      <x:c r="T17" s="62" t="n">
        <x:f>IF(R17=0,0,100*F17^2/R17^2)</x:f>
        <x:v>5.623662336448467</x:v>
      </x:c>
      <x:c r="U17" s="62" t="n">
        <x:f>IF(R17=0,0,100*J17^2/R17^2)</x:f>
        <x:v>4.604923903186759</x:v>
      </x:c>
      <x:c r="V17" s="62" t="n">
        <x:f>IF(R17=0,0,100*N17^2/R17^2)</x:f>
        <x:v>89.51162162579541</x:v>
      </x:c>
      <x:c r="W17" s="60" t="str">
        <x:f>IF(AND(F17&gt;=J17,F17&gt;=N17),"X",IF(J17&gt;=N17,"Y","Z"))</x:f>
        <x:v>Z</x:v>
      </x:c>
      <x:c r="X17" s="61" t="n">
        <x:f>ABS(MOD(K17-O17+180,360)-180)</x:f>
        <x:v>2.6500000000000057</x:v>
      </x:c>
      <x:c r="Y17" s="61" t="n">
        <x:v>125.10827</x:v>
      </x:c>
      <x:c r="Z17" s="61" t="n">
        <x:v>124.88227</x:v>
      </x:c>
      <x:c r="AA17" s="61" t="n">
        <x:v>125.0105</x:v>
      </x:c>
      <x:c r="AB17" s="61" t="n">
        <x:v>21.52</x:v>
      </x:c>
      <x:c r="AC17" s="60" t="n">
        <x:v>1</x:v>
      </x:c>
    </x:row>
    <x:row r="18">
      <x:c r="A18" s="60" t="n">
        <x:v>2</x:v>
      </x:c>
      <x:c r="B18" s="61" t="n">
        <x:v>125</x:v>
      </x:c>
      <x:c r="C18" s="61" t="n">
        <x:v>17</x:v>
      </x:c>
      <x:c r="D18" s="61" t="n">
        <x:v>124.99791</x:v>
      </x:c>
      <x:c r="E18" s="61" t="n">
        <x:v>-0.00209</x:v>
      </x:c>
      <x:c r="F18" s="61" t="n">
        <x:v>0.05488</x:v>
      </x:c>
      <x:c r="G18" s="61" t="n">
        <x:v>26.25</x:v>
      </x:c>
      <x:c r="H18" s="61" t="n">
        <x:v>0.084</x:v>
      </x:c>
      <x:c r="I18" s="61" t="n">
        <x:v>16.68</x:v>
      </x:c>
      <x:c r="J18" s="61" t="n">
        <x:v>0.04999</x:v>
      </x:c>
      <x:c r="K18" s="61" t="n">
        <x:v>48.58</x:v>
      </x:c>
      <x:c r="L18" s="61" t="n">
        <x:v>0.063</x:v>
      </x:c>
      <x:c r="M18" s="61" t="n">
        <x:v>24.98</x:v>
      </x:c>
      <x:c r="N18" s="61" t="n">
        <x:v>0.25794</x:v>
      </x:c>
      <x:c r="O18" s="61" t="n">
        <x:v>42.18</x:v>
      </x:c>
      <x:c r="P18" s="61" t="n">
        <x:v>0.505</x:v>
      </x:c>
      <x:c r="Q18" s="61" t="n">
        <x:v>1.41</x:v>
      </x:c>
      <x:c r="R18" s="61" t="n">
        <x:v>0.26874</x:v>
      </x:c>
      <x:c r="S18" s="61" t="n">
        <x:v>2.11</x:v>
      </x:c>
      <x:c r="T18" s="62" t="n">
        <x:f>IF(R18=0,0,100*F18^2/R18^2)</x:f>
        <x:v>4.170264295127709</x:v>
      </x:c>
      <x:c r="U18" s="62" t="n">
        <x:f>IF(R18=0,0,100*J18^2/R18^2)</x:f>
        <x:v>3.4602035538944813</x:v>
      </x:c>
      <x:c r="V18" s="62" t="n">
        <x:f>IF(R18=0,0,100*N18^2/R18^2)</x:f>
        <x:v>92.12399547968666</x:v>
      </x:c>
      <x:c r="W18" s="60" t="str">
        <x:f>IF(AND(F18&gt;=J18,F18&gt;=N18),"X",IF(J18&gt;=N18,"Y","Z"))</x:f>
        <x:v>Z</x:v>
      </x:c>
      <x:c r="X18" s="61" t="n">
        <x:f>ABS(MOD(K18-O18+180,360)-180)</x:f>
        <x:v>6.400000000000006</x:v>
      </x:c>
      <x:c r="Y18" s="61" t="n">
        <x:v>124.8916</x:v>
      </x:c>
      <x:c r="Z18" s="61" t="n">
        <x:v>125.06065</x:v>
      </x:c>
      <x:c r="AA18" s="61" t="n">
        <x:v>125.00115</x:v>
      </x:c>
      <x:c r="AB18" s="61" t="n">
        <x:v>21.12</x:v>
      </x:c>
      <x:c r="AC18" s="60" t="n">
        <x:v>1</x:v>
      </x:c>
    </x:row>
    <x:row r="19">
      <x:c r="A19" s="60" t="n">
        <x:v>2</x:v>
      </x:c>
      <x:c r="B19" s="61" t="n">
        <x:v>125</x:v>
      </x:c>
      <x:c r="C19" s="61" t="n">
        <x:v>18</x:v>
      </x:c>
      <x:c r="D19" s="61" t="n">
        <x:v>125.00884</x:v>
      </x:c>
      <x:c r="E19" s="61" t="n">
        <x:v>0.00884</x:v>
      </x:c>
      <x:c r="F19" s="61" t="n">
        <x:v>0.05876</x:v>
      </x:c>
      <x:c r="G19" s="61" t="n">
        <x:v>43.93</x:v>
      </x:c>
      <x:c r="H19" s="61" t="n">
        <x:v>0.095</x:v>
      </x:c>
      <x:c r="I19" s="61" t="n">
        <x:v>11.14</x:v>
      </x:c>
      <x:c r="J19" s="61" t="n">
        <x:v>0.0455</x:v>
      </x:c>
      <x:c r="K19" s="61" t="n">
        <x:v>83.62</x:v>
      </x:c>
      <x:c r="L19" s="61" t="n">
        <x:v>0.049</x:v>
      </x:c>
      <x:c r="M19" s="61" t="n">
        <x:v>22.21</x:v>
      </x:c>
      <x:c r="N19" s="61" t="n">
        <x:v>0.32739</x:v>
      </x:c>
      <x:c r="O19" s="61" t="n">
        <x:v>39.95</x:v>
      </x:c>
      <x:c r="P19" s="61" t="n">
        <x:v>0.565</x:v>
      </x:c>
      <x:c r="Q19" s="61" t="n">
        <x:v>6.33</x:v>
      </x:c>
      <x:c r="R19" s="61" t="n">
        <x:v>0.33588</x:v>
      </x:c>
      <x:c r="S19" s="61" t="n">
        <x:v>6.27</x:v>
      </x:c>
      <x:c r="T19" s="62" t="n">
        <x:f>IF(R19=0,0,100*F19^2/R19^2)</x:f>
        <x:v>3.060520446227407</x:v>
      </x:c>
      <x:c r="U19" s="62" t="n">
        <x:f>IF(R19=0,0,100*J19^2/R19^2)</x:f>
        <x:v>1.8350778969714612</x:v>
      </x:c>
      <x:c r="V19" s="62" t="n">
        <x:f>IF(R19=0,0,100*N19^2/R19^2)</x:f>
        <x:v>95.0085151691878</x:v>
      </x:c>
      <x:c r="W19" s="60" t="str">
        <x:f>IF(AND(F19&gt;=J19,F19&gt;=N19),"X",IF(J19&gt;=N19,"Y","Z"))</x:f>
        <x:v>Z</x:v>
      </x:c>
      <x:c r="X19" s="61" t="n">
        <x:f>ABS(MOD(K19-O19+180,360)-180)</x:f>
        <x:v>43.670000000000016</x:v>
      </x:c>
      <x:c r="Y19" s="61" t="n">
        <x:v>124.99165</x:v>
      </x:c>
      <x:c r="Z19" s="61" t="n">
        <x:v>124.91841</x:v>
      </x:c>
      <x:c r="AA19" s="61" t="n">
        <x:v>125.01114</x:v>
      </x:c>
      <x:c r="AB19" s="61" t="n">
        <x:v>26.26</x:v>
      </x:c>
      <x:c r="AC19" s="60" t="n">
        <x:v>1</x:v>
      </x:c>
    </x:row>
    <x:row r="20">
      <x:c r="A20" s="60" t="n">
        <x:v>2</x:v>
      </x:c>
      <x:c r="B20" s="61" t="n">
        <x:v>125</x:v>
      </x:c>
      <x:c r="C20" s="61" t="n">
        <x:v>19</x:v>
      </x:c>
      <x:c r="D20" s="61" t="n">
        <x:v>125.01141</x:v>
      </x:c>
      <x:c r="E20" s="61" t="n">
        <x:v>0.01141</x:v>
      </x:c>
      <x:c r="F20" s="61" t="n">
        <x:v>0.07699</x:v>
      </x:c>
      <x:c r="G20" s="61" t="n">
        <x:v>41.82</x:v>
      </x:c>
      <x:c r="H20" s="61" t="n">
        <x:v>0.126</x:v>
      </x:c>
      <x:c r="I20" s="61" t="n">
        <x:v>20.24</x:v>
      </x:c>
      <x:c r="J20" s="61" t="n">
        <x:v>0.04066</x:v>
      </x:c>
      <x:c r="K20" s="61" t="n">
        <x:v>71.28</x:v>
      </x:c>
      <x:c r="L20" s="61" t="n">
        <x:v>0.047</x:v>
      </x:c>
      <x:c r="M20" s="61" t="n">
        <x:v>23.18</x:v>
      </x:c>
      <x:c r="N20" s="61" t="n">
        <x:v>0.36594</x:v>
      </x:c>
      <x:c r="O20" s="61" t="n">
        <x:v>39.9</x:v>
      </x:c>
      <x:c r="P20" s="61" t="n">
        <x:v>0.593</x:v>
      </x:c>
      <x:c r="Q20" s="61" t="n">
        <x:v>5.54</x:v>
      </x:c>
      <x:c r="R20" s="61" t="n">
        <x:v>0.37642</x:v>
      </x:c>
      <x:c r="S20" s="61" t="n">
        <x:v>5.92</x:v>
      </x:c>
      <x:c r="T20" s="62" t="n">
        <x:f>IF(R20=0,0,100*F20^2/R20^2)</x:f>
        <x:v>4.183340918281972</x:v>
      </x:c>
      <x:c r="U20" s="62" t="n">
        <x:f>IF(R20=0,0,100*J20^2/R20^2)</x:f>
        <x:v>1.1667810523162265</x:v>
      </x:c>
      <x:c r="V20" s="62" t="n">
        <x:f>IF(R20=0,0,100*N20^2/R20^2)</x:f>
        <x:v>94.50926523761433</x:v>
      </x:c>
      <x:c r="W20" s="60" t="str">
        <x:f>IF(AND(F20&gt;=J20,F20&gt;=N20),"X",IF(J20&gt;=N20,"Y","Z"))</x:f>
        <x:v>Z</x:v>
      </x:c>
      <x:c r="X20" s="61" t="n">
        <x:f>ABS(MOD(K20-O20+180,360)-180)</x:f>
        <x:v>31.379999999999995</x:v>
      </x:c>
      <x:c r="Y20" s="61" t="n">
        <x:v>125.01879</x:v>
      </x:c>
      <x:c r="Z20" s="61" t="n">
        <x:v>125.00269</x:v>
      </x:c>
      <x:c r="AA20" s="61" t="n">
        <x:v>125.0113</x:v>
      </x:c>
      <x:c r="AB20" s="61" t="n">
        <x:v>25.51</x:v>
      </x:c>
      <x:c r="AC20" s="60" t="n">
        <x:v>1</x:v>
      </x:c>
    </x:row>
    <x:row r="21">
      <x:c r="A21" s="60" t="n">
        <x:v>2</x:v>
      </x:c>
      <x:c r="B21" s="61" t="n">
        <x:v>125</x:v>
      </x:c>
      <x:c r="C21" s="61" t="n">
        <x:v>20</x:v>
      </x:c>
      <x:c r="D21" s="61" t="n">
        <x:v>125.01228</x:v>
      </x:c>
      <x:c r="E21" s="61" t="n">
        <x:v>0.01228</x:v>
      </x:c>
      <x:c r="F21" s="61" t="n">
        <x:v>0.08957</x:v>
      </x:c>
      <x:c r="G21" s="61" t="n">
        <x:v>43.41</x:v>
      </x:c>
      <x:c r="H21" s="61" t="n">
        <x:v>0.171</x:v>
      </x:c>
      <x:c r="I21" s="61" t="n">
        <x:v>6.52</x:v>
      </x:c>
      <x:c r="J21" s="61" t="n">
        <x:v>0.03514</x:v>
      </x:c>
      <x:c r="K21" s="61" t="n">
        <x:v>112.94</x:v>
      </x:c>
      <x:c r="L21" s="61" t="n">
        <x:v>0.046</x:v>
      </x:c>
      <x:c r="M21" s="61" t="n">
        <x:v>46.52</x:v>
      </x:c>
      <x:c r="N21" s="61" t="n">
        <x:v>0.44424</x:v>
      </x:c>
      <x:c r="O21" s="61" t="n">
        <x:v>35.36</x:v>
      </x:c>
      <x:c r="P21" s="61" t="n">
        <x:v>0.622</x:v>
      </x:c>
      <x:c r="Q21" s="61" t="n">
        <x:v>3.42</x:v>
      </x:c>
      <x:c r="R21" s="61" t="n">
        <x:v>0.45484</x:v>
      </x:c>
      <x:c r="S21" s="61" t="n">
        <x:v>3.02</x:v>
      </x:c>
      <x:c r="T21" s="62" t="n">
        <x:f>IF(R21=0,0,100*F21^2/R21^2)</x:f>
        <x:v>3.878000374726484</x:v>
      </x:c>
      <x:c r="U21" s="62" t="n">
        <x:f>IF(R21=0,0,100*J21^2/R21^2)</x:f>
        <x:v>0.596878880738733</x:v>
      </x:c>
      <x:c r="V21" s="62" t="n">
        <x:f>IF(R21=0,0,100*N21^2/R21^2)</x:f>
        <x:v>95.39333214389976</x:v>
      </x:c>
      <x:c r="W21" s="60" t="str">
        <x:f>IF(AND(F21&gt;=J21,F21&gt;=N21),"X",IF(J21&gt;=N21,"Y","Z"))</x:f>
        <x:v>Z</x:v>
      </x:c>
      <x:c r="X21" s="61" t="n">
        <x:f>ABS(MOD(K21-O21+180,360)-180)</x:f>
        <x:v>77.57999999999998</x:v>
      </x:c>
      <x:c r="Y21" s="61" t="n">
        <x:v>124.99024</x:v>
      </x:c>
      <x:c r="Z21" s="61" t="n">
        <x:v>124.92927</x:v>
      </x:c>
      <x:c r="AA21" s="61" t="n">
        <x:v>125.01382</x:v>
      </x:c>
      <x:c r="AB21" s="61" t="n">
        <x:v>27.15</x:v>
      </x:c>
      <x:c r="AC21" s="60" t="n">
        <x:v>1</x:v>
      </x:c>
    </x:row>
    <x:row r="22">
      <x:c r="A22" s="60" t="n">
        <x:v>3</x:v>
      </x:c>
      <x:c r="B22" s="61" t="n">
        <x:v>150</x:v>
      </x:c>
      <x:c r="C22" s="61" t="n">
        <x:v>11</x:v>
      </x:c>
      <x:c r="D22" s="61" t="n">
        <x:v>150.01038</x:v>
      </x:c>
      <x:c r="E22" s="61" t="n">
        <x:v>0.01038</x:v>
      </x:c>
      <x:c r="F22" s="61" t="n">
        <x:v>0.03146</x:v>
      </x:c>
      <x:c r="G22" s="61" t="n">
        <x:v>44.29</x:v>
      </x:c>
      <x:c r="H22" s="61" t="n">
        <x:v>0.051</x:v>
      </x:c>
      <x:c r="I22" s="61" t="n">
        <x:v>18.54</x:v>
      </x:c>
      <x:c r="J22" s="61" t="n">
        <x:v>0.0967</x:v>
      </x:c>
      <x:c r="K22" s="61" t="n">
        <x:v>41.69</x:v>
      </x:c>
      <x:c r="L22" s="61" t="n">
        <x:v>0.123</x:v>
      </x:c>
      <x:c r="M22" s="61" t="n">
        <x:v>30.57</x:v>
      </x:c>
      <x:c r="N22" s="61" t="n">
        <x:v>0.22788</x:v>
      </x:c>
      <x:c r="O22" s="61" t="n">
        <x:v>39.23</x:v>
      </x:c>
      <x:c r="P22" s="61" t="n">
        <x:v>0.447</x:v>
      </x:c>
      <x:c r="Q22" s="61" t="n">
        <x:v>6.61</x:v>
      </x:c>
      <x:c r="R22" s="61" t="n">
        <x:v>0.25111</x:v>
      </x:c>
      <x:c r="S22" s="61" t="n">
        <x:v>4.92</x:v>
      </x:c>
      <x:c r="T22" s="62" t="n">
        <x:f>IF(R22=0,0,100*F22^2/R22^2)</x:f>
        <x:v>1.5696015556882603</x:v>
      </x:c>
      <x:c r="U22" s="62" t="n">
        <x:f>IF(R22=0,0,100*J22^2/R22^2)</x:f>
        <x:v>14.829446176185334</x:v>
      </x:c>
      <x:c r="V22" s="62" t="n">
        <x:f>IF(R22=0,0,100*N22^2/R22^2)</x:f>
        <x:v>82.35394451994223</x:v>
      </x:c>
      <x:c r="W22" s="60" t="str">
        <x:f>IF(AND(F22&gt;=J22,F22&gt;=N22),"X",IF(J22&gt;=N22,"Y","Z"))</x:f>
        <x:v>Z</x:v>
      </x:c>
      <x:c r="X22" s="61" t="n">
        <x:f>ABS(MOD(K22-O22+180,360)-180)</x:f>
        <x:v>2.460000000000008</x:v>
      </x:c>
      <x:c r="Y22" s="61" t="n">
        <x:v>150.05835</x:v>
      </x:c>
      <x:c r="Z22" s="61" t="n">
        <x:v>149.93564</x:v>
      </x:c>
      <x:c r="AA22" s="61" t="n">
        <x:v>150.02386</x:v>
      </x:c>
      <x:c r="AB22" s="61" t="n">
        <x:v>18.86</x:v>
      </x:c>
      <x:c r="AC22" s="60" t="n">
        <x:v>1</x:v>
      </x:c>
    </x:row>
    <x:row r="23">
      <x:c r="A23" s="60" t="n">
        <x:v>3</x:v>
      </x:c>
      <x:c r="B23" s="61" t="n">
        <x:v>150</x:v>
      </x:c>
      <x:c r="C23" s="61" t="n">
        <x:v>12</x:v>
      </x:c>
      <x:c r="D23" s="61" t="n">
        <x:v>150.00522</x:v>
      </x:c>
      <x:c r="E23" s="61" t="n">
        <x:v>0.00522</x:v>
      </x:c>
      <x:c r="F23" s="61" t="n">
        <x:v>0.03584</x:v>
      </x:c>
      <x:c r="G23" s="61" t="n">
        <x:v>55.8</x:v>
      </x:c>
      <x:c r="H23" s="61" t="n">
        <x:v>0.059</x:v>
      </x:c>
      <x:c r="I23" s="61" t="n">
        <x:v>21.04</x:v>
      </x:c>
      <x:c r="J23" s="61" t="n">
        <x:v>0.10841</x:v>
      </x:c>
      <x:c r="K23" s="61" t="n">
        <x:v>39.93</x:v>
      </x:c>
      <x:c r="L23" s="61" t="n">
        <x:v>0.141</x:v>
      </x:c>
      <x:c r="M23" s="61" t="n">
        <x:v>6.86</x:v>
      </x:c>
      <x:c r="N23" s="61" t="n">
        <x:v>0.25558</x:v>
      </x:c>
      <x:c r="O23" s="61" t="n">
        <x:v>44.86</x:v>
      </x:c>
      <x:c r="P23" s="61" t="n">
        <x:v>0.504</x:v>
      </x:c>
      <x:c r="Q23" s="61" t="n">
        <x:v>2.92</x:v>
      </x:c>
      <x:c r="R23" s="61" t="n">
        <x:v>0.2801</x:v>
      </x:c>
      <x:c r="S23" s="61" t="n">
        <x:v>2.57</x:v>
      </x:c>
      <x:c r="T23" s="62" t="n">
        <x:f>IF(R23=0,0,100*F23^2/R23^2)</x:f>
        <x:v>1.6372303409260804</x:v>
      </x:c>
      <x:c r="U23" s="62" t="n">
        <x:f>IF(R23=0,0,100*J23^2/R23^2)</x:f>
        <x:v>14.980022690422317</x:v>
      </x:c>
      <x:c r="V23" s="62" t="n">
        <x:f>IF(R23=0,0,100*N23^2/R23^2)</x:f>
        <x:v>83.25829518987773</x:v>
      </x:c>
      <x:c r="W23" s="60" t="str">
        <x:f>IF(AND(F23&gt;=J23,F23&gt;=N23),"X",IF(J23&gt;=N23,"Y","Z"))</x:f>
        <x:v>Z</x:v>
      </x:c>
      <x:c r="X23" s="61" t="n">
        <x:f>ABS(MOD(K23-O23+180,360)-180)</x:f>
        <x:v>4.930000000000007</x:v>
      </x:c>
      <x:c r="Y23" s="61" t="n">
        <x:v>157.03125</x:v>
      </x:c>
      <x:c r="Z23" s="61" t="n">
        <x:v>149.98723</x:v>
      </x:c>
      <x:c r="AA23" s="61" t="n">
        <x:v>150.00516</x:v>
      </x:c>
      <x:c r="AB23" s="61" t="n">
        <x:v>17.64</x:v>
      </x:c>
      <x:c r="AC23" s="60" t="n">
        <x:v>1</x:v>
      </x:c>
    </x:row>
    <x:row r="24">
      <x:c r="A24" s="60" t="n">
        <x:v>3</x:v>
      </x:c>
      <x:c r="B24" s="61" t="n">
        <x:v>150</x:v>
      </x:c>
      <x:c r="C24" s="61" t="n">
        <x:v>13</x:v>
      </x:c>
      <x:c r="D24" s="61" t="n">
        <x:v>150.03207</x:v>
      </x:c>
      <x:c r="E24" s="61" t="n">
        <x:v>0.03207</x:v>
      </x:c>
      <x:c r="F24" s="61" t="n">
        <x:v>0.05105</x:v>
      </x:c>
      <x:c r="G24" s="61" t="n">
        <x:v>36.9</x:v>
      </x:c>
      <x:c r="H24" s="61" t="n">
        <x:v>0.09</x:v>
      </x:c>
      <x:c r="I24" s="61" t="n">
        <x:v>12.47</x:v>
      </x:c>
      <x:c r="J24" s="61" t="n">
        <x:v>0.09663</x:v>
      </x:c>
      <x:c r="K24" s="61" t="n">
        <x:v>54.2</x:v>
      </x:c>
      <x:c r="L24" s="61" t="n">
        <x:v>0.118</x:v>
      </x:c>
      <x:c r="M24" s="61" t="n">
        <x:v>20.04</x:v>
      </x:c>
      <x:c r="N24" s="61" t="n">
        <x:v>0.29289</x:v>
      </x:c>
      <x:c r="O24" s="61" t="n">
        <x:v>39.67</x:v>
      </x:c>
      <x:c r="P24" s="61" t="n">
        <x:v>0.5</x:v>
      </x:c>
      <x:c r="Q24" s="61" t="n">
        <x:v>3.08</x:v>
      </x:c>
      <x:c r="R24" s="61" t="n">
        <x:v>0.313</x:v>
      </x:c>
      <x:c r="S24" s="61" t="n">
        <x:v>4.5</x:v>
      </x:c>
      <x:c r="T24" s="62" t="n">
        <x:f>IF(R24=0,0,100*F24^2/R24^2)</x:f>
        <x:v>2.660129734916147</x:v>
      </x:c>
      <x:c r="U24" s="62" t="n">
        <x:f>IF(R24=0,0,100*J24^2/R24^2)</x:f>
        <x:v>9.53093009013055</x:v>
      </x:c>
      <x:c r="V24" s="62" t="n">
        <x:f>IF(R24=0,0,100*N24^2/R24^2)</x:f>
        <x:v>87.56295573089446</x:v>
      </x:c>
      <x:c r="W24" s="60" t="str">
        <x:f>IF(AND(F24&gt;=J24,F24&gt;=N24),"X",IF(J24&gt;=N24,"Y","Z"))</x:f>
        <x:v>Z</x:v>
      </x:c>
      <x:c r="X24" s="61" t="n">
        <x:f>ABS(MOD(K24-O24+180,360)-180)</x:f>
        <x:v>14.530000000000001</x:v>
      </x:c>
      <x:c r="Y24" s="61" t="n">
        <x:v>149.98746</x:v>
      </x:c>
      <x:c r="Z24" s="61" t="n">
        <x:v>149.9738</x:v>
      </x:c>
      <x:c r="AA24" s="61" t="n">
        <x:v>150.04053</x:v>
      </x:c>
      <x:c r="AB24" s="61" t="n">
        <x:v>18.74</x:v>
      </x:c>
      <x:c r="AC24" s="60" t="n">
        <x:v>1</x:v>
      </x:c>
    </x:row>
    <x:row r="25">
      <x:c r="A25" s="60" t="n">
        <x:v>3</x:v>
      </x:c>
      <x:c r="B25" s="61" t="n">
        <x:v>150</x:v>
      </x:c>
      <x:c r="C25" s="61" t="n">
        <x:v>14</x:v>
      </x:c>
      <x:c r="D25" s="61" t="n">
        <x:v>149.9688</x:v>
      </x:c>
      <x:c r="E25" s="61" t="n">
        <x:v>-0.0312</x:v>
      </x:c>
      <x:c r="F25" s="61" t="n">
        <x:v>0.0582</x:v>
      </x:c>
      <x:c r="G25" s="61" t="n">
        <x:v>31.57</x:v>
      </x:c>
      <x:c r="H25" s="61" t="n">
        <x:v>0.085</x:v>
      </x:c>
      <x:c r="I25" s="61" t="n">
        <x:v>6.23</x:v>
      </x:c>
      <x:c r="J25" s="61" t="n">
        <x:v>0.10321</x:v>
      </x:c>
      <x:c r="K25" s="61" t="n">
        <x:v>50.83</x:v>
      </x:c>
      <x:c r="L25" s="61" t="n">
        <x:v>0.126</x:v>
      </x:c>
      <x:c r="M25" s="61" t="n">
        <x:v>20.94</x:v>
      </x:c>
      <x:c r="N25" s="61" t="n">
        <x:v>0.31441</x:v>
      </x:c>
      <x:c r="O25" s="61" t="n">
        <x:v>42.53</x:v>
      </x:c>
      <x:c r="P25" s="61" t="n">
        <x:v>0.533</x:v>
      </x:c>
      <x:c r="Q25" s="61" t="n">
        <x:v>5.75</x:v>
      </x:c>
      <x:c r="R25" s="61" t="n">
        <x:v>0.33679</x:v>
      </x:c>
      <x:c r="S25" s="61" t="n">
        <x:v>3.49</x:v>
      </x:c>
      <x:c r="T25" s="62" t="n">
        <x:f>IF(R25=0,0,100*F25^2/R25^2)</x:f>
        <x:v>2.9862598378376917</x:v>
      </x:c>
      <x:c r="U25" s="62" t="n">
        <x:f>IF(R25=0,0,100*J25^2/R25^2)</x:f>
        <x:v>9.391288457346917</x:v>
      </x:c>
      <x:c r="V25" s="62" t="n">
        <x:f>IF(R25=0,0,100*N25^2/R25^2)</x:f>
        <x:v>87.15139144104646</x:v>
      </x:c>
      <x:c r="W25" s="60" t="str">
        <x:f>IF(AND(F25&gt;=J25,F25&gt;=N25),"X",IF(J25&gt;=N25,"Y","Z"))</x:f>
        <x:v>Z</x:v>
      </x:c>
      <x:c r="X25" s="61" t="n">
        <x:f>ABS(MOD(K25-O25+180,360)-180)</x:f>
        <x:v>8.300000000000011</x:v>
      </x:c>
      <x:c r="Y25" s="61" t="n">
        <x:v>157.03125</x:v>
      </x:c>
      <x:c r="Z25" s="61" t="n">
        <x:v>149.93219</x:v>
      </x:c>
      <x:c r="AA25" s="61" t="n">
        <x:v>149.97064</x:v>
      </x:c>
      <x:c r="AB25" s="61" t="n">
        <x:v>18.81</x:v>
      </x:c>
      <x:c r="AC25" s="60" t="n">
        <x:v>1</x:v>
      </x:c>
    </x:row>
    <x:row r="26">
      <x:c r="A26" s="60" t="n">
        <x:v>3</x:v>
      </x:c>
      <x:c r="B26" s="61" t="n">
        <x:v>150</x:v>
      </x:c>
      <x:c r="C26" s="61" t="n">
        <x:v>15</x:v>
      </x:c>
      <x:c r="D26" s="61" t="n">
        <x:v>150.00798</x:v>
      </x:c>
      <x:c r="E26" s="61" t="n">
        <x:v>0.00798</x:v>
      </x:c>
      <x:c r="F26" s="61" t="n">
        <x:v>0.05076</x:v>
      </x:c>
      <x:c r="G26" s="61" t="n">
        <x:v>47.88</x:v>
      </x:c>
      <x:c r="H26" s="61" t="n">
        <x:v>0.082</x:v>
      </x:c>
      <x:c r="I26" s="61" t="n">
        <x:v>23.97</x:v>
      </x:c>
      <x:c r="J26" s="61" t="n">
        <x:v>0.10497</x:v>
      </x:c>
      <x:c r="K26" s="61" t="n">
        <x:v>45.06</x:v>
      </x:c>
      <x:c r="L26" s="61" t="n">
        <x:v>0.121</x:v>
      </x:c>
      <x:c r="M26" s="61" t="n">
        <x:v>12.03</x:v>
      </x:c>
      <x:c r="N26" s="61" t="n">
        <x:v>0.3536</x:v>
      </x:c>
      <x:c r="O26" s="61" t="n">
        <x:v>41.99</x:v>
      </x:c>
      <x:c r="P26" s="61" t="n">
        <x:v>0.589</x:v>
      </x:c>
      <x:c r="Q26" s="61" t="n">
        <x:v>3.27</x:v>
      </x:c>
      <x:c r="R26" s="61" t="n">
        <x:v>0.37255</x:v>
      </x:c>
      <x:c r="S26" s="61" t="n">
        <x:v>4.08</x:v>
      </x:c>
      <x:c r="T26" s="62" t="n">
        <x:f>IF(R26=0,0,100*F26^2/R26^2)</x:f>
        <x:v>1.8564108215368365</x:v>
      </x:c>
      <x:c r="U26" s="62" t="n">
        <x:f>IF(R26=0,0,100*J26^2/R26^2)</x:f>
        <x:v>7.938916953262996</x:v>
      </x:c>
      <x:c r="V26" s="62" t="n">
        <x:f>IF(R26=0,0,100*N26^2/R26^2)</x:f>
        <x:v>90.0856003687925</x:v>
      </x:c>
      <x:c r="W26" s="60" t="str">
        <x:f>IF(AND(F26&gt;=J26,F26&gt;=N26),"X",IF(J26&gt;=N26,"Y","Z"))</x:f>
        <x:v>Z</x:v>
      </x:c>
      <x:c r="X26" s="61" t="n">
        <x:f>ABS(MOD(K26-O26+180,360)-180)</x:f>
        <x:v>3.069999999999993</x:v>
      </x:c>
      <x:c r="Y26" s="61" t="n">
        <x:v>157.03125</x:v>
      </x:c>
      <x:c r="Z26" s="61" t="n">
        <x:v>149.93757</x:v>
      </x:c>
      <x:c r="AA26" s="61" t="n">
        <x:v>150.01313</x:v>
      </x:c>
      <x:c r="AB26" s="61" t="n">
        <x:v>19</x:v>
      </x:c>
      <x:c r="AC26" s="60" t="n">
        <x:v>1</x:v>
      </x:c>
    </x:row>
    <x:row r="27">
      <x:c r="A27" s="60" t="n">
        <x:v>3</x:v>
      </x:c>
      <x:c r="B27" s="61" t="n">
        <x:v>150</x:v>
      </x:c>
      <x:c r="C27" s="61" t="n">
        <x:v>16</x:v>
      </x:c>
      <x:c r="D27" s="61" t="n">
        <x:v>150.00246</x:v>
      </x:c>
      <x:c r="E27" s="61" t="n">
        <x:v>0.00246</x:v>
      </x:c>
      <x:c r="F27" s="61" t="n">
        <x:v>0.06711</x:v>
      </x:c>
      <x:c r="G27" s="61" t="n">
        <x:v>32.69</x:v>
      </x:c>
      <x:c r="H27" s="61" t="n">
        <x:v>0.095</x:v>
      </x:c>
      <x:c r="I27" s="61" t="n">
        <x:v>16.96</x:v>
      </x:c>
      <x:c r="J27" s="61" t="n">
        <x:v>0.10025</x:v>
      </x:c>
      <x:c r="K27" s="61" t="n">
        <x:v>50.81</x:v>
      </x:c>
      <x:c r="L27" s="61" t="n">
        <x:v>0.126</x:v>
      </x:c>
      <x:c r="M27" s="61" t="n">
        <x:v>30.35</x:v>
      </x:c>
      <x:c r="N27" s="61" t="n">
        <x:v>0.39074</x:v>
      </x:c>
      <x:c r="O27" s="61" t="n">
        <x:v>39.32</x:v>
      </x:c>
      <x:c r="P27" s="61" t="n">
        <x:v>0.542</x:v>
      </x:c>
      <x:c r="Q27" s="61" t="n">
        <x:v>3.77</x:v>
      </x:c>
      <x:c r="R27" s="61" t="n">
        <x:v>0.40996</x:v>
      </x:c>
      <x:c r="S27" s="61" t="n">
        <x:v>3.67</x:v>
      </x:c>
      <x:c r="T27" s="62" t="n">
        <x:f>IF(R27=0,0,100*F27^2/R27^2)</x:f>
        <x:v>2.6797329027462076</x:v>
      </x:c>
      <x:c r="U27" s="62" t="n">
        <x:f>IF(R27=0,0,100*J27^2/R27^2)</x:f>
        <x:v>5.9797880873385125</x:v>
      </x:c>
      <x:c r="V27" s="62" t="n">
        <x:f>IF(R27=0,0,100*N27^2/R27^2)</x:f>
        <x:v>90.84327349209578</x:v>
      </x:c>
      <x:c r="W27" s="60" t="str">
        <x:f>IF(AND(F27&gt;=J27,F27&gt;=N27),"X",IF(J27&gt;=N27,"Y","Z"))</x:f>
        <x:v>Z</x:v>
      </x:c>
      <x:c r="X27" s="61" t="n">
        <x:f>ABS(MOD(K27-O27+180,360)-180)</x:f>
        <x:v>11.490000000000009</x:v>
      </x:c>
      <x:c r="Y27" s="61" t="n">
        <x:v>149.98862</x:v>
      </x:c>
      <x:c r="Z27" s="61" t="n">
        <x:v>149.97812</x:v>
      </x:c>
      <x:c r="AA27" s="61" t="n">
        <x:v>150.00428</x:v>
      </x:c>
      <x:c r="AB27" s="61" t="n">
        <x:v>20.15</x:v>
      </x:c>
      <x:c r="AC27" s="60" t="n">
        <x:v>1</x:v>
      </x:c>
    </x:row>
    <x:row r="28">
      <x:c r="A28" s="60" t="n">
        <x:v>3</x:v>
      </x:c>
      <x:c r="B28" s="61" t="n">
        <x:v>150</x:v>
      </x:c>
      <x:c r="C28" s="61" t="n">
        <x:v>17</x:v>
      </x:c>
      <x:c r="D28" s="61" t="n">
        <x:v>149.98358</x:v>
      </x:c>
      <x:c r="E28" s="61" t="n">
        <x:v>-0.01642</x:v>
      </x:c>
      <x:c r="F28" s="61" t="n">
        <x:v>0.0648</x:v>
      </x:c>
      <x:c r="G28" s="61" t="n">
        <x:v>39.02</x:v>
      </x:c>
      <x:c r="H28" s="61" t="n">
        <x:v>0.087</x:v>
      </x:c>
      <x:c r="I28" s="61" t="n">
        <x:v>31.38</x:v>
      </x:c>
      <x:c r="J28" s="61" t="n">
        <x:v>0.11487</x:v>
      </x:c>
      <x:c r="K28" s="61" t="n">
        <x:v>54.96</x:v>
      </x:c>
      <x:c r="L28" s="61" t="n">
        <x:v>0.147</x:v>
      </x:c>
      <x:c r="M28" s="61" t="n">
        <x:v>15.08</x:v>
      </x:c>
      <x:c r="N28" s="61" t="n">
        <x:v>0.41203</x:v>
      </x:c>
      <x:c r="O28" s="61" t="n">
        <x:v>38.06</x:v>
      </x:c>
      <x:c r="P28" s="61" t="n">
        <x:v>0.651</x:v>
      </x:c>
      <x:c r="Q28" s="61" t="n">
        <x:v>4</x:v>
      </x:c>
      <x:c r="R28" s="61" t="n">
        <x:v>0.43333</x:v>
      </x:c>
      <x:c r="S28" s="61" t="n">
        <x:v>3.38</x:v>
      </x:c>
      <x:c r="T28" s="62" t="n">
        <x:f>IF(R28=0,0,100*F28^2/R28^2)</x:f>
        <x:v>2.2362095510205355</x:v>
      </x:c>
      <x:c r="U28" s="62" t="n">
        <x:f>IF(R28=0,0,100*J28^2/R28^2)</x:f>
        <x:v>7.02709344007499</x:v>
      </x:c>
      <x:c r="V28" s="62" t="n">
        <x:f>IF(R28=0,0,100*N28^2/R28^2)</x:f>
        <x:v>90.41076892363961</x:v>
      </x:c>
      <x:c r="W28" s="60" t="str">
        <x:f>IF(AND(F28&gt;=J28,F28&gt;=N28),"X",IF(J28&gt;=N28,"Y","Z"))</x:f>
        <x:v>Z</x:v>
      </x:c>
      <x:c r="X28" s="61" t="n">
        <x:f>ABS(MOD(K28-O28+180,360)-180)</x:f>
        <x:v>16.900000000000006</x:v>
      </x:c>
      <x:c r="Y28" s="61" t="n">
        <x:v>150.05881</x:v>
      </x:c>
      <x:c r="Z28" s="61" t="n">
        <x:v>149.94834</x:v>
      </x:c>
      <x:c r="AA28" s="61" t="n">
        <x:v>149.98309</x:v>
      </x:c>
      <x:c r="AB28" s="61" t="n">
        <x:v>19.99</x:v>
      </x:c>
      <x:c r="AC28" s="60" t="n">
        <x:v>1</x:v>
      </x:c>
    </x:row>
    <x:row r="29">
      <x:c r="A29" s="60" t="n">
        <x:v>3</x:v>
      </x:c>
      <x:c r="B29" s="61" t="n">
        <x:v>150</x:v>
      </x:c>
      <x:c r="C29" s="61" t="n">
        <x:v>18</x:v>
      </x:c>
      <x:c r="D29" s="61" t="n">
        <x:v>150.01327</x:v>
      </x:c>
      <x:c r="E29" s="61" t="n">
        <x:v>0.01327</x:v>
      </x:c>
      <x:c r="F29" s="61" t="n">
        <x:v>0.07349</x:v>
      </x:c>
      <x:c r="G29" s="61" t="n">
        <x:v>17.95</x:v>
      </x:c>
      <x:c r="H29" s="61" t="n">
        <x:v>0.113</x:v>
      </x:c>
      <x:c r="I29" s="61" t="n">
        <x:v>25.35</x:v>
      </x:c>
      <x:c r="J29" s="61" t="n">
        <x:v>0.09839</x:v>
      </x:c>
      <x:c r="K29" s="61" t="n">
        <x:v>67.84</x:v>
      </x:c>
      <x:c r="L29" s="61" t="n">
        <x:v>0.122</x:v>
      </x:c>
      <x:c r="M29" s="61" t="n">
        <x:v>3.74</x:v>
      </x:c>
      <x:c r="N29" s="61" t="n">
        <x:v>0.51496</x:v>
      </x:c>
      <x:c r="O29" s="61" t="n">
        <x:v>35.64</x:v>
      </x:c>
      <x:c r="P29" s="61" t="n">
        <x:v>0.691</x:v>
      </x:c>
      <x:c r="Q29" s="61" t="n">
        <x:v>2.67</x:v>
      </x:c>
      <x:c r="R29" s="61" t="n">
        <x:v>0.52969</x:v>
      </x:c>
      <x:c r="S29" s="61" t="n">
        <x:v>2.48</x:v>
      </x:c>
      <x:c r="T29" s="62" t="n">
        <x:f>IF(R29=0,0,100*F29^2/R29^2)</x:f>
        <x:v>1.9249211609418369</x:v>
      </x:c>
      <x:c r="U29" s="62" t="n">
        <x:f>IF(R29=0,0,100*J29^2/R29^2)</x:f>
        <x:v>3.4503120361698074</x:v>
      </x:c>
      <x:c r="V29" s="62" t="n">
        <x:f>IF(R29=0,0,100*N29^2/R29^2)</x:f>
        <x:v>94.5155888200006</x:v>
      </x:c>
      <x:c r="W29" s="60" t="str">
        <x:f>IF(AND(F29&gt;=J29,F29&gt;=N29),"X",IF(J29&gt;=N29,"Y","Z"))</x:f>
        <x:v>Z</x:v>
      </x:c>
      <x:c r="X29" s="61" t="n">
        <x:f>ABS(MOD(K29-O29+180,360)-180)</x:f>
        <x:v>32.19999999999999</x:v>
      </x:c>
      <x:c r="Y29" s="61" t="n">
        <x:v>150.00017</x:v>
      </x:c>
      <x:c r="Z29" s="61" t="n">
        <x:v>150.14714</x:v>
      </x:c>
      <x:c r="AA29" s="61" t="n">
        <x:v>150.00906</x:v>
      </x:c>
      <x:c r="AB29" s="61" t="n">
        <x:v>22.34</x:v>
      </x:c>
      <x:c r="AC29" s="60" t="n">
        <x:v>1</x:v>
      </x:c>
    </x:row>
    <x:row r="30">
      <x:c r="A30" s="60" t="n">
        <x:v>3</x:v>
      </x:c>
      <x:c r="B30" s="61" t="n">
        <x:v>150</x:v>
      </x:c>
      <x:c r="C30" s="61" t="n">
        <x:v>19</x:v>
      </x:c>
      <x:c r="D30" s="61" t="n">
        <x:v>149.99301</x:v>
      </x:c>
      <x:c r="E30" s="61" t="n">
        <x:v>-0.00699</x:v>
      </x:c>
      <x:c r="F30" s="61" t="n">
        <x:v>0.08105</x:v>
      </x:c>
      <x:c r="G30" s="61" t="n">
        <x:v>27.55</x:v>
      </x:c>
      <x:c r="H30" s="61" t="n">
        <x:v>0.112</x:v>
      </x:c>
      <x:c r="I30" s="61" t="n">
        <x:v>9.77</x:v>
      </x:c>
      <x:c r="J30" s="61" t="n">
        <x:v>0.10217</x:v>
      </x:c>
      <x:c r="K30" s="61" t="n">
        <x:v>69.86</x:v>
      </x:c>
      <x:c r="L30" s="61" t="n">
        <x:v>0.117</x:v>
      </x:c>
      <x:c r="M30" s="61" t="n">
        <x:v>6.03</x:v>
      </x:c>
      <x:c r="N30" s="61" t="n">
        <x:v>0.58658</x:v>
      </x:c>
      <x:c r="O30" s="61" t="n">
        <x:v>30.71</x:v>
      </x:c>
      <x:c r="P30" s="61" t="n">
        <x:v>0.647</x:v>
      </x:c>
      <x:c r="Q30" s="61" t="n">
        <x:v>2.6</x:v>
      </x:c>
      <x:c r="R30" s="61" t="n">
        <x:v>0.60097</x:v>
      </x:c>
      <x:c r="S30" s="61" t="n">
        <x:v>2.54</x:v>
      </x:c>
      <x:c r="T30" s="62" t="n">
        <x:f>IF(R30=0,0,100*F30^2/R30^2)</x:f>
        <x:v>1.8188649439865936</x:v>
      </x:c>
      <x:c r="U30" s="62" t="n">
        <x:f>IF(R30=0,0,100*J30^2/R30^2)</x:f>
        <x:v>2.890288540739143</x:v>
      </x:c>
      <x:c r="V30" s="62" t="n">
        <x:f>IF(R30=0,0,100*N30^2/R30^2)</x:f>
        <x:v>95.26840992444734</x:v>
      </x:c>
      <x:c r="W30" s="60" t="str">
        <x:f>IF(AND(F30&gt;=J30,F30&gt;=N30),"X",IF(J30&gt;=N30,"Y","Z"))</x:f>
        <x:v>Z</x:v>
      </x:c>
      <x:c r="X30" s="61" t="n">
        <x:f>ABS(MOD(K30-O30+180,360)-180)</x:f>
        <x:v>39.150000000000006</x:v>
      </x:c>
      <x:c r="Y30" s="61" t="n">
        <x:v>150.01935</x:v>
      </x:c>
      <x:c r="Z30" s="61" t="n">
        <x:v>150.10314</x:v>
      </x:c>
      <x:c r="AA30" s="61" t="n">
        <x:v>149.99038</x:v>
      </x:c>
      <x:c r="AB30" s="61" t="n">
        <x:v>22.79</x:v>
      </x:c>
      <x:c r="AC30" s="60" t="n">
        <x:v>1</x:v>
      </x:c>
    </x:row>
    <x:row r="31">
      <x:c r="A31" s="60" t="n">
        <x:v>3</x:v>
      </x:c>
      <x:c r="B31" s="61" t="n">
        <x:v>150</x:v>
      </x:c>
      <x:c r="C31" s="61" t="n">
        <x:v>20</x:v>
      </x:c>
      <x:c r="D31" s="61" t="n">
        <x:v>149.99283</x:v>
      </x:c>
      <x:c r="E31" s="61" t="n">
        <x:v>-0.00717</x:v>
      </x:c>
      <x:c r="F31" s="61" t="n">
        <x:v>0.08873</x:v>
      </x:c>
      <x:c r="G31" s="61" t="n">
        <x:v>31.02</x:v>
      </x:c>
      <x:c r="H31" s="61" t="n">
        <x:v>0.114</x:v>
      </x:c>
      <x:c r="I31" s="61" t="n">
        <x:v>11.62</x:v>
      </x:c>
      <x:c r="J31" s="61" t="n">
        <x:v>0.10404</x:v>
      </x:c>
      <x:c r="K31" s="61" t="n">
        <x:v>87.3</x:v>
      </x:c>
      <x:c r="L31" s="61" t="n">
        <x:v>0.121</x:v>
      </x:c>
      <x:c r="M31" s="61" t="n">
        <x:v>13.95</x:v>
      </x:c>
      <x:c r="N31" s="61" t="n">
        <x:v>0.64303</x:v>
      </x:c>
      <x:c r="O31" s="61" t="n">
        <x:v>29.14</x:v>
      </x:c>
      <x:c r="P31" s="61" t="n">
        <x:v>0.622</x:v>
      </x:c>
      <x:c r="Q31" s="61" t="n">
        <x:v>3.31</x:v>
      </x:c>
      <x:c r="R31" s="61" t="n">
        <x:v>0.65758</x:v>
      </x:c>
      <x:c r="S31" s="61" t="n">
        <x:v>3.35</x:v>
      </x:c>
      <x:c r="T31" s="62" t="n">
        <x:f>IF(R31=0,0,100*F31^2/R31^2)</x:f>
        <x:v>1.8207225510503378</x:v>
      </x:c>
      <x:c r="U31" s="62" t="n">
        <x:f>IF(R31=0,0,100*J31^2/R31^2)</x:f>
        <x:v>2.5032457951315275</x:v>
      </x:c>
      <x:c r="V31" s="62" t="n">
        <x:f>IF(R31=0,0,100*N31^2/R31^2)</x:f>
        <x:v>95.62364150627529</x:v>
      </x:c>
      <x:c r="W31" s="60" t="str">
        <x:f>IF(AND(F31&gt;=J31,F31&gt;=N31),"X",IF(J31&gt;=N31,"Y","Z"))</x:f>
        <x:v>Z</x:v>
      </x:c>
      <x:c r="X31" s="61" t="n">
        <x:f>ABS(MOD(K31-O31+180,360)-180)</x:f>
        <x:v>58.16</x:v>
      </x:c>
      <x:c r="Y31" s="61" t="n">
        <x:v>150.02327</x:v>
      </x:c>
      <x:c r="Z31" s="61" t="n">
        <x:v>150.02457</x:v>
      </x:c>
      <x:c r="AA31" s="61" t="n">
        <x:v>149.99164</x:v>
      </x:c>
      <x:c r="AB31" s="61" t="n">
        <x:v>23.14</x:v>
      </x:c>
      <x:c r="AC31" s="60" t="n">
        <x:v>1</x:v>
      </x:c>
    </x:row>
    <x:row r="32">
      <x:c r="A32" s="60" t="n">
        <x:v>4</x:v>
      </x:c>
      <x:c r="B32" s="61" t="n">
        <x:v>175</x:v>
      </x:c>
      <x:c r="C32" s="61" t="n">
        <x:v>11</x:v>
      </x:c>
      <x:c r="D32" s="61" t="n">
        <x:v>174.94794</x:v>
      </x:c>
      <x:c r="E32" s="61" t="n">
        <x:v>-0.05206</x:v>
      </x:c>
      <x:c r="F32" s="61" t="n">
        <x:v>0.04326</x:v>
      </x:c>
      <x:c r="G32" s="61" t="n">
        <x:v>40.9</x:v>
      </x:c>
      <x:c r="H32" s="61" t="n">
        <x:v>0.077</x:v>
      </x:c>
      <x:c r="I32" s="61" t="n">
        <x:v>19.9</x:v>
      </x:c>
      <x:c r="J32" s="61" t="n">
        <x:v>0.14801</x:v>
      </x:c>
      <x:c r="K32" s="61" t="n">
        <x:v>42.58</x:v>
      </x:c>
      <x:c r="L32" s="61" t="n">
        <x:v>0.203</x:v>
      </x:c>
      <x:c r="M32" s="61" t="n">
        <x:v>15.06</x:v>
      </x:c>
      <x:c r="N32" s="61" t="n">
        <x:v>0.25647</x:v>
      </x:c>
      <x:c r="O32" s="61" t="n">
        <x:v>39.65</x:v>
      </x:c>
      <x:c r="P32" s="61" t="n">
        <x:v>0.525</x:v>
      </x:c>
      <x:c r="Q32" s="61" t="n">
        <x:v>9.73</x:v>
      </x:c>
      <x:c r="R32" s="61" t="n">
        <x:v>0.29994</x:v>
      </x:c>
      <x:c r="S32" s="61" t="n">
        <x:v>8.75</x:v>
      </x:c>
      <x:c r="T32" s="62" t="n">
        <x:f>IF(R32=0,0,100*F32^2/R32^2)</x:f>
        <x:v>2.0801959951902362</x:v>
      </x:c>
      <x:c r="U32" s="62" t="n">
        <x:f>IF(R32=0,0,100*J32^2/R32^2)</x:f>
        <x:v>24.350806126196012</x:v>
      </x:c>
      <x:c r="V32" s="62" t="n">
        <x:f>IF(R32=0,0,100*N32^2/R32^2)</x:f>
        <x:v>73.11464393298742</x:v>
      </x:c>
      <x:c r="W32" s="60" t="str">
        <x:f>IF(AND(F32&gt;=J32,F32&gt;=N32),"X",IF(J32&gt;=N32,"Y","Z"))</x:f>
        <x:v>Z</x:v>
      </x:c>
      <x:c r="X32" s="61" t="n">
        <x:f>ABS(MOD(K32-O32+180,360)-180)</x:f>
        <x:v>2.930000000000007</x:v>
      </x:c>
      <x:c r="Y32" s="61" t="n">
        <x:v>182.03125</x:v>
      </x:c>
      <x:c r="Z32" s="61" t="n">
        <x:v>174.90628</x:v>
      </x:c>
      <x:c r="AA32" s="61" t="n">
        <x:v>174.95822</x:v>
      </x:c>
      <x:c r="AB32" s="61" t="n">
        <x:v>12.72</x:v>
      </x:c>
      <x:c r="AC32" s="60" t="n">
        <x:v>1</x:v>
      </x:c>
    </x:row>
    <x:row r="33">
      <x:c r="A33" s="60" t="n">
        <x:v>4</x:v>
      </x:c>
      <x:c r="B33" s="61" t="n">
        <x:v>175</x:v>
      </x:c>
      <x:c r="C33" s="61" t="n">
        <x:v>12</x:v>
      </x:c>
      <x:c r="D33" s="61" t="n">
        <x:v>175.02476</x:v>
      </x:c>
      <x:c r="E33" s="61" t="n">
        <x:v>0.02476</x:v>
      </x:c>
      <x:c r="F33" s="61" t="n">
        <x:v>0.04327</x:v>
      </x:c>
      <x:c r="G33" s="61" t="n">
        <x:v>28.66</x:v>
      </x:c>
      <x:c r="H33" s="61" t="n">
        <x:v>0.07</x:v>
      </x:c>
      <x:c r="I33" s="61" t="n">
        <x:v>29.83</x:v>
      </x:c>
      <x:c r="J33" s="61" t="n">
        <x:v>0.15961</x:v>
      </x:c>
      <x:c r="K33" s="61" t="n">
        <x:v>32.51</x:v>
      </x:c>
      <x:c r="L33" s="61" t="n">
        <x:v>0.224</x:v>
      </x:c>
      <x:c r="M33" s="61" t="n">
        <x:v>6.29</x:v>
      </x:c>
      <x:c r="N33" s="61" t="n">
        <x:v>0.27412</x:v>
      </x:c>
      <x:c r="O33" s="61" t="n">
        <x:v>39.9</x:v>
      </x:c>
      <x:c r="P33" s="61" t="n">
        <x:v>0.546</x:v>
      </x:c>
      <x:c r="Q33" s="61" t="n">
        <x:v>3.26</x:v>
      </x:c>
      <x:c r="R33" s="61" t="n">
        <x:v>0.32044</x:v>
      </x:c>
      <x:c r="S33" s="61" t="n">
        <x:v>3.2</x:v>
      </x:c>
      <x:c r="T33" s="62" t="n">
        <x:f>IF(R33=0,0,100*F33^2/R33^2)</x:f>
        <x:v>1.8233932563484168</x:v>
      </x:c>
      <x:c r="U33" s="62" t="n">
        <x:f>IF(R33=0,0,100*J33^2/R33^2)</x:f>
        <x:v>24.809999131141005</x:v>
      </x:c>
      <x:c r="V33" s="62" t="n">
        <x:f>IF(R33=0,0,100*N33^2/R33^2)</x:f>
        <x:v>73.17925774915562</x:v>
      </x:c>
      <x:c r="W33" s="60" t="str">
        <x:f>IF(AND(F33&gt;=J33,F33&gt;=N33),"X",IF(J33&gt;=N33,"Y","Z"))</x:f>
        <x:v>Z</x:v>
      </x:c>
      <x:c r="X33" s="61" t="n">
        <x:f>ABS(MOD(K33-O33+180,360)-180)</x:f>
        <x:v>7.389999999999986</x:v>
      </x:c>
      <x:c r="Y33" s="61" t="n">
        <x:v>183.59375</x:v>
      </x:c>
      <x:c r="Z33" s="61" t="n">
        <x:v>183.59375</x:v>
      </x:c>
      <x:c r="AA33" s="61" t="n">
        <x:v>175.03772</x:v>
      </x:c>
      <x:c r="AB33" s="61" t="n">
        <x:v>9.93</x:v>
      </x:c>
      <x:c r="AC33" s="60" t="n">
        <x:v>1</x:v>
      </x:c>
    </x:row>
    <x:row r="34">
      <x:c r="A34" s="60" t="n">
        <x:v>4</x:v>
      </x:c>
      <x:c r="B34" s="61" t="n">
        <x:v>175</x:v>
      </x:c>
      <x:c r="C34" s="61" t="n">
        <x:v>13</x:v>
      </x:c>
      <x:c r="D34" s="61" t="n">
        <x:v>174.99895</x:v>
      </x:c>
      <x:c r="E34" s="61" t="n">
        <x:v>-0.00105</x:v>
      </x:c>
      <x:c r="F34" s="61" t="n">
        <x:v>0.05901</x:v>
      </x:c>
      <x:c r="G34" s="61" t="n">
        <x:v>43.09</x:v>
      </x:c>
      <x:c r="H34" s="61" t="n">
        <x:v>0.112</x:v>
      </x:c>
      <x:c r="I34" s="61" t="n">
        <x:v>16.07</x:v>
      </x:c>
      <x:c r="J34" s="61" t="n">
        <x:v>0.16245</x:v>
      </x:c>
      <x:c r="K34" s="61" t="n">
        <x:v>36.52</x:v>
      </x:c>
      <x:c r="L34" s="61" t="n">
        <x:v>0.235</x:v>
      </x:c>
      <x:c r="M34" s="61" t="n">
        <x:v>9.06</x:v>
      </x:c>
      <x:c r="N34" s="61" t="n">
        <x:v>0.27853</x:v>
      </x:c>
      <x:c r="O34" s="61" t="n">
        <x:v>37.98</x:v>
      </x:c>
      <x:c r="P34" s="61" t="n">
        <x:v>0.583</x:v>
      </x:c>
      <x:c r="Q34" s="61" t="n">
        <x:v>5.69</x:v>
      </x:c>
      <x:c r="R34" s="61" t="n">
        <x:v>0.3281</x:v>
      </x:c>
      <x:c r="S34" s="61" t="n">
        <x:v>5.36</x:v>
      </x:c>
      <x:c r="T34" s="62" t="n">
        <x:f>IF(R34=0,0,100*F34^2/R34^2)</x:f>
        <x:v>3.2347354532914703</x:v>
      </x:c>
      <x:c r="U34" s="62" t="n">
        <x:f>IF(R34=0,0,100*J34^2/R34^2)</x:f>
        <x:v>24.514721883339845</x:v>
      </x:c>
      <x:c r="V34" s="62" t="n">
        <x:f>IF(R34=0,0,100*N34^2/R34^2)</x:f>
        <x:v>72.06617924579568</x:v>
      </x:c>
      <x:c r="W34" s="60" t="str">
        <x:f>IF(AND(F34&gt;=J34,F34&gt;=N34),"X",IF(J34&gt;=N34,"Y","Z"))</x:f>
        <x:v>Z</x:v>
      </x:c>
      <x:c r="X34" s="61" t="n">
        <x:f>ABS(MOD(K34-O34+180,360)-180)</x:f>
        <x:v>1.4599999999999795</x:v>
      </x:c>
      <x:c r="Y34" s="61" t="n">
        <x:v>170.38014</x:v>
      </x:c>
      <x:c r="Z34" s="61" t="n">
        <x:v>175.05561</x:v>
      </x:c>
      <x:c r="AA34" s="61" t="n">
        <x:v>174.98227</x:v>
      </x:c>
      <x:c r="AB34" s="61" t="n">
        <x:v>15.87</x:v>
      </x:c>
      <x:c r="AC34" s="60" t="n">
        <x:v>1</x:v>
      </x:c>
    </x:row>
    <x:row r="35">
      <x:c r="A35" s="60" t="n">
        <x:v>4</x:v>
      </x:c>
      <x:c r="B35" s="61" t="n">
        <x:v>175</x:v>
      </x:c>
      <x:c r="C35" s="61" t="n">
        <x:v>14</x:v>
      </x:c>
      <x:c r="D35" s="61" t="n">
        <x:v>175.00321</x:v>
      </x:c>
      <x:c r="E35" s="61" t="n">
        <x:v>0.00321</x:v>
      </x:c>
      <x:c r="F35" s="61" t="n">
        <x:v>0.05941</x:v>
      </x:c>
      <x:c r="G35" s="61" t="n">
        <x:v>36.3</x:v>
      </x:c>
      <x:c r="H35" s="61" t="n">
        <x:v>0.106</x:v>
      </x:c>
      <x:c r="I35" s="61" t="n">
        <x:v>21.8</x:v>
      </x:c>
      <x:c r="J35" s="61" t="n">
        <x:v>0.16858</x:v>
      </x:c>
      <x:c r="K35" s="61" t="n">
        <x:v>44.15</x:v>
      </x:c>
      <x:c r="L35" s="61" t="n">
        <x:v>0.23</x:v>
      </x:c>
      <x:c r="M35" s="61" t="n">
        <x:v>7.35</x:v>
      </x:c>
      <x:c r="N35" s="61" t="n">
        <x:v>0.31232</x:v>
      </x:c>
      <x:c r="O35" s="61" t="n">
        <x:v>38.17</x:v>
      </x:c>
      <x:c r="P35" s="61" t="n">
        <x:v>0.599</x:v>
      </x:c>
      <x:c r="Q35" s="61" t="n">
        <x:v>5.97</x:v>
      </x:c>
      <x:c r="R35" s="61" t="n">
        <x:v>0.36036</x:v>
      </x:c>
      <x:c r="S35" s="61" t="n">
        <x:v>3.95</x:v>
      </x:c>
      <x:c r="T35" s="62" t="n">
        <x:f>IF(R35=0,0,100*F35^2/R35^2)</x:f>
        <x:v>2.717978069709671</x:v>
      </x:c>
      <x:c r="U35" s="62" t="n">
        <x:f>IF(R35=0,0,100*J35^2/R35^2)</x:f>
        <x:v>21.88461659823631</x:v>
      </x:c>
      <x:c r="V35" s="62" t="n">
        <x:f>IF(R35=0,0,100*N35^2/R35^2)</x:f>
        <x:v>75.1149591642432</x:v>
      </x:c>
      <x:c r="W35" s="60" t="str">
        <x:f>IF(AND(F35&gt;=J35,F35&gt;=N35),"X",IF(J35&gt;=N35,"Y","Z"))</x:f>
        <x:v>Z</x:v>
      </x:c>
      <x:c r="X35" s="61" t="n">
        <x:f>ABS(MOD(K35-O35+180,360)-180)</x:f>
        <x:v>5.97999999999999</x:v>
      </x:c>
      <x:c r="Y35" s="61" t="n">
        <x:v>182.03125</x:v>
      </x:c>
      <x:c r="Z35" s="61" t="n">
        <x:v>174.94358</x:v>
      </x:c>
      <x:c r="AA35" s="61" t="n">
        <x:v>175.02032</x:v>
      </x:c>
      <x:c r="AB35" s="61" t="n">
        <x:v>14.93</x:v>
      </x:c>
      <x:c r="AC35" s="60" t="n">
        <x:v>1</x:v>
      </x:c>
    </x:row>
    <x:row r="36">
      <x:c r="A36" s="60" t="n">
        <x:v>4</x:v>
      </x:c>
      <x:c r="B36" s="61" t="n">
        <x:v>175</x:v>
      </x:c>
      <x:c r="C36" s="61" t="n">
        <x:v>15</x:v>
      </x:c>
      <x:c r="D36" s="61" t="n">
        <x:v>175.02257</x:v>
      </x:c>
      <x:c r="E36" s="61" t="n">
        <x:v>0.02257</x:v>
      </x:c>
      <x:c r="F36" s="61" t="n">
        <x:v>0.07024</x:v>
      </x:c>
      <x:c r="G36" s="61" t="n">
        <x:v>32.52</x:v>
      </x:c>
      <x:c r="H36" s="61" t="n">
        <x:v>0.118</x:v>
      </x:c>
      <x:c r="I36" s="61" t="n">
        <x:v>14.09</x:v>
      </x:c>
      <x:c r="J36" s="61" t="n">
        <x:v>0.18806</x:v>
      </x:c>
      <x:c r="K36" s="61" t="n">
        <x:v>35.99</x:v>
      </x:c>
      <x:c r="L36" s="61" t="n">
        <x:v>0.216</x:v>
      </x:c>
      <x:c r="M36" s="61" t="n">
        <x:v>2.33</x:v>
      </x:c>
      <x:c r="N36" s="61" t="n">
        <x:v>0.36519</x:v>
      </x:c>
      <x:c r="O36" s="61" t="n">
        <x:v>40.66</x:v>
      </x:c>
      <x:c r="P36" s="61" t="n">
        <x:v>0.647</x:v>
      </x:c>
      <x:c r="Q36" s="61" t="n">
        <x:v>7.68</x:v>
      </x:c>
      <x:c r="R36" s="61" t="n">
        <x:v>0.41712</x:v>
      </x:c>
      <x:c r="S36" s="61" t="n">
        <x:v>5.32</x:v>
      </x:c>
      <x:c r="T36" s="62" t="n">
        <x:f>IF(R36=0,0,100*F36^2/R36^2)</x:f>
        <x:v>2.8356131267960665</x:v>
      </x:c>
      <x:c r="U36" s="62" t="n">
        <x:f>IF(R36=0,0,100*J36^2/R36^2)</x:f>
        <x:v>20.326885269425258</x:v>
      </x:c>
      <x:c r="V36" s="62" t="n">
        <x:f>IF(R36=0,0,100*N36^2/R36^2)</x:f>
        <x:v>76.65062948910897</x:v>
      </x:c>
      <x:c r="W36" s="60" t="str">
        <x:f>IF(AND(F36&gt;=J36,F36&gt;=N36),"X",IF(J36&gt;=N36,"Y","Z"))</x:f>
        <x:v>Z</x:v>
      </x:c>
      <x:c r="X36" s="61" t="n">
        <x:f>ABS(MOD(K36-O36+180,360)-180)</x:f>
        <x:v>4.6699999999999875</x:v>
      </x:c>
      <x:c r="Y36" s="61" t="n">
        <x:v>182.03125</x:v>
      </x:c>
      <x:c r="Z36" s="61" t="n">
        <x:v>175.04641</x:v>
      </x:c>
      <x:c r="AA36" s="61" t="n">
        <x:v>175.01693</x:v>
      </x:c>
      <x:c r="AB36" s="61" t="n">
        <x:v>14.49</x:v>
      </x:c>
      <x:c r="AC36" s="60" t="n">
        <x:v>1</x:v>
      </x:c>
    </x:row>
    <x:row r="37">
      <x:c r="A37" s="60" t="n">
        <x:v>4</x:v>
      </x:c>
      <x:c r="B37" s="61" t="n">
        <x:v>175</x:v>
      </x:c>
      <x:c r="C37" s="61" t="n">
        <x:v>16</x:v>
      </x:c>
      <x:c r="D37" s="61" t="n">
        <x:v>175.0042</x:v>
      </x:c>
      <x:c r="E37" s="61" t="n">
        <x:v>0.0042</x:v>
      </x:c>
      <x:c r="F37" s="61" t="n">
        <x:v>0.06879</x:v>
      </x:c>
      <x:c r="G37" s="61" t="n">
        <x:v>33.46</x:v>
      </x:c>
      <x:c r="H37" s="61" t="n">
        <x:v>0.108</x:v>
      </x:c>
      <x:c r="I37" s="61" t="n">
        <x:v>18.05</x:v>
      </x:c>
      <x:c r="J37" s="61" t="n">
        <x:v>0.19334</x:v>
      </x:c>
      <x:c r="K37" s="61" t="n">
        <x:v>42.05</x:v>
      </x:c>
      <x:c r="L37" s="61" t="n">
        <x:v>0.247</x:v>
      </x:c>
      <x:c r="M37" s="61" t="n">
        <x:v>5.13</x:v>
      </x:c>
      <x:c r="N37" s="61" t="n">
        <x:v>0.40237</x:v>
      </x:c>
      <x:c r="O37" s="61" t="n">
        <x:v>39.49</x:v>
      </x:c>
      <x:c r="P37" s="61" t="n">
        <x:v>0.681</x:v>
      </x:c>
      <x:c r="Q37" s="61" t="n">
        <x:v>4.06</x:v>
      </x:c>
      <x:c r="R37" s="61" t="n">
        <x:v>0.45189</x:v>
      </x:c>
      <x:c r="S37" s="61" t="n">
        <x:v>3.71</x:v>
      </x:c>
      <x:c r="T37" s="62" t="n">
        <x:f>IF(R37=0,0,100*F37^2/R37^2)</x:f>
        <x:v>2.3173154505486218</x:v>
      </x:c>
      <x:c r="U37" s="62" t="n">
        <x:f>IF(R37=0,0,100*J37^2/R37^2)</x:f>
        <x:v>18.30534704271688</x:v>
      </x:c>
      <x:c r="V37" s="62" t="n">
        <x:f>IF(R37=0,0,100*N37^2/R37^2)</x:f>
        <x:v>79.28403131968855</x:v>
      </x:c>
      <x:c r="W37" s="60" t="str">
        <x:f>IF(AND(F37&gt;=J37,F37&gt;=N37),"X",IF(J37&gt;=N37,"Y","Z"))</x:f>
        <x:v>Z</x:v>
      </x:c>
      <x:c r="X37" s="61" t="n">
        <x:f>ABS(MOD(K37-O37+180,360)-180)</x:f>
        <x:v>2.5600000000000023</x:v>
      </x:c>
      <x:c r="Y37" s="61" t="n">
        <x:v>182.03125</x:v>
      </x:c>
      <x:c r="Z37" s="61" t="n">
        <x:v>175.00295</x:v>
      </x:c>
      <x:c r="AA37" s="61" t="n">
        <x:v>175.00465</x:v>
      </x:c>
      <x:c r="AB37" s="61" t="n">
        <x:v>14.33</x:v>
      </x:c>
      <x:c r="AC37" s="60" t="n">
        <x:v>1</x:v>
      </x:c>
    </x:row>
    <x:row r="38">
      <x:c r="A38" s="60" t="n">
        <x:v>4</x:v>
      </x:c>
      <x:c r="B38" s="61" t="n">
        <x:v>175</x:v>
      </x:c>
      <x:c r="C38" s="61" t="n">
        <x:v>17</x:v>
      </x:c>
      <x:c r="D38" s="61" t="n">
        <x:v>174.97602</x:v>
      </x:c>
      <x:c r="E38" s="61" t="n">
        <x:v>-0.02398</x:v>
      </x:c>
      <x:c r="F38" s="61" t="n">
        <x:v>0.06355</x:v>
      </x:c>
      <x:c r="G38" s="61" t="n">
        <x:v>43.39</x:v>
      </x:c>
      <x:c r="H38" s="61" t="n">
        <x:v>0.101</x:v>
      </x:c>
      <x:c r="I38" s="61" t="n">
        <x:v>17.37</x:v>
      </x:c>
      <x:c r="J38" s="61" t="n">
        <x:v>0.22128</x:v>
      </x:c>
      <x:c r="K38" s="61" t="n">
        <x:v>38.5</x:v>
      </x:c>
      <x:c r="L38" s="61" t="n">
        <x:v>0.277</x:v>
      </x:c>
      <x:c r="M38" s="61" t="n">
        <x:v>10.59</x:v>
      </x:c>
      <x:c r="N38" s="61" t="n">
        <x:v>0.43109</x:v>
      </x:c>
      <x:c r="O38" s="61" t="n">
        <x:v>38.7</x:v>
      </x:c>
      <x:c r="P38" s="61" t="n">
        <x:v>0.687</x:v>
      </x:c>
      <x:c r="Q38" s="61" t="n">
        <x:v>3.5</x:v>
      </x:c>
      <x:c r="R38" s="61" t="n">
        <x:v>0.48916</x:v>
      </x:c>
      <x:c r="S38" s="61" t="n">
        <x:v>3.85</x:v>
      </x:c>
      <x:c r="T38" s="62" t="n">
        <x:f>IF(R38=0,0,100*F38^2/R38^2)</x:f>
        <x:v>1.6878320801084108</x:v>
      </x:c>
      <x:c r="U38" s="62" t="n">
        <x:f>IF(R38=0,0,100*J38^2/R38^2)</x:f>
        <x:v>20.46361954385068</x:v>
      </x:c>
      <x:c r="V38" s="62" t="n">
        <x:f>IF(R38=0,0,100*N38^2/R38^2)</x:f>
        <x:v>77.66655191176483</x:v>
      </x:c>
      <x:c r="W38" s="60" t="str">
        <x:f>IF(AND(F38&gt;=J38,F38&gt;=N38),"X",IF(J38&gt;=N38,"Y","Z"))</x:f>
        <x:v>Z</x:v>
      </x:c>
      <x:c r="X38" s="61" t="n">
        <x:f>ABS(MOD(K38-O38+180,360)-180)</x:f>
        <x:v>0.19999999999998863</x:v>
      </x:c>
      <x:c r="Y38" s="61" t="n">
        <x:v>183.59375</x:v>
      </x:c>
      <x:c r="Z38" s="61" t="n">
        <x:v>175.00359</x:v>
      </x:c>
      <x:c r="AA38" s="61" t="n">
        <x:v>174.96774</x:v>
      </x:c>
      <x:c r="AB38" s="61" t="n">
        <x:v>16.75</x:v>
      </x:c>
      <x:c r="AC38" s="60" t="n">
        <x:v>1</x:v>
      </x:c>
    </x:row>
    <x:row r="39">
      <x:c r="A39" s="60" t="n">
        <x:v>4</x:v>
      </x:c>
      <x:c r="B39" s="61" t="n">
        <x:v>175</x:v>
      </x:c>
      <x:c r="C39" s="61" t="n">
        <x:v>18</x:v>
      </x:c>
      <x:c r="D39" s="61" t="n">
        <x:v>174.98739</x:v>
      </x:c>
      <x:c r="E39" s="61" t="n">
        <x:v>-0.01261</x:v>
      </x:c>
      <x:c r="F39" s="61" t="n">
        <x:v>0.08525</x:v>
      </x:c>
      <x:c r="G39" s="61" t="n">
        <x:v>41.29</x:v>
      </x:c>
      <x:c r="H39" s="61" t="n">
        <x:v>0.139</x:v>
      </x:c>
      <x:c r="I39" s="61" t="n">
        <x:v>11.86</x:v>
      </x:c>
      <x:c r="J39" s="61" t="n">
        <x:v>0.20346</x:v>
      </x:c>
      <x:c r="K39" s="61" t="n">
        <x:v>37.15</x:v>
      </x:c>
      <x:c r="L39" s="61" t="n">
        <x:v>0.241</x:v>
      </x:c>
      <x:c r="M39" s="61" t="n">
        <x:v>5.24</x:v>
      </x:c>
      <x:c r="N39" s="61" t="n">
        <x:v>0.50842</x:v>
      </x:c>
      <x:c r="O39" s="61" t="n">
        <x:v>39.03</x:v>
      </x:c>
      <x:c r="P39" s="61" t="n">
        <x:v>0.756</x:v>
      </x:c>
      <x:c r="Q39" s="61" t="n">
        <x:v>5.33</x:v>
      </x:c>
      <x:c r="R39" s="61" t="n">
        <x:v>0.55449</x:v>
      </x:c>
      <x:c r="S39" s="61" t="n">
        <x:v>4.28</x:v>
      </x:c>
      <x:c r="T39" s="62" t="n">
        <x:f>IF(R39=0,0,100*F39^2/R39^2)</x:f>
        <x:v>2.363748895182128</x:v>
      </x:c>
      <x:c r="U39" s="62" t="n">
        <x:f>IF(R39=0,0,100*J39^2/R39^2)</x:f>
        <x:v>13.463892761086091</x:v>
      </x:c>
      <x:c r="V39" s="62" t="n">
        <x:f>IF(R39=0,0,100*N39^2/R39^2)</x:f>
        <x:v>84.07324612346132</x:v>
      </x:c>
      <x:c r="W39" s="60" t="str">
        <x:f>IF(AND(F39&gt;=J39,F39&gt;=N39),"X",IF(J39&gt;=N39,"Y","Z"))</x:f>
        <x:v>Z</x:v>
      </x:c>
      <x:c r="X39" s="61" t="n">
        <x:f>ABS(MOD(K39-O39+180,360)-180)</x:f>
        <x:v>1.8799999999999955</x:v>
      </x:c>
      <x:c r="Y39" s="61" t="n">
        <x:v>183.59375</x:v>
      </x:c>
      <x:c r="Z39" s="61" t="n">
        <x:v>174.96299</x:v>
      </x:c>
      <x:c r="AA39" s="61" t="n">
        <x:v>174.99025</x:v>
      </x:c>
      <x:c r="AB39" s="61" t="n">
        <x:v>15.2</x:v>
      </x:c>
      <x:c r="AC39" s="60" t="n">
        <x:v>1</x:v>
      </x:c>
    </x:row>
    <x:row r="40">
      <x:c r="A40" s="60" t="n">
        <x:v>4</x:v>
      </x:c>
      <x:c r="B40" s="61" t="n">
        <x:v>175</x:v>
      </x:c>
      <x:c r="C40" s="61" t="n">
        <x:v>19</x:v>
      </x:c>
      <x:c r="D40" s="61" t="n">
        <x:v>174.99825</x:v>
      </x:c>
      <x:c r="E40" s="61" t="n">
        <x:v>-0.00175</x:v>
      </x:c>
      <x:c r="F40" s="61" t="n">
        <x:v>0.08795</x:v>
      </x:c>
      <x:c r="G40" s="61" t="n">
        <x:v>32.53</x:v>
      </x:c>
      <x:c r="H40" s="61" t="n">
        <x:v>0.129</x:v>
      </x:c>
      <x:c r="I40" s="61" t="n">
        <x:v>26.08</x:v>
      </x:c>
      <x:c r="J40" s="61" t="n">
        <x:v>0.2111</x:v>
      </x:c>
      <x:c r="K40" s="61" t="n">
        <x:v>35.53</x:v>
      </x:c>
      <x:c r="L40" s="61" t="n">
        <x:v>0.251</x:v>
      </x:c>
      <x:c r="M40" s="61" t="n">
        <x:v>10.67</x:v>
      </x:c>
      <x:c r="N40" s="61" t="n">
        <x:v>0.58035</x:v>
      </x:c>
      <x:c r="O40" s="61" t="n">
        <x:v>37.96</x:v>
      </x:c>
      <x:c r="P40" s="61" t="n">
        <x:v>0.78</x:v>
      </x:c>
      <x:c r="Q40" s="61" t="n">
        <x:v>3.39</x:v>
      </x:c>
      <x:c r="R40" s="61" t="n">
        <x:v>0.6246</x:v>
      </x:c>
      <x:c r="S40" s="61" t="n">
        <x:v>1.87</x:v>
      </x:c>
      <x:c r="T40" s="62" t="n">
        <x:f>IF(R40=0,0,100*F40^2/R40^2)</x:f>
        <x:v>1.9827489465175736</x:v>
      </x:c>
      <x:c r="U40" s="62" t="n">
        <x:f>IF(R40=0,0,100*J40^2/R40^2)</x:f>
        <x:v>11.42279826299847</x:v>
      </x:c>
      <x:c r="V40" s="62" t="n">
        <x:f>IF(R40=0,0,100*N40^2/R40^2)</x:f>
        <x:v>86.33283803074889</x:v>
      </x:c>
      <x:c r="W40" s="60" t="str">
        <x:f>IF(AND(F40&gt;=J40,F40&gt;=N40),"X",IF(J40&gt;=N40,"Y","Z"))</x:f>
        <x:v>Z</x:v>
      </x:c>
      <x:c r="X40" s="61" t="n">
        <x:f>ABS(MOD(K40-O40+180,360)-180)</x:f>
        <x:v>2.430000000000007</x:v>
      </x:c>
      <x:c r="Y40" s="61" t="n">
        <x:v>182.03125</x:v>
      </x:c>
      <x:c r="Z40" s="61" t="n">
        <x:v>175.03644</x:v>
      </x:c>
      <x:c r="AA40" s="61" t="n">
        <x:v>174.99449</x:v>
      </x:c>
      <x:c r="AB40" s="61" t="n">
        <x:v>15.94</x:v>
      </x:c>
      <x:c r="AC40" s="60" t="n">
        <x:v>1</x:v>
      </x:c>
    </x:row>
    <x:row r="41">
      <x:c r="A41" s="60" t="n">
        <x:v>4</x:v>
      </x:c>
      <x:c r="B41" s="61" t="n">
        <x:v>175</x:v>
      </x:c>
      <x:c r="C41" s="61" t="n">
        <x:v>20</x:v>
      </x:c>
      <x:c r="D41" s="61" t="n">
        <x:v>174.99297</x:v>
      </x:c>
      <x:c r="E41" s="61" t="n">
        <x:v>-0.00703</x:v>
      </x:c>
      <x:c r="F41" s="61" t="n">
        <x:v>0.11027</x:v>
      </x:c>
      <x:c r="G41" s="61" t="n">
        <x:v>28.1</x:v>
      </x:c>
      <x:c r="H41" s="61" t="n">
        <x:v>0.135</x:v>
      </x:c>
      <x:c r="I41" s="61" t="n">
        <x:v>23.92</x:v>
      </x:c>
      <x:c r="J41" s="61" t="n">
        <x:v>0.19574</x:v>
      </x:c>
      <x:c r="K41" s="61" t="n">
        <x:v>70.78</x:v>
      </x:c>
      <x:c r="L41" s="61" t="n">
        <x:v>0.211</x:v>
      </x:c>
      <x:c r="M41" s="61" t="n">
        <x:v>9.71</x:v>
      </x:c>
      <x:c r="N41" s="61" t="n">
        <x:v>0.89936</x:v>
      </x:c>
      <x:c r="O41" s="61" t="n">
        <x:v>20.35</x:v>
      </x:c>
      <x:c r="P41" s="61" t="n">
        <x:v>0.627</x:v>
      </x:c>
      <x:c r="Q41" s="61" t="n">
        <x:v>1.41</x:v>
      </x:c>
      <x:c r="R41" s="61" t="n">
        <x:v>0.92739</x:v>
      </x:c>
      <x:c r="S41" s="61" t="n">
        <x:v>1.9</x:v>
      </x:c>
      <x:c r="T41" s="62" t="n">
        <x:f>IF(R41=0,0,100*F41^2/R41^2)</x:f>
        <x:v>1.4138063630241782</x:v>
      </x:c>
      <x:c r="U41" s="62" t="n">
        <x:f>IF(R41=0,0,100*J41^2/R41^2)</x:f>
        <x:v>4.454862979358878</x:v>
      </x:c>
      <x:c r="V41" s="62" t="n">
        <x:f>IF(R41=0,0,100*N41^2/R41^2)</x:f>
        <x:v>94.04643092830666</x:v>
      </x:c>
      <x:c r="W41" s="60" t="str">
        <x:f>IF(AND(F41&gt;=J41,F41&gt;=N41),"X",IF(J41&gt;=N41,"Y","Z"))</x:f>
        <x:v>Z</x:v>
      </x:c>
      <x:c r="X41" s="61" t="n">
        <x:f>ABS(MOD(K41-O41+180,360)-180)</x:f>
        <x:v>50.43000000000001</x:v>
      </x:c>
      <x:c r="Y41" s="61" t="n">
        <x:v>182.03125</x:v>
      </x:c>
      <x:c r="Z41" s="61" t="n">
        <x:v>175.00267</x:v>
      </x:c>
      <x:c r="AA41" s="61" t="n">
        <x:v>174.99232</x:v>
      </x:c>
      <x:c r="AB41" s="61" t="n">
        <x:v>18.87</x:v>
      </x:c>
      <x:c r="AC41" s="60" t="n">
        <x:v>1</x:v>
      </x:c>
    </x:row>
    <x:row r="42">
      <x:c r="A42" s="60" t="n">
        <x:v>5</x:v>
      </x:c>
      <x:c r="B42" s="61" t="n">
        <x:v>200</x:v>
      </x:c>
      <x:c r="C42" s="61" t="n">
        <x:v>11</x:v>
      </x:c>
      <x:c r="D42" s="61" t="n">
        <x:v>199.99909</x:v>
      </x:c>
      <x:c r="E42" s="61" t="n">
        <x:v>-0.00091</x:v>
      </x:c>
      <x:c r="F42" s="61" t="n">
        <x:v>0.05039</x:v>
      </x:c>
      <x:c r="G42" s="61" t="n">
        <x:v>47.28</x:v>
      </x:c>
      <x:c r="H42" s="61" t="n">
        <x:v>0.099</x:v>
      </x:c>
      <x:c r="I42" s="61" t="n">
        <x:v>50.89</x:v>
      </x:c>
      <x:c r="J42" s="61" t="n">
        <x:v>0.17981</x:v>
      </x:c>
      <x:c r="K42" s="61" t="n">
        <x:v>28.77</x:v>
      </x:c>
      <x:c r="L42" s="61" t="n">
        <x:v>0.29</x:v>
      </x:c>
      <x:c r="M42" s="61" t="n">
        <x:v>6.69</x:v>
      </x:c>
      <x:c r="N42" s="61" t="n">
        <x:v>0.24849</x:v>
      </x:c>
      <x:c r="O42" s="61" t="n">
        <x:v>33.87</x:v>
      </x:c>
      <x:c r="P42" s="61" t="n">
        <x:v>0.519</x:v>
      </x:c>
      <x:c r="Q42" s="61" t="n">
        <x:v>2.33</x:v>
      </x:c>
      <x:c r="R42" s="61" t="n">
        <x:v>0.3118</x:v>
      </x:c>
      <x:c r="S42" s="61" t="n">
        <x:v>2.95</x:v>
      </x:c>
      <x:c r="T42" s="62" t="n">
        <x:f>IF(R42=0,0,100*F42^2/R42^2)</x:f>
        <x:v>2.6117794173252125</x:v>
      </x:c>
      <x:c r="U42" s="62" t="n">
        <x:f>IF(R42=0,0,100*J42^2/R42^2)</x:f>
        <x:v>33.256417248273074</x:v>
      </x:c>
      <x:c r="V42" s="62" t="n">
        <x:f>IF(R42=0,0,100*N42^2/R42^2)</x:f>
        <x:v>63.51343633214988</x:v>
      </x:c>
      <x:c r="W42" s="60" t="str">
        <x:f>IF(AND(F42&gt;=J42,F42&gt;=N42),"X",IF(J42&gt;=N42,"Y","Z"))</x:f>
        <x:v>Z</x:v>
      </x:c>
      <x:c r="X42" s="61" t="n">
        <x:f>ABS(MOD(K42-O42+180,360)-180)</x:f>
        <x:v>5.099999999999994</x:v>
      </x:c>
      <x:c r="Y42" s="61" t="n">
        <x:v>200.15184</x:v>
      </x:c>
      <x:c r="Z42" s="61" t="n">
        <x:v>199.98034</x:v>
      </x:c>
      <x:c r="AA42" s="61" t="n">
        <x:v>200.0038</x:v>
      </x:c>
      <x:c r="AB42" s="61" t="n">
        <x:v>22.11</x:v>
      </x:c>
      <x:c r="AC42" s="60" t="n">
        <x:v>1</x:v>
      </x:c>
    </x:row>
    <x:row r="43">
      <x:c r="A43" s="60" t="n">
        <x:v>5</x:v>
      </x:c>
      <x:c r="B43" s="61" t="n">
        <x:v>200</x:v>
      </x:c>
      <x:c r="C43" s="61" t="n">
        <x:v>12</x:v>
      </x:c>
      <x:c r="D43" s="61" t="n">
        <x:v>200.00618</x:v>
      </x:c>
      <x:c r="E43" s="61" t="n">
        <x:v>0.00618</x:v>
      </x:c>
      <x:c r="F43" s="61" t="n">
        <x:v>0.06058</x:v>
      </x:c>
      <x:c r="G43" s="61" t="n">
        <x:v>31.25</x:v>
      </x:c>
      <x:c r="H43" s="61" t="n">
        <x:v>0.132</x:v>
      </x:c>
      <x:c r="I43" s="61" t="n">
        <x:v>38.87</x:v>
      </x:c>
      <x:c r="J43" s="61" t="n">
        <x:v>0.19539</x:v>
      </x:c>
      <x:c r="K43" s="61" t="n">
        <x:v>31.48</x:v>
      </x:c>
      <x:c r="L43" s="61" t="n">
        <x:v>0.274</x:v>
      </x:c>
      <x:c r="M43" s="61" t="n">
        <x:v>3.09</x:v>
      </x:c>
      <x:c r="N43" s="61" t="n">
        <x:v>0.28026</x:v>
      </x:c>
      <x:c r="O43" s="61" t="n">
        <x:v>37.82</x:v>
      </x:c>
      <x:c r="P43" s="61" t="n">
        <x:v>0.583</x:v>
      </x:c>
      <x:c r="Q43" s="61" t="n">
        <x:v>3.36</x:v>
      </x:c>
      <x:c r="R43" s="61" t="n">
        <x:v>0.34767</x:v>
      </x:c>
      <x:c r="S43" s="61" t="n">
        <x:v>2.47</x:v>
      </x:c>
      <x:c r="T43" s="62" t="n">
        <x:f>IF(R43=0,0,100*F43^2/R43^2)</x:f>
        <x:v>3.0361561443538707</x:v>
      </x:c>
      <x:c r="U43" s="62" t="n">
        <x:f>IF(R43=0,0,100*J43^2/R43^2)</x:f>
        <x:v>31.58422542089877</x:v>
      </x:c>
      <x:c r="V43" s="62" t="n">
        <x:f>IF(R43=0,0,100*N43^2/R43^2)</x:f>
        <x:v>64.98121092673888</x:v>
      </x:c>
      <x:c r="W43" s="60" t="str">
        <x:f>IF(AND(F43&gt;=J43,F43&gt;=N43),"X",IF(J43&gt;=N43,"Y","Z"))</x:f>
        <x:v>Z</x:v>
      </x:c>
      <x:c r="X43" s="61" t="n">
        <x:f>ABS(MOD(K43-O43+180,360)-180)</x:f>
        <x:v>6.340000000000003</x:v>
      </x:c>
      <x:c r="Y43" s="61" t="n">
        <x:v>199.94602</x:v>
      </x:c>
      <x:c r="Z43" s="61" t="n">
        <x:v>200.00757</x:v>
      </x:c>
      <x:c r="AA43" s="61" t="n">
        <x:v>200.00706</x:v>
      </x:c>
      <x:c r="AB43" s="61" t="n">
        <x:v>25.9</x:v>
      </x:c>
      <x:c r="AC43" s="60" t="n">
        <x:v>1</x:v>
      </x:c>
    </x:row>
    <x:row r="44">
      <x:c r="A44" s="60" t="n">
        <x:v>5</x:v>
      </x:c>
      <x:c r="B44" s="61" t="n">
        <x:v>200</x:v>
      </x:c>
      <x:c r="C44" s="61" t="n">
        <x:v>13</x:v>
      </x:c>
      <x:c r="D44" s="61" t="n">
        <x:v>200.00744</x:v>
      </x:c>
      <x:c r="E44" s="61" t="n">
        <x:v>0.00744</x:v>
      </x:c>
      <x:c r="F44" s="61" t="n">
        <x:v>0.06709</x:v>
      </x:c>
      <x:c r="G44" s="61" t="n">
        <x:v>29.16</x:v>
      </x:c>
      <x:c r="H44" s="61" t="n">
        <x:v>0.135</x:v>
      </x:c>
      <x:c r="I44" s="61" t="n">
        <x:v>34.96</x:v>
      </x:c>
      <x:c r="J44" s="61" t="n">
        <x:v>0.23898</x:v>
      </x:c>
      <x:c r="K44" s="61" t="n">
        <x:v>29.73</x:v>
      </x:c>
      <x:c r="L44" s="61" t="n">
        <x:v>0.352</x:v>
      </x:c>
      <x:c r="M44" s="61" t="n">
        <x:v>3.49</x:v>
      </x:c>
      <x:c r="N44" s="61" t="n">
        <x:v>0.36169</x:v>
      </x:c>
      <x:c r="O44" s="61" t="n">
        <x:v>35.89</x:v>
      </x:c>
      <x:c r="P44" s="61" t="n">
        <x:v>0.66</x:v>
      </x:c>
      <x:c r="Q44" s="61" t="n">
        <x:v>2.99</x:v>
      </x:c>
      <x:c r="R44" s="61" t="n">
        <x:v>0.4392</x:v>
      </x:c>
      <x:c r="S44" s="61" t="n">
        <x:v>2.83</x:v>
      </x:c>
      <x:c r="T44" s="62" t="n">
        <x:f>IF(R44=0,0,100*F44^2/R44^2)</x:f>
        <x:v>2.333409280742267</x:v>
      </x:c>
      <x:c r="U44" s="62" t="n">
        <x:f>IF(R44=0,0,100*J44^2/R44^2)</x:f>
        <x:v>29.607275896563053</x:v>
      </x:c>
      <x:c r="V44" s="62" t="n">
        <x:f>IF(R44=0,0,100*N44^2/R44^2)</x:f>
        <x:v>67.81852504014586</x:v>
      </x:c>
      <x:c r="W44" s="60" t="str">
        <x:f>IF(AND(F44&gt;=J44,F44&gt;=N44),"X",IF(J44&gt;=N44,"Y","Z"))</x:f>
        <x:v>Z</x:v>
      </x:c>
      <x:c r="X44" s="61" t="n">
        <x:f>ABS(MOD(K44-O44+180,360)-180)</x:f>
        <x:v>6.159999999999997</x:v>
      </x:c>
      <x:c r="Y44" s="61" t="n">
        <x:v>200.03934</x:v>
      </x:c>
      <x:c r="Z44" s="61" t="n">
        <x:v>200.02207</x:v>
      </x:c>
      <x:c r="AA44" s="61" t="n">
        <x:v>200.00029</x:v>
      </x:c>
      <x:c r="AB44" s="61" t="n">
        <x:v>26.84</x:v>
      </x:c>
      <x:c r="AC44" s="60" t="n">
        <x:v>1</x:v>
      </x:c>
    </x:row>
    <x:row r="45">
      <x:c r="A45" s="60" t="n">
        <x:v>5</x:v>
      </x:c>
      <x:c r="B45" s="61" t="n">
        <x:v>200</x:v>
      </x:c>
      <x:c r="C45" s="61" t="n">
        <x:v>14</x:v>
      </x:c>
      <x:c r="D45" s="61" t="n">
        <x:v>199.99847</x:v>
      </x:c>
      <x:c r="E45" s="61" t="n">
        <x:v>-0.00153</x:v>
      </x:c>
      <x:c r="F45" s="61" t="n">
        <x:v>0.05078</x:v>
      </x:c>
      <x:c r="G45" s="61" t="n">
        <x:v>34.48</x:v>
      </x:c>
      <x:c r="H45" s="61" t="n">
        <x:v>0.083</x:v>
      </x:c>
      <x:c r="I45" s="61" t="n">
        <x:v>61.81</x:v>
      </x:c>
      <x:c r="J45" s="61" t="n">
        <x:v>0.25596</x:v>
      </x:c>
      <x:c r="K45" s="61" t="n">
        <x:v>30.99</x:v>
      </x:c>
      <x:c r="L45" s="61" t="n">
        <x:v>0.284</x:v>
      </x:c>
      <x:c r="M45" s="61" t="n">
        <x:v>6.86</x:v>
      </x:c>
      <x:c r="N45" s="61" t="n">
        <x:v>0.39264</x:v>
      </x:c>
      <x:c r="O45" s="61" t="n">
        <x:v>35.49</x:v>
      </x:c>
      <x:c r="P45" s="61" t="n">
        <x:v>0.549</x:v>
      </x:c>
      <x:c r="Q45" s="61" t="n">
        <x:v>2.87</x:v>
      </x:c>
      <x:c r="R45" s="61" t="n">
        <x:v>0.47244</x:v>
      </x:c>
      <x:c r="S45" s="61" t="n">
        <x:v>3.31</x:v>
      </x:c>
      <x:c r="T45" s="62" t="n">
        <x:f>IF(R45=0,0,100*F45^2/R45^2)</x:f>
        <x:v>1.1552928123777393</x:v>
      </x:c>
      <x:c r="U45" s="62" t="n">
        <x:f>IF(R45=0,0,100*J45^2/R45^2)</x:f>
        <x:v>29.35289096384645</x:v>
      </x:c>
      <x:c r="V45" s="62" t="n">
        <x:f>IF(R45=0,0,100*N45^2/R45^2)</x:f>
        <x:v>69.07100265813433</x:v>
      </x:c>
      <x:c r="W45" s="60" t="str">
        <x:f>IF(AND(F45&gt;=J45,F45&gt;=N45),"X",IF(J45&gt;=N45,"Y","Z"))</x:f>
        <x:v>Z</x:v>
      </x:c>
      <x:c r="X45" s="61" t="n">
        <x:f>ABS(MOD(K45-O45+180,360)-180)</x:f>
        <x:v>4.5</x:v>
      </x:c>
      <x:c r="Y45" s="61" t="n">
        <x:v>200.00058</x:v>
      </x:c>
      <x:c r="Z45" s="61" t="n">
        <x:v>199.9793</x:v>
      </x:c>
      <x:c r="AA45" s="61" t="n">
        <x:v>200.00634</x:v>
      </x:c>
      <x:c r="AB45" s="61" t="n">
        <x:v>27.93</x:v>
      </x:c>
      <x:c r="AC45" s="60" t="n">
        <x:v>1</x:v>
      </x:c>
    </x:row>
    <x:row r="46">
      <x:c r="A46" s="60" t="n">
        <x:v>5</x:v>
      </x:c>
      <x:c r="B46" s="61" t="n">
        <x:v>200</x:v>
      </x:c>
      <x:c r="C46" s="61" t="n">
        <x:v>15</x:v>
      </x:c>
      <x:c r="D46" s="61" t="n">
        <x:v>199.98685</x:v>
      </x:c>
      <x:c r="E46" s="61" t="n">
        <x:v>-0.01315</x:v>
      </x:c>
      <x:c r="F46" s="61" t="n">
        <x:v>0.05981</x:v>
      </x:c>
      <x:c r="G46" s="61" t="n">
        <x:v>57.61</x:v>
      </x:c>
      <x:c r="H46" s="61" t="n">
        <x:v>0.097</x:v>
      </x:c>
      <x:c r="I46" s="61" t="n">
        <x:v>51.34</x:v>
      </x:c>
      <x:c r="J46" s="61" t="n">
        <x:v>0.26353</x:v>
      </x:c>
      <x:c r="K46" s="61" t="n">
        <x:v>32.12</x:v>
      </x:c>
      <x:c r="L46" s="61" t="n">
        <x:v>0.29</x:v>
      </x:c>
      <x:c r="M46" s="61" t="n">
        <x:v>8.27</x:v>
      </x:c>
      <x:c r="N46" s="61" t="n">
        <x:v>0.4591</x:v>
      </x:c>
      <x:c r="O46" s="61" t="n">
        <x:v>35.46</x:v>
      </x:c>
      <x:c r="P46" s="61" t="n">
        <x:v>0.726</x:v>
      </x:c>
      <x:c r="Q46" s="61" t="n">
        <x:v>1.69</x:v>
      </x:c>
      <x:c r="R46" s="61" t="n">
        <x:v>0.53364</x:v>
      </x:c>
      <x:c r="S46" s="61" t="n">
        <x:v>3.06</x:v>
      </x:c>
      <x:c r="T46" s="62" t="n">
        <x:f>IF(R46=0,0,100*F46^2/R46^2)</x:f>
        <x:v>1.256177047478114</x:v>
      </x:c>
      <x:c r="U46" s="62" t="n">
        <x:f>IF(R46=0,0,100*J46^2/R46^2)</x:f>
        <x:v>24.38728047456589</x:v>
      </x:c>
      <x:c r="V46" s="62" t="n">
        <x:f>IF(R46=0,0,100*N46^2/R46^2)</x:f>
        <x:v>74.01467466865424</x:v>
      </x:c>
      <x:c r="W46" s="60" t="str">
        <x:f>IF(AND(F46&gt;=J46,F46&gt;=N46),"X",IF(J46&gt;=N46,"Y","Z"))</x:f>
        <x:v>Z</x:v>
      </x:c>
      <x:c r="X46" s="61" t="n">
        <x:f>ABS(MOD(K46-O46+180,360)-180)</x:f>
        <x:v>3.3400000000000034</x:v>
      </x:c>
      <x:c r="Y46" s="61" t="n">
        <x:v>200.00172</x:v>
      </x:c>
      <x:c r="Z46" s="61" t="n">
        <x:v>200.00644</x:v>
      </x:c>
      <x:c r="AA46" s="61" t="n">
        <x:v>199.97848</x:v>
      </x:c>
      <x:c r="AB46" s="61" t="n">
        <x:v>30.81</x:v>
      </x:c>
      <x:c r="AC46" s="60" t="n">
        <x:v>1</x:v>
      </x:c>
    </x:row>
    <x:row r="47">
      <x:c r="A47" s="60" t="n">
        <x:v>5</x:v>
      </x:c>
      <x:c r="B47" s="61" t="n">
        <x:v>200</x:v>
      </x:c>
      <x:c r="C47" s="61" t="n">
        <x:v>16</x:v>
      </x:c>
      <x:c r="D47" s="61" t="n">
        <x:v>199.99795</x:v>
      </x:c>
      <x:c r="E47" s="61" t="n">
        <x:v>-0.00205</x:v>
      </x:c>
      <x:c r="F47" s="61" t="n">
        <x:v>0.07239</x:v>
      </x:c>
      <x:c r="G47" s="61" t="n">
        <x:v>52.18</x:v>
      </x:c>
      <x:c r="H47" s="61" t="n">
        <x:v>0.102</x:v>
      </x:c>
      <x:c r="I47" s="61" t="n">
        <x:v>43.1</x:v>
      </x:c>
      <x:c r="J47" s="61" t="n">
        <x:v>0.32561</x:v>
      </x:c>
      <x:c r="K47" s="61" t="n">
        <x:v>28</x:v>
      </x:c>
      <x:c r="L47" s="61" t="n">
        <x:v>0.37</x:v>
      </x:c>
      <x:c r="M47" s="61" t="n">
        <x:v>7.68</x:v>
      </x:c>
      <x:c r="N47" s="61" t="n">
        <x:v>0.57644</x:v>
      </x:c>
      <x:c r="O47" s="61" t="n">
        <x:v>35.96</x:v>
      </x:c>
      <x:c r="P47" s="61" t="n">
        <x:v>0.799</x:v>
      </x:c>
      <x:c r="Q47" s="61" t="n">
        <x:v>3.62</x:v>
      </x:c>
      <x:c r="R47" s="61" t="n">
        <x:v>0.66704</x:v>
      </x:c>
      <x:c r="S47" s="61" t="n">
        <x:v>2.57</x:v>
      </x:c>
      <x:c r="T47" s="62" t="n">
        <x:f>IF(R47=0,0,100*F47^2/R47^2)</x:f>
        <x:v>1.1777507722923903</x:v>
      </x:c>
      <x:c r="U47" s="62" t="n">
        <x:f>IF(R47=0,0,100*J47^2/R47^2)</x:f>
        <x:v>23.82822613669519</x:v>
      </x:c>
      <x:c r="V47" s="62" t="n">
        <x:f>IF(R47=0,0,100*N47^2/R47^2)</x:f>
        <x:v>74.68002651065176</x:v>
      </x:c>
      <x:c r="W47" s="60" t="str">
        <x:f>IF(AND(F47&gt;=J47,F47&gt;=N47),"X",IF(J47&gt;=N47,"Y","Z"))</x:f>
        <x:v>Z</x:v>
      </x:c>
      <x:c r="X47" s="61" t="n">
        <x:f>ABS(MOD(K47-O47+180,360)-180)</x:f>
        <x:v>7.960000000000008</x:v>
      </x:c>
      <x:c r="Y47" s="61" t="n">
        <x:v>200.07141</x:v>
      </x:c>
      <x:c r="Z47" s="61" t="n">
        <x:v>199.99005</x:v>
      </x:c>
      <x:c r="AA47" s="61" t="n">
        <x:v>199.99897</x:v>
      </x:c>
      <x:c r="AB47" s="61" t="n">
        <x:v>30.39</x:v>
      </x:c>
      <x:c r="AC47" s="60" t="n">
        <x:v>1</x:v>
      </x:c>
    </x:row>
    <x:row r="48">
      <x:c r="A48" s="60" t="n">
        <x:v>5</x:v>
      </x:c>
      <x:c r="B48" s="61" t="n">
        <x:v>200</x:v>
      </x:c>
      <x:c r="C48" s="61" t="n">
        <x:v>17</x:v>
      </x:c>
      <x:c r="D48" s="61" t="n">
        <x:v>200.00586</x:v>
      </x:c>
      <x:c r="E48" s="61" t="n">
        <x:v>0.00586</x:v>
      </x:c>
      <x:c r="F48" s="61" t="n">
        <x:v>0.08053</x:v>
      </x:c>
      <x:c r="G48" s="61" t="n">
        <x:v>25.1</x:v>
      </x:c>
      <x:c r="H48" s="61" t="n">
        <x:v>0.095</x:v>
      </x:c>
      <x:c r="I48" s="61" t="n">
        <x:v>51.4</x:v>
      </x:c>
      <x:c r="J48" s="61" t="n">
        <x:v>0.33987</x:v>
      </x:c>
      <x:c r="K48" s="61" t="n">
        <x:v>29.74</x:v>
      </x:c>
      <x:c r="L48" s="61" t="n">
        <x:v>0.338</x:v>
      </x:c>
      <x:c r="M48" s="61" t="n">
        <x:v>10.45</x:v>
      </x:c>
      <x:c r="N48" s="61" t="n">
        <x:v>0.6581</x:v>
      </x:c>
      <x:c r="O48" s="61" t="n">
        <x:v>34.54</x:v>
      </x:c>
      <x:c r="P48" s="61" t="n">
        <x:v>0.806</x:v>
      </x:c>
      <x:c r="Q48" s="61" t="n">
        <x:v>5.32</x:v>
      </x:c>
      <x:c r="R48" s="61" t="n">
        <x:v>0.74663</x:v>
      </x:c>
      <x:c r="S48" s="61" t="n">
        <x:v>4.75</x:v>
      </x:c>
      <x:c r="T48" s="62" t="n">
        <x:f>IF(R48=0,0,100*F48^2/R48^2)</x:f>
        <x:v>1.163334280743225</x:v>
      </x:c>
      <x:c r="U48" s="62" t="n">
        <x:f>IF(R48=0,0,100*J48^2/R48^2)</x:f>
        <x:v>20.721194667571293</x:v>
      </x:c>
      <x:c r="V48" s="62" t="n">
        <x:f>IF(R48=0,0,100*N48^2/R48^2)</x:f>
        <x:v>77.69139317173332</x:v>
      </x:c>
      <x:c r="W48" s="60" t="str">
        <x:f>IF(AND(F48&gt;=J48,F48&gt;=N48),"X",IF(J48&gt;=N48,"Y","Z"))</x:f>
        <x:v>Z</x:v>
      </x:c>
      <x:c r="X48" s="61" t="n">
        <x:f>ABS(MOD(K48-O48+180,360)-180)</x:f>
        <x:v>4.800000000000011</x:v>
      </x:c>
      <x:c r="Y48" s="61" t="n">
        <x:v>199.95021</x:v>
      </x:c>
      <x:c r="Z48" s="61" t="n">
        <x:v>199.98974</x:v>
      </x:c>
      <x:c r="AA48" s="61" t="n">
        <x:v>200.01181</x:v>
      </x:c>
      <x:c r="AB48" s="61" t="n">
        <x:v>33.82</x:v>
      </x:c>
      <x:c r="AC48" s="60" t="n">
        <x:v>1</x:v>
      </x:c>
    </x:row>
    <x:row r="49">
      <x:c r="A49" s="60" t="n">
        <x:v>5</x:v>
      </x:c>
      <x:c r="B49" s="61" t="n">
        <x:v>200</x:v>
      </x:c>
      <x:c r="C49" s="61" t="n">
        <x:v>18</x:v>
      </x:c>
      <x:c r="D49" s="61" t="n">
        <x:v>200.00827</x:v>
      </x:c>
      <x:c r="E49" s="61" t="n">
        <x:v>0.00827</x:v>
      </x:c>
      <x:c r="F49" s="61" t="n">
        <x:v>0.08634</x:v>
      </x:c>
      <x:c r="G49" s="61" t="n">
        <x:v>38.83</x:v>
      </x:c>
      <x:c r="H49" s="61" t="n">
        <x:v>0.14</x:v>
      </x:c>
      <x:c r="I49" s="61" t="n">
        <x:v>45.7</x:v>
      </x:c>
      <x:c r="J49" s="61" t="n">
        <x:v>0.36142</x:v>
      </x:c>
      <x:c r="K49" s="61" t="n">
        <x:v>31.8</x:v>
      </x:c>
      <x:c r="L49" s="61" t="n">
        <x:v>0.469</x:v>
      </x:c>
      <x:c r="M49" s="61" t="n">
        <x:v>6.2</x:v>
      </x:c>
      <x:c r="N49" s="61" t="n">
        <x:v>0.74436</x:v>
      </x:c>
      <x:c r="O49" s="61" t="n">
        <x:v>31.23</x:v>
      </x:c>
      <x:c r="P49" s="61" t="n">
        <x:v>0.801</x:v>
      </x:c>
      <x:c r="Q49" s="61" t="n">
        <x:v>4.66</x:v>
      </x:c>
      <x:c r="R49" s="61" t="n">
        <x:v>0.83294</x:v>
      </x:c>
      <x:c r="S49" s="61" t="n">
        <x:v>4.19</x:v>
      </x:c>
      <x:c r="T49" s="62" t="n">
        <x:f>IF(R49=0,0,100*F49^2/R49^2)</x:f>
        <x:v>1.074475832209582</x:v>
      </x:c>
      <x:c r="U49" s="62" t="n">
        <x:f>IF(R49=0,0,100*J49^2/R49^2)</x:f>
        <x:v>18.827685101829132</x:v>
      </x:c>
      <x:c r="V49" s="62" t="n">
        <x:f>IF(R49=0,0,100*N49^2/R49^2)</x:f>
        <x:v>79.86171224684932</x:v>
      </x:c>
      <x:c r="W49" s="60" t="str">
        <x:f>IF(AND(F49&gt;=J49,F49&gt;=N49),"X",IF(J49&gt;=N49,"Y","Z"))</x:f>
        <x:v>Z</x:v>
      </x:c>
      <x:c r="X49" s="61" t="n">
        <x:f>ABS(MOD(K49-O49+180,360)-180)</x:f>
        <x:v>0.5699999999999932</x:v>
      </x:c>
      <x:c r="Y49" s="61" t="n">
        <x:v>200.05895</x:v>
      </x:c>
      <x:c r="Z49" s="61" t="n">
        <x:v>199.98437</x:v>
      </x:c>
      <x:c r="AA49" s="61" t="n">
        <x:v>200.01337</x:v>
      </x:c>
      <x:c r="AB49" s="61" t="n">
        <x:v>34.08</x:v>
      </x:c>
      <x:c r="AC49" s="60" t="n">
        <x:v>1</x:v>
      </x:c>
    </x:row>
    <x:row r="50">
      <x:c r="A50" s="60" t="n">
        <x:v>5</x:v>
      </x:c>
      <x:c r="B50" s="61" t="n">
        <x:v>200</x:v>
      </x:c>
      <x:c r="C50" s="61" t="n">
        <x:v>19</x:v>
      </x:c>
      <x:c r="D50" s="61" t="n">
        <x:v>199.99738</x:v>
      </x:c>
      <x:c r="E50" s="61" t="n">
        <x:v>-0.00262</x:v>
      </x:c>
      <x:c r="F50" s="61" t="n">
        <x:v>0.09599</x:v>
      </x:c>
      <x:c r="G50" s="61" t="n">
        <x:v>33.26</x:v>
      </x:c>
      <x:c r="H50" s="61" t="n">
        <x:v>0.169</x:v>
      </x:c>
      <x:c r="I50" s="61" t="n">
        <x:v>19.54</x:v>
      </x:c>
      <x:c r="J50" s="61" t="n">
        <x:v>0.39477</x:v>
      </x:c>
      <x:c r="K50" s="61" t="n">
        <x:v>29.34</x:v>
      </x:c>
      <x:c r="L50" s="61" t="n">
        <x:v>0.486</x:v>
      </x:c>
      <x:c r="M50" s="61" t="n">
        <x:v>7.48</x:v>
      </x:c>
      <x:c r="N50" s="61" t="n">
        <x:v>0.81241</x:v>
      </x:c>
      <x:c r="O50" s="61" t="n">
        <x:v>32.61</x:v>
      </x:c>
      <x:c r="P50" s="61" t="n">
        <x:v>0.846</x:v>
      </x:c>
      <x:c r="Q50" s="61" t="n">
        <x:v>2.73</x:v>
      </x:c>
      <x:c r="R50" s="61" t="n">
        <x:v>0.90882</x:v>
      </x:c>
      <x:c r="S50" s="61" t="n">
        <x:v>2.7</x:v>
      </x:c>
      <x:c r="T50" s="62" t="n">
        <x:f>IF(R50=0,0,100*F50^2/R50^2)</x:f>
        <x:v>1.1155684718422756</x:v>
      </x:c>
      <x:c r="U50" s="62" t="n">
        <x:f>IF(R50=0,0,100*J50^2/R50^2)</x:f>
        <x:v>18.86828952587784</x:v>
      </x:c>
      <x:c r="V50" s="62" t="n">
        <x:f>IF(R50=0,0,100*N50^2/R50^2)</x:f>
        <x:v>79.90882954628589</x:v>
      </x:c>
      <x:c r="W50" s="60" t="str">
        <x:f>IF(AND(F50&gt;=J50,F50&gt;=N50),"X",IF(J50&gt;=N50,"Y","Z"))</x:f>
        <x:v>Z</x:v>
      </x:c>
      <x:c r="X50" s="61" t="n">
        <x:f>ABS(MOD(K50-O50+180,360)-180)</x:f>
        <x:v>3.2700000000000102</x:v>
      </x:c>
      <x:c r="Y50" s="61" t="n">
        <x:v>200.02054</x:v>
      </x:c>
      <x:c r="Z50" s="61" t="n">
        <x:v>200.00909</x:v>
      </x:c>
      <x:c r="AA50" s="61" t="n">
        <x:v>199.99451</x:v>
      </x:c>
      <x:c r="AB50" s="61" t="n">
        <x:v>33.45</x:v>
      </x:c>
      <x:c r="AC50" s="60" t="n">
        <x:v>1</x:v>
      </x:c>
    </x:row>
    <x:row r="51">
      <x:c r="A51" s="60" t="n">
        <x:v>5</x:v>
      </x:c>
      <x:c r="B51" s="61" t="n">
        <x:v>200</x:v>
      </x:c>
      <x:c r="C51" s="61" t="n">
        <x:v>20</x:v>
      </x:c>
      <x:c r="D51" s="61" t="n">
        <x:v>199.99696</x:v>
      </x:c>
      <x:c r="E51" s="61" t="n">
        <x:v>-0.00304</x:v>
      </x:c>
      <x:c r="F51" s="61" t="n">
        <x:v>0.1149</x:v>
      </x:c>
      <x:c r="G51" s="61" t="n">
        <x:v>38.59</x:v>
      </x:c>
      <x:c r="H51" s="61" t="n">
        <x:v>0.165</x:v>
      </x:c>
      <x:c r="I51" s="61" t="n">
        <x:v>37.87</x:v>
      </x:c>
      <x:c r="J51" s="61" t="n">
        <x:v>0.36147</x:v>
      </x:c>
      <x:c r="K51" s="61" t="n">
        <x:v>32.76</x:v>
      </x:c>
      <x:c r="L51" s="61" t="n">
        <x:v>0.321</x:v>
      </x:c>
      <x:c r="M51" s="61" t="n">
        <x:v>7.79</x:v>
      </x:c>
      <x:c r="N51" s="61" t="n">
        <x:v>0.96775</x:v>
      </x:c>
      <x:c r="O51" s="61" t="n">
        <x:v>27.48</x:v>
      </x:c>
      <x:c r="P51" s="61" t="n">
        <x:v>0.813</x:v>
      </x:c>
      <x:c r="Q51" s="61" t="n">
        <x:v>1.68</x:v>
      </x:c>
      <x:c r="R51" s="61" t="n">
        <x:v>1.0405</x:v>
      </x:c>
      <x:c r="S51" s="61" t="n">
        <x:v>1.13</x:v>
      </x:c>
      <x:c r="T51" s="62" t="n">
        <x:f>IF(R51=0,0,100*F51^2/R51^2)</x:f>
        <x:v>1.2194272289433172</x:v>
      </x:c>
      <x:c r="U51" s="62" t="n">
        <x:f>IF(R51=0,0,100*J51^2/R51^2)</x:f>
        <x:v>12.068696032684912</x:v>
      </x:c>
      <x:c r="V51" s="62" t="n">
        <x:f>IF(R51=0,0,100*N51^2/R51^2)</x:f>
        <x:v>86.50519528532216</x:v>
      </x:c>
      <x:c r="W51" s="60" t="str">
        <x:f>IF(AND(F51&gt;=J51,F51&gt;=N51),"X",IF(J51&gt;=N51,"Y","Z"))</x:f>
        <x:v>Z</x:v>
      </x:c>
      <x:c r="X51" s="61" t="n">
        <x:f>ABS(MOD(K51-O51+180,360)-180)</x:f>
        <x:v>5.280000000000001</x:v>
      </x:c>
      <x:c r="Y51" s="61" t="n">
        <x:v>200.03706</x:v>
      </x:c>
      <x:c r="Z51" s="61" t="n">
        <x:v>200.00479</x:v>
      </x:c>
      <x:c r="AA51" s="61" t="n">
        <x:v>199.99488</x:v>
      </x:c>
      <x:c r="AB51" s="61" t="n">
        <x:v>35.53</x:v>
      </x:c>
      <x:c r="AC51" s="60" t="n">
        <x:v>1</x:v>
      </x:c>
    </x:row>
    <x:row r="52">
      <x:c r="A52" s="60" t="n">
        <x:v>6</x:v>
      </x:c>
      <x:c r="B52" s="61" t="n">
        <x:v>225</x:v>
      </x:c>
      <x:c r="C52" s="61" t="n">
        <x:v>11</x:v>
      </x:c>
      <x:c r="D52" s="61" t="n">
        <x:v>224.996</x:v>
      </x:c>
      <x:c r="E52" s="61" t="n">
        <x:v>-0.004</x:v>
      </x:c>
      <x:c r="F52" s="61" t="n">
        <x:v>0.08634</x:v>
      </x:c>
      <x:c r="G52" s="61" t="n">
        <x:v>40.47</x:v>
      </x:c>
      <x:c r="H52" s="61" t="n">
        <x:v>0.115</x:v>
      </x:c>
      <x:c r="I52" s="61" t="n">
        <x:v>14.61</x:v>
      </x:c>
      <x:c r="J52" s="61" t="n">
        <x:v>0.45456</x:v>
      </x:c>
      <x:c r="K52" s="61" t="n">
        <x:v>22</x:v>
      </x:c>
      <x:c r="L52" s="61" t="n">
        <x:v>0.433</x:v>
      </x:c>
      <x:c r="M52" s="61" t="n">
        <x:v>2.4</x:v>
      </x:c>
      <x:c r="N52" s="61" t="n">
        <x:v>0.58005</x:v>
      </x:c>
      <x:c r="O52" s="61" t="n">
        <x:v>27.98</x:v>
      </x:c>
      <x:c r="P52" s="61" t="n">
        <x:v>0.747</x:v>
      </x:c>
      <x:c r="Q52" s="61" t="n">
        <x:v>2.91</x:v>
      </x:c>
      <x:c r="R52" s="61" t="n">
        <x:v>0.74219</x:v>
      </x:c>
      <x:c r="S52" s="61" t="n">
        <x:v>1.8</x:v>
      </x:c>
      <x:c r="T52" s="62" t="n">
        <x:f>IF(R52=0,0,100*F52^2/R52^2)</x:f>
        <x:v>1.3532994072351758</x:v>
      </x:c>
      <x:c r="U52" s="62" t="n">
        <x:f>IF(R52=0,0,100*J52^2/R52^2)</x:f>
        <x:v>37.510446669832845</x:v>
      </x:c>
      <x:c r="V52" s="62" t="n">
        <x:f>IF(R52=0,0,100*N52^2/R52^2)</x:f>
        <x:v>61.08023020628794</x:v>
      </x:c>
      <x:c r="W52" s="60" t="str">
        <x:f>IF(AND(F52&gt;=J52,F52&gt;=N52),"X",IF(J52&gt;=N52,"Y","Z"))</x:f>
        <x:v>Z</x:v>
      </x:c>
      <x:c r="X52" s="61" t="n">
        <x:f>ABS(MOD(K52-O52+180,360)-180)</x:f>
        <x:v>5.97999999999999</x:v>
      </x:c>
      <x:c r="Y52" s="61" t="n">
        <x:v>233.59375</x:v>
      </x:c>
      <x:c r="Z52" s="61" t="n">
        <x:v>224.99186</x:v>
      </x:c>
      <x:c r="AA52" s="61" t="n">
        <x:v>224.99856</x:v>
      </x:c>
      <x:c r="AB52" s="61" t="n">
        <x:v>17.13</x:v>
      </x:c>
      <x:c r="AC52" s="60" t="n">
        <x:v>1</x:v>
      </x:c>
    </x:row>
    <x:row r="53">
      <x:c r="A53" s="60" t="n">
        <x:v>6</x:v>
      </x:c>
      <x:c r="B53" s="61" t="n">
        <x:v>225</x:v>
      </x:c>
      <x:c r="C53" s="61" t="n">
        <x:v>12</x:v>
      </x:c>
      <x:c r="D53" s="61" t="n">
        <x:v>225.00659</x:v>
      </x:c>
      <x:c r="E53" s="61" t="n">
        <x:v>0.00659</x:v>
      </x:c>
      <x:c r="F53" s="61" t="n">
        <x:v>0.07796</x:v>
      </x:c>
      <x:c r="G53" s="61" t="n">
        <x:v>37.51</x:v>
      </x:c>
      <x:c r="H53" s="61" t="n">
        <x:v>0.104</x:v>
      </x:c>
      <x:c r="I53" s="61" t="n">
        <x:v>16.48</x:v>
      </x:c>
      <x:c r="J53" s="61" t="n">
        <x:v>0.48442</x:v>
      </x:c>
      <x:c r="K53" s="61" t="n">
        <x:v>20.61</x:v>
      </x:c>
      <x:c r="L53" s="61" t="n">
        <x:v>0.448</x:v>
      </x:c>
      <x:c r="M53" s="61" t="n">
        <x:v>4.23</x:v>
      </x:c>
      <x:c r="N53" s="61" t="n">
        <x:v>0.64528</x:v>
      </x:c>
      <x:c r="O53" s="61" t="n">
        <x:v>27.92</x:v>
      </x:c>
      <x:c r="P53" s="61" t="n">
        <x:v>0.782</x:v>
      </x:c>
      <x:c r="Q53" s="61" t="n">
        <x:v>2.28</x:v>
      </x:c>
      <x:c r="R53" s="61" t="n">
        <x:v>0.81097</x:v>
      </x:c>
      <x:c r="S53" s="61" t="n">
        <x:v>1.38</x:v>
      </x:c>
      <x:c r="T53" s="62" t="n">
        <x:f>IF(R53=0,0,100*F53^2/R53^2)</x:f>
        <x:v>0.924132158527879</x:v>
      </x:c>
      <x:c r="U53" s="62" t="n">
        <x:f>IF(R53=0,0,100*J53^2/R53^2)</x:f>
        <x:v>35.68079753496595</x:v>
      </x:c>
      <x:c r="V53" s="62" t="n">
        <x:f>IF(R53=0,0,100*N53^2/R53^2)</x:f>
        <x:v>63.312116460636155</x:v>
      </x:c>
      <x:c r="W53" s="60" t="str">
        <x:f>IF(AND(F53&gt;=J53,F53&gt;=N53),"X",IF(J53&gt;=N53,"Y","Z"))</x:f>
        <x:v>Z</x:v>
      </x:c>
      <x:c r="X53" s="61" t="n">
        <x:f>ABS(MOD(K53-O53+180,360)-180)</x:f>
        <x:v>7.310000000000002</x:v>
      </x:c>
      <x:c r="Y53" s="61" t="n">
        <x:v>233.59375</x:v>
      </x:c>
      <x:c r="Z53" s="61" t="n">
        <x:v>224.99251</x:v>
      </x:c>
      <x:c r="AA53" s="61" t="n">
        <x:v>225.01469</x:v>
      </x:c>
      <x:c r="AB53" s="61" t="n">
        <x:v>18.35</x:v>
      </x:c>
      <x:c r="AC53" s="60" t="n">
        <x:v>1</x:v>
      </x:c>
    </x:row>
    <x:row r="54">
      <x:c r="A54" s="60" t="n">
        <x:v>6</x:v>
      </x:c>
      <x:c r="B54" s="61" t="n">
        <x:v>225</x:v>
      </x:c>
      <x:c r="C54" s="61" t="n">
        <x:v>13</x:v>
      </x:c>
      <x:c r="D54" s="61" t="n">
        <x:v>225.0008</x:v>
      </x:c>
      <x:c r="E54" s="61" t="n">
        <x:v>0.0008</x:v>
      </x:c>
      <x:c r="F54" s="61" t="n">
        <x:v>0.09365</x:v>
      </x:c>
      <x:c r="G54" s="61" t="n">
        <x:v>33.67</x:v>
      </x:c>
      <x:c r="H54" s="61" t="n">
        <x:v>0.119</x:v>
      </x:c>
      <x:c r="I54" s="61" t="n">
        <x:v>23.83</x:v>
      </x:c>
      <x:c r="J54" s="61" t="n">
        <x:v>0.51742</x:v>
      </x:c>
      <x:c r="K54" s="61" t="n">
        <x:v>19.94</x:v>
      </x:c>
      <x:c r="L54" s="61" t="n">
        <x:v>0.491</x:v>
      </x:c>
      <x:c r="M54" s="61" t="n">
        <x:v>2.08</x:v>
      </x:c>
      <x:c r="N54" s="61" t="n">
        <x:v>0.69711</x:v>
      </x:c>
      <x:c r="O54" s="61" t="n">
        <x:v>28.23</x:v>
      </x:c>
      <x:c r="P54" s="61" t="n">
        <x:v>0.82</x:v>
      </x:c>
      <x:c r="Q54" s="61" t="n">
        <x:v>1.62</x:v>
      </x:c>
      <x:c r="R54" s="61" t="n">
        <x:v>0.87343</x:v>
      </x:c>
      <x:c r="S54" s="61" t="n">
        <x:v>1.63</x:v>
      </x:c>
      <x:c r="T54" s="62" t="n">
        <x:f>IF(R54=0,0,100*F54^2/R54^2)</x:f>
        <x:v>1.149633350398661</x:v>
      </x:c>
      <x:c r="U54" s="62" t="n">
        <x:f>IF(R54=0,0,100*J54^2/R54^2)</x:f>
        <x:v>35.093785224139914</x:v>
      </x:c>
      <x:c r="V54" s="62" t="n">
        <x:f>IF(R54=0,0,100*N54^2/R54^2)</x:f>
        <x:v>63.7010243366007</x:v>
      </x:c>
      <x:c r="W54" s="60" t="str">
        <x:f>IF(AND(F54&gt;=J54,F54&gt;=N54),"X",IF(J54&gt;=N54,"Y","Z"))</x:f>
        <x:v>Z</x:v>
      </x:c>
      <x:c r="X54" s="61" t="n">
        <x:f>ABS(MOD(K54-O54+180,360)-180)</x:f>
        <x:v>8.289999999999992</x:v>
      </x:c>
      <x:c r="Y54" s="61" t="n">
        <x:v>233.59375</x:v>
      </x:c>
      <x:c r="Z54" s="61" t="n">
        <x:v>224.99707</x:v>
      </x:c>
      <x:c r="AA54" s="61" t="n">
        <x:v>225.00284</x:v>
      </x:c>
      <x:c r="AB54" s="61" t="n">
        <x:v>20.02</x:v>
      </x:c>
      <x:c r="AC54" s="60" t="n">
        <x:v>1</x:v>
      </x:c>
    </x:row>
    <x:row r="55">
      <x:c r="A55" s="60" t="n">
        <x:v>6</x:v>
      </x:c>
      <x:c r="B55" s="61" t="n">
        <x:v>225</x:v>
      </x:c>
      <x:c r="C55" s="61" t="n">
        <x:v>14</x:v>
      </x:c>
      <x:c r="D55" s="61" t="n">
        <x:v>224.99132</x:v>
      </x:c>
      <x:c r="E55" s="61" t="n">
        <x:v>-0.00868</x:v>
      </x:c>
      <x:c r="F55" s="61" t="n">
        <x:v>0.08533</x:v>
      </x:c>
      <x:c r="G55" s="61" t="n">
        <x:v>30.93</x:v>
      </x:c>
      <x:c r="H55" s="61" t="n">
        <x:v>0.108</x:v>
      </x:c>
      <x:c r="I55" s="61" t="n">
        <x:v>24.29</x:v>
      </x:c>
      <x:c r="J55" s="61" t="n">
        <x:v>0.55337</x:v>
      </x:c>
      <x:c r="K55" s="61" t="n">
        <x:v>19.56</x:v>
      </x:c>
      <x:c r="L55" s="61" t="n">
        <x:v>0.538</x:v>
      </x:c>
      <x:c r="M55" s="61" t="n">
        <x:v>4.04</x:v>
      </x:c>
      <x:c r="N55" s="61" t="n">
        <x:v>0.76407</x:v>
      </x:c>
      <x:c r="O55" s="61" t="n">
        <x:v>28.35</x:v>
      </x:c>
      <x:c r="P55" s="61" t="n">
        <x:v>0.851</x:v>
      </x:c>
      <x:c r="Q55" s="61" t="n">
        <x:v>1.6</x:v>
      </x:c>
      <x:c r="R55" s="61" t="n">
        <x:v>0.9475</x:v>
      </x:c>
      <x:c r="S55" s="61" t="n">
        <x:v>2.39</x:v>
      </x:c>
      <x:c r="T55" s="62" t="n">
        <x:f>IF(R55=0,0,100*F55^2/R55^2)</x:f>
        <x:v>0.8110451918324155</x:v>
      </x:c>
      <x:c r="U55" s="62" t="n">
        <x:f>IF(R55=0,0,100*J55^2/R55^2)</x:f>
        <x:v>34.10929825328423</x:v>
      </x:c>
      <x:c r="V55" s="62" t="n">
        <x:f>IF(R55=0,0,100*N55^2/R55^2)</x:f>
        <x:v>65.02911730216303</x:v>
      </x:c>
      <x:c r="W55" s="60" t="str">
        <x:f>IF(AND(F55&gt;=J55,F55&gt;=N55),"X",IF(J55&gt;=N55,"Y","Z"))</x:f>
        <x:v>Z</x:v>
      </x:c>
      <x:c r="X55" s="61" t="n">
        <x:f>ABS(MOD(K55-O55+180,360)-180)</x:f>
        <x:v>8.789999999999992</x:v>
      </x:c>
      <x:c r="Y55" s="61" t="n">
        <x:v>233.59375</x:v>
      </x:c>
      <x:c r="Z55" s="61" t="n">
        <x:v>224.99294</x:v>
      </x:c>
      <x:c r="AA55" s="61" t="n">
        <x:v>224.99056</x:v>
      </x:c>
      <x:c r="AB55" s="61" t="n">
        <x:v>19.05</x:v>
      </x:c>
      <x:c r="AC55" s="60" t="n">
        <x:v>1</x:v>
      </x:c>
    </x:row>
    <x:row r="56">
      <x:c r="A56" s="60" t="n">
        <x:v>6</x:v>
      </x:c>
      <x:c r="B56" s="61" t="n">
        <x:v>225</x:v>
      </x:c>
      <x:c r="C56" s="61" t="n">
        <x:v>15</x:v>
      </x:c>
      <x:c r="D56" s="61" t="n">
        <x:v>224.99272</x:v>
      </x:c>
      <x:c r="E56" s="61" t="n">
        <x:v>-0.00728</x:v>
      </x:c>
      <x:c r="F56" s="61" t="n">
        <x:v>0.10997</x:v>
      </x:c>
      <x:c r="G56" s="61" t="n">
        <x:v>34.32</x:v>
      </x:c>
      <x:c r="H56" s="61" t="n">
        <x:v>0.139</x:v>
      </x:c>
      <x:c r="I56" s="61" t="n">
        <x:v>13.3</x:v>
      </x:c>
      <x:c r="J56" s="61" t="n">
        <x:v>0.58928</x:v>
      </x:c>
      <x:c r="K56" s="61" t="n">
        <x:v>19.14</x:v>
      </x:c>
      <x:c r="L56" s="61" t="n">
        <x:v>0.546</x:v>
      </x:c>
      <x:c r="M56" s="61" t="n">
        <x:v>3.51</x:v>
      </x:c>
      <x:c r="N56" s="61" t="n">
        <x:v>0.82178</x:v>
      </x:c>
      <x:c r="O56" s="61" t="n">
        <x:v>27.77</x:v>
      </x:c>
      <x:c r="P56" s="61" t="n">
        <x:v>0.858</x:v>
      </x:c>
      <x:c r="Q56" s="61" t="n">
        <x:v>2.44</x:v>
      </x:c>
      <x:c r="R56" s="61" t="n">
        <x:v>1.01729</x:v>
      </x:c>
      <x:c r="S56" s="61" t="n">
        <x:v>2.73</x:v>
      </x:c>
      <x:c r="T56" s="62" t="n">
        <x:f>IF(R56=0,0,100*F56^2/R56^2)</x:f>
        <x:v>1.1685812112562817</x:v>
      </x:c>
      <x:c r="U56" s="62" t="n">
        <x:f>IF(R56=0,0,100*J56^2/R56^2)</x:f>
        <x:v>33.554738008704255</x:v>
      </x:c>
      <x:c r="V56" s="62" t="n">
        <x:f>IF(R56=0,0,100*N56^2/R56^2)</x:f>
        <x:v>65.25617051637913</x:v>
      </x:c>
      <x:c r="W56" s="60" t="str">
        <x:f>IF(AND(F56&gt;=J56,F56&gt;=N56),"X",IF(J56&gt;=N56,"Y","Z"))</x:f>
        <x:v>Z</x:v>
      </x:c>
      <x:c r="X56" s="61" t="n">
        <x:f>ABS(MOD(K56-O56+180,360)-180)</x:f>
        <x:v>8.629999999999995</x:v>
      </x:c>
      <x:c r="Y56" s="61" t="n">
        <x:v>232.03125</x:v>
      </x:c>
      <x:c r="Z56" s="61" t="n">
        <x:v>225.00037</x:v>
      </x:c>
      <x:c r="AA56" s="61" t="n">
        <x:v>224.98988</x:v>
      </x:c>
      <x:c r="AB56" s="61" t="n">
        <x:v>21.75</x:v>
      </x:c>
      <x:c r="AC56" s="60" t="n">
        <x:v>1</x:v>
      </x:c>
    </x:row>
    <x:row r="57">
      <x:c r="A57" s="60" t="n">
        <x:v>6</x:v>
      </x:c>
      <x:c r="B57" s="61" t="n">
        <x:v>225</x:v>
      </x:c>
      <x:c r="C57" s="61" t="n">
        <x:v>16</x:v>
      </x:c>
      <x:c r="D57" s="61" t="n">
        <x:v>225.00676</x:v>
      </x:c>
      <x:c r="E57" s="61" t="n">
        <x:v>0.00676</x:v>
      </x:c>
      <x:c r="F57" s="61" t="n">
        <x:v>0.11784</x:v>
      </x:c>
      <x:c r="G57" s="61" t="n">
        <x:v>33.79</x:v>
      </x:c>
      <x:c r="H57" s="61" t="n">
        <x:v>0.162</x:v>
      </x:c>
      <x:c r="I57" s="61" t="n">
        <x:v>10.8</x:v>
      </x:c>
      <x:c r="J57" s="61" t="n">
        <x:v>0.60779</x:v>
      </x:c>
      <x:c r="K57" s="61" t="n">
        <x:v>20.09</x:v>
      </x:c>
      <x:c r="L57" s="61" t="n">
        <x:v>0.557</x:v>
      </x:c>
      <x:c r="M57" s="61" t="n">
        <x:v>2.08</x:v>
      </x:c>
      <x:c r="N57" s="61" t="n">
        <x:v>0.88947</x:v>
      </x:c>
      <x:c r="O57" s="61" t="n">
        <x:v>27.72</x:v>
      </x:c>
      <x:c r="P57" s="61" t="n">
        <x:v>0.866</x:v>
      </x:c>
      <x:c r="Q57" s="61" t="n">
        <x:v>1.22</x:v>
      </x:c>
      <x:c r="R57" s="61" t="n">
        <x:v>1.08383</x:v>
      </x:c>
      <x:c r="S57" s="61" t="n">
        <x:v>1</x:v>
      </x:c>
      <x:c r="T57" s="62" t="n">
        <x:f>IF(R57=0,0,100*F57^2/R57^2)</x:f>
        <x:v>1.1821242643375913</x:v>
      </x:c>
      <x:c r="U57" s="62" t="n">
        <x:f>IF(R57=0,0,100*J57^2/R57^2)</x:f>
        <x:v>31.447401447631123</x:v>
      </x:c>
      <x:c r="V57" s="62" t="n">
        <x:f>IF(R57=0,0,100*N57^2/R57^2)</x:f>
        <x:v>67.35041462908039</x:v>
      </x:c>
      <x:c r="W57" s="60" t="str">
        <x:f>IF(AND(F57&gt;=J57,F57&gt;=N57),"X",IF(J57&gt;=N57,"Y","Z"))</x:f>
        <x:v>Z</x:v>
      </x:c>
      <x:c r="X57" s="61" t="n">
        <x:f>ABS(MOD(K57-O57+180,360)-180)</x:f>
        <x:v>7.6299999999999955</x:v>
      </x:c>
      <x:c r="Y57" s="61" t="n">
        <x:v>233.59375</x:v>
      </x:c>
      <x:c r="Z57" s="61" t="n">
        <x:v>224.99353</x:v>
      </x:c>
      <x:c r="AA57" s="61" t="n">
        <x:v>225.01319</x:v>
      </x:c>
      <x:c r="AB57" s="61" t="n">
        <x:v>23.46</x:v>
      </x:c>
      <x:c r="AC57" s="60" t="n">
        <x:v>1</x:v>
      </x:c>
    </x:row>
    <x:row r="58">
      <x:c r="A58" s="60" t="n">
        <x:v>6</x:v>
      </x:c>
      <x:c r="B58" s="61" t="n">
        <x:v>225</x:v>
      </x:c>
      <x:c r="C58" s="61" t="n">
        <x:v>17</x:v>
      </x:c>
      <x:c r="D58" s="61" t="n">
        <x:v>224.992</x:v>
      </x:c>
      <x:c r="E58" s="61" t="n">
        <x:v>-0.008</x:v>
      </x:c>
      <x:c r="F58" s="61" t="n">
        <x:v>0.12485</x:v>
      </x:c>
      <x:c r="G58" s="61" t="n">
        <x:v>42.61</x:v>
      </x:c>
      <x:c r="H58" s="61" t="n">
        <x:v>0.152</x:v>
      </x:c>
      <x:c r="I58" s="61" t="n">
        <x:v>6.25</x:v>
      </x:c>
      <x:c r="J58" s="61" t="n">
        <x:v>0.6409</x:v>
      </x:c>
      <x:c r="K58" s="61" t="n">
        <x:v>19.43</x:v>
      </x:c>
      <x:c r="L58" s="61" t="n">
        <x:v>0.57</x:v>
      </x:c>
      <x:c r="M58" s="61" t="n">
        <x:v>1.87</x:v>
      </x:c>
      <x:c r="N58" s="61" t="n">
        <x:v>0.96415</x:v>
      </x:c>
      <x:c r="O58" s="61" t="n">
        <x:v>27.63</x:v>
      </x:c>
      <x:c r="P58" s="61" t="n">
        <x:v>0.875</x:v>
      </x:c>
      <x:c r="Q58" s="61" t="n">
        <x:v>1.53</x:v>
      </x:c>
      <x:c r="R58" s="61" t="n">
        <x:v>1.1645</x:v>
      </x:c>
      <x:c r="S58" s="61" t="n">
        <x:v>1.39</x:v>
      </x:c>
      <x:c r="T58" s="62" t="n">
        <x:f>IF(R58=0,0,100*F58^2/R58^2)</x:f>
        <x:v>1.1494712347773632</x:v>
      </x:c>
      <x:c r="U58" s="62" t="n">
        <x:f>IF(R58=0,0,100*J58^2/R58^2)</x:f>
        <x:v>30.290159305237356</x:v>
      </x:c>
      <x:c r="V58" s="62" t="n">
        <x:f>IF(R58=0,0,100*N58^2/R58^2)</x:f>
        <x:v>68.55043664173473</x:v>
      </x:c>
      <x:c r="W58" s="60" t="str">
        <x:f>IF(AND(F58&gt;=J58,F58&gt;=N58),"X",IF(J58&gt;=N58,"Y","Z"))</x:f>
        <x:v>Z</x:v>
      </x:c>
      <x:c r="X58" s="61" t="n">
        <x:f>ABS(MOD(K58-O58+180,360)-180)</x:f>
        <x:v>8.199999999999989</x:v>
      </x:c>
      <x:c r="Y58" s="61" t="n">
        <x:v>232.03125</x:v>
      </x:c>
      <x:c r="Z58" s="61" t="n">
        <x:v>224.99045</x:v>
      </x:c>
      <x:c r="AA58" s="61" t="n">
        <x:v>224.99201</x:v>
      </x:c>
      <x:c r="AB58" s="61" t="n">
        <x:v>19.78</x:v>
      </x:c>
      <x:c r="AC58" s="60" t="n">
        <x:v>1</x:v>
      </x:c>
    </x:row>
    <x:row r="59">
      <x:c r="A59" s="60" t="n">
        <x:v>6</x:v>
      </x:c>
      <x:c r="B59" s="61" t="n">
        <x:v>225</x:v>
      </x:c>
      <x:c r="C59" s="61" t="n">
        <x:v>18</x:v>
      </x:c>
      <x:c r="D59" s="61" t="n">
        <x:v>224.99998</x:v>
      </x:c>
      <x:c r="E59" s="61" t="n">
        <x:v>-0.00002</x:v>
      </x:c>
      <x:c r="F59" s="61" t="n">
        <x:v>0.12483</x:v>
      </x:c>
      <x:c r="G59" s="61" t="n">
        <x:v>34.99</x:v>
      </x:c>
      <x:c r="H59" s="61" t="n">
        <x:v>0.164</x:v>
      </x:c>
      <x:c r="I59" s="61" t="n">
        <x:v>20.83</x:v>
      </x:c>
      <x:c r="J59" s="61" t="n">
        <x:v>0.65551</x:v>
      </x:c>
      <x:c r="K59" s="61" t="n">
        <x:v>18.66</x:v>
      </x:c>
      <x:c r="L59" s="61" t="n">
        <x:v>0.594</x:v>
      </x:c>
      <x:c r="M59" s="61" t="n">
        <x:v>2.27</x:v>
      </x:c>
      <x:c r="N59" s="61" t="n">
        <x:v>1.03755</x:v>
      </x:c>
      <x:c r="O59" s="61" t="n">
        <x:v>25.8</x:v>
      </x:c>
      <x:c r="P59" s="61" t="n">
        <x:v>0.875</x:v>
      </x:c>
      <x:c r="Q59" s="61" t="n">
        <x:v>2.36</x:v>
      </x:c>
      <x:c r="R59" s="61" t="n">
        <x:v>1.23382</x:v>
      </x:c>
      <x:c r="S59" s="61" t="n">
        <x:v>2.35</x:v>
      </x:c>
      <x:c r="T59" s="62" t="n">
        <x:f>IF(R59=0,0,100*F59^2/R59^2)</x:f>
        <x:v>1.0236095508025576</x:v>
      </x:c>
      <x:c r="U59" s="62" t="n">
        <x:f>IF(R59=0,0,100*J59^2/R59^2)</x:f>
        <x:v>28.226370067236175</x:v>
      </x:c>
      <x:c r="V59" s="62" t="n">
        <x:f>IF(R59=0,0,100*N59^2/R59^2)</x:f>
        <x:v>70.71547418041271</x:v>
      </x:c>
      <x:c r="W59" s="60" t="str">
        <x:f>IF(AND(F59&gt;=J59,F59&gt;=N59),"X",IF(J59&gt;=N59,"Y","Z"))</x:f>
        <x:v>Z</x:v>
      </x:c>
      <x:c r="X59" s="61" t="n">
        <x:f>ABS(MOD(K59-O59+180,360)-180)</x:f>
        <x:v>7.139999999999986</x:v>
      </x:c>
      <x:c r="Y59" s="61" t="n">
        <x:v>232.03125</x:v>
      </x:c>
      <x:c r="Z59" s="61" t="n">
        <x:v>225.00587</x:v>
      </x:c>
      <x:c r="AA59" s="61" t="n">
        <x:v>224.998</x:v>
      </x:c>
      <x:c r="AB59" s="61" t="n">
        <x:v>24.51</x:v>
      </x:c>
      <x:c r="AC59" s="60" t="n">
        <x:v>1</x:v>
      </x:c>
    </x:row>
    <x:row r="60">
      <x:c r="A60" s="60" t="n">
        <x:v>6</x:v>
      </x:c>
      <x:c r="B60" s="61" t="n">
        <x:v>225</x:v>
      </x:c>
      <x:c r="C60" s="61" t="n">
        <x:v>19</x:v>
      </x:c>
      <x:c r="D60" s="61" t="n">
        <x:v>224.99297</x:v>
      </x:c>
      <x:c r="E60" s="61" t="n">
        <x:v>-0.00703</x:v>
      </x:c>
      <x:c r="F60" s="61" t="n">
        <x:v>0.12768</x:v>
      </x:c>
      <x:c r="G60" s="61" t="n">
        <x:v>36.31</x:v>
      </x:c>
      <x:c r="H60" s="61" t="n">
        <x:v>0.173</x:v>
      </x:c>
      <x:c r="I60" s="61" t="n">
        <x:v>18.77</x:v>
      </x:c>
      <x:c r="J60" s="61" t="n">
        <x:v>0.68619</x:v>
      </x:c>
      <x:c r="K60" s="61" t="n">
        <x:v>19.89</x:v>
      </x:c>
      <x:c r="L60" s="61" t="n">
        <x:v>0.568</x:v>
      </x:c>
      <x:c r="M60" s="61" t="n">
        <x:v>1.44</x:v>
      </x:c>
      <x:c r="N60" s="61" t="n">
        <x:v>1.09979</x:v>
      </x:c>
      <x:c r="O60" s="61" t="n">
        <x:v>26.79</x:v>
      </x:c>
      <x:c r="P60" s="61" t="n">
        <x:v>0.883</x:v>
      </x:c>
      <x:c r="Q60" s="61" t="n">
        <x:v>1.64</x:v>
      </x:c>
      <x:c r="R60" s="61" t="n">
        <x:v>1.30278</x:v>
      </x:c>
      <x:c r="S60" s="61" t="n">
        <x:v>1.41</x:v>
      </x:c>
      <x:c r="T60" s="62" t="n">
        <x:f>IF(R60=0,0,100*F60^2/R60^2)</x:f>
        <x:v>0.9605137416809045</x:v>
      </x:c>
      <x:c r="U60" s="62" t="n">
        <x:f>IF(R60=0,0,100*J60^2/R60^2)</x:f>
        <x:v>27.742564466509375</x:v>
      </x:c>
      <x:c r="V60" s="62" t="n">
        <x:f>IF(R60=0,0,100*N60^2/R60^2)</x:f>
        <x:v>71.2651768909109</x:v>
      </x:c>
      <x:c r="W60" s="60" t="str">
        <x:f>IF(AND(F60&gt;=J60,F60&gt;=N60),"X",IF(J60&gt;=N60,"Y","Z"))</x:f>
        <x:v>Z</x:v>
      </x:c>
      <x:c r="X60" s="61" t="n">
        <x:f>ABS(MOD(K60-O60+180,360)-180)</x:f>
        <x:v>6.900000000000006</x:v>
      </x:c>
      <x:c r="Y60" s="61" t="n">
        <x:v>232.03125</x:v>
      </x:c>
      <x:c r="Z60" s="61" t="n">
        <x:v>224.99181</x:v>
      </x:c>
      <x:c r="AA60" s="61" t="n">
        <x:v>224.99306</x:v>
      </x:c>
      <x:c r="AB60" s="61" t="n">
        <x:v>23.77</x:v>
      </x:c>
      <x:c r="AC60" s="60" t="n">
        <x:v>1</x:v>
      </x:c>
    </x:row>
    <x:row r="61">
      <x:c r="A61" s="60" t="n">
        <x:v>6</x:v>
      </x:c>
      <x:c r="B61" s="61" t="n">
        <x:v>225</x:v>
      </x:c>
      <x:c r="C61" s="61" t="n">
        <x:v>20</x:v>
      </x:c>
      <x:c r="D61" s="61" t="n">
        <x:v>224.99901</x:v>
      </x:c>
      <x:c r="E61" s="61" t="n">
        <x:v>-0.00099</x:v>
      </x:c>
      <x:c r="F61" s="61" t="n">
        <x:v>0.13645</x:v>
      </x:c>
      <x:c r="G61" s="61" t="n">
        <x:v>36.49</x:v>
      </x:c>
      <x:c r="H61" s="61" t="n">
        <x:v>0.152</x:v>
      </x:c>
      <x:c r="I61" s="61" t="n">
        <x:v>10.2</x:v>
      </x:c>
      <x:c r="J61" s="61" t="n">
        <x:v>0.70249</x:v>
      </x:c>
      <x:c r="K61" s="61" t="n">
        <x:v>20.09</x:v>
      </x:c>
      <x:c r="L61" s="61" t="n">
        <x:v>0.606</x:v>
      </x:c>
      <x:c r="M61" s="61" t="n">
        <x:v>2.98</x:v>
      </x:c>
      <x:c r="N61" s="61" t="n">
        <x:v>1.16183</x:v>
      </x:c>
      <x:c r="O61" s="61" t="n">
        <x:v>24.32</x:v>
      </x:c>
      <x:c r="P61" s="61" t="n">
        <x:v>0.869</x:v>
      </x:c>
      <x:c r="Q61" s="61" t="n">
        <x:v>0.91</x:v>
      </x:c>
      <x:c r="R61" s="61" t="n">
        <x:v>1.36471</x:v>
      </x:c>
      <x:c r="S61" s="61" t="n">
        <x:v>0.9</x:v>
      </x:c>
      <x:c r="T61" s="62" t="n">
        <x:f>IF(R61=0,0,100*F61^2/R61^2)</x:f>
        <x:v>0.9996922659865887</x:v>
      </x:c>
      <x:c r="U61" s="62" t="n">
        <x:f>IF(R61=0,0,100*J61^2/R61^2)</x:f>
        <x:v>26.497173231163618</x:v>
      </x:c>
      <x:c r="V61" s="62" t="n">
        <x:f>IF(R61=0,0,100*N61^2/R61^2)</x:f>
        <x:v>72.47770365501148</x:v>
      </x:c>
      <x:c r="W61" s="60" t="str">
        <x:f>IF(AND(F61&gt;=J61,F61&gt;=N61),"X",IF(J61&gt;=N61,"Y","Z"))</x:f>
        <x:v>Z</x:v>
      </x:c>
      <x:c r="X61" s="61" t="n">
        <x:f>ABS(MOD(K61-O61+180,360)-180)</x:f>
        <x:v>4.22999999999999</x:v>
      </x:c>
      <x:c r="Y61" s="61" t="n">
        <x:v>232.03125</x:v>
      </x:c>
      <x:c r="Z61" s="61" t="n">
        <x:v>224.99129</x:v>
      </x:c>
      <x:c r="AA61" s="61" t="n">
        <x:v>225.00144</x:v>
      </x:c>
      <x:c r="AB61" s="61" t="n">
        <x:v>23.65</x:v>
      </x:c>
      <x:c r="AC61" s="60" t="n">
        <x:v>1</x:v>
      </x:c>
    </x:row>
    <x:row r="62">
      <x:c r="A62" s="60" t="n">
        <x:v>7</x:v>
      </x:c>
      <x:c r="B62" s="61" t="n">
        <x:v>250</x:v>
      </x:c>
      <x:c r="C62" s="61" t="n">
        <x:v>11</x:v>
      </x:c>
      <x:c r="D62" s="61" t="n">
        <x:v>249.99697</x:v>
      </x:c>
      <x:c r="E62" s="61" t="n">
        <x:v>-0.00303</x:v>
      </x:c>
      <x:c r="F62" s="61" t="n">
        <x:v>0.08913</x:v>
      </x:c>
      <x:c r="G62" s="61" t="n">
        <x:v>35.66</x:v>
      </x:c>
      <x:c r="H62" s="61" t="n">
        <x:v>0.115</x:v>
      </x:c>
      <x:c r="I62" s="61" t="n">
        <x:v>22.48</x:v>
      </x:c>
      <x:c r="J62" s="61" t="n">
        <x:v>0.77699</x:v>
      </x:c>
      <x:c r="K62" s="61" t="n">
        <x:v>9.86</x:v>
      </x:c>
      <x:c r="L62" s="61" t="n">
        <x:v>0.642</x:v>
      </x:c>
      <x:c r="M62" s="61" t="n">
        <x:v>2.65</x:v>
      </x:c>
      <x:c r="N62" s="61" t="n">
        <x:v>0.78742</x:v>
      </x:c>
      <x:c r="O62" s="61" t="n">
        <x:v>21.21</x:v>
      </x:c>
      <x:c r="P62" s="61" t="n">
        <x:v>0.814</x:v>
      </x:c>
      <x:c r="Q62" s="61" t="n">
        <x:v>2.01</x:v>
      </x:c>
      <x:c r="R62" s="61" t="n">
        <x:v>1.11012</x:v>
      </x:c>
      <x:c r="S62" s="61" t="n">
        <x:v>1.34</x:v>
      </x:c>
      <x:c r="T62" s="62" t="n">
        <x:f>IF(R62=0,0,100*F62^2/R62^2)</x:f>
        <x:v>0.6446262091512579</x:v>
      </x:c>
      <x:c r="U62" s="62" t="n">
        <x:f>IF(R62=0,0,100*J62^2/R62^2)</x:f>
        <x:v>48.98814614271429</x:v>
      </x:c>
      <x:c r="V62" s="62" t="n">
        <x:f>IF(R62=0,0,100*N62^2/R62^2)</x:f>
        <x:v>50.31216764389615</x:v>
      </x:c>
      <x:c r="W62" s="60" t="str">
        <x:f>IF(AND(F62&gt;=J62,F62&gt;=N62),"X",IF(J62&gt;=N62,"Y","Z"))</x:f>
        <x:v>Z</x:v>
      </x:c>
      <x:c r="X62" s="61" t="n">
        <x:f>ABS(MOD(K62-O62+180,360)-180)</x:f>
        <x:v>11.349999999999994</x:v>
      </x:c>
      <x:c r="Y62" s="61" t="n">
        <x:v>249.85847</x:v>
      </x:c>
      <x:c r="Z62" s="61" t="n">
        <x:v>250.00991</x:v>
      </x:c>
      <x:c r="AA62" s="61" t="n">
        <x:v>249.987</x:v>
      </x:c>
      <x:c r="AB62" s="61" t="n">
        <x:v>33.3</x:v>
      </x:c>
      <x:c r="AC62" s="60" t="n">
        <x:v>1</x:v>
      </x:c>
    </x:row>
    <x:row r="63">
      <x:c r="A63" s="60" t="n">
        <x:v>7</x:v>
      </x:c>
      <x:c r="B63" s="61" t="n">
        <x:v>250</x:v>
      </x:c>
      <x:c r="C63" s="61" t="n">
        <x:v>12</x:v>
      </x:c>
      <x:c r="D63" s="61" t="n">
        <x:v>249.99992</x:v>
      </x:c>
      <x:c r="E63" s="61" t="n">
        <x:v>-0.00008</x:v>
      </x:c>
      <x:c r="F63" s="61" t="n">
        <x:v>0.10092</x:v>
      </x:c>
      <x:c r="G63" s="61" t="n">
        <x:v>33.03</x:v>
      </x:c>
      <x:c r="H63" s="61" t="n">
        <x:v>0.108</x:v>
      </x:c>
      <x:c r="I63" s="61" t="n">
        <x:v>13.32</x:v>
      </x:c>
      <x:c r="J63" s="61" t="n">
        <x:v>0.84269</x:v>
      </x:c>
      <x:c r="K63" s="61" t="n">
        <x:v>8.54</x:v>
      </x:c>
      <x:c r="L63" s="61" t="n">
        <x:v>0.639</x:v>
      </x:c>
      <x:c r="M63" s="61" t="n">
        <x:v>2.38</x:v>
      </x:c>
      <x:c r="N63" s="61" t="n">
        <x:v>0.87552</x:v>
      </x:c>
      <x:c r="O63" s="61" t="n">
        <x:v>19.61</x:v>
      </x:c>
      <x:c r="P63" s="61" t="n">
        <x:v>0.844</x:v>
      </x:c>
      <x:c r="Q63" s="61" t="n">
        <x:v>2.3</x:v>
      </x:c>
      <x:c r="R63" s="61" t="n">
        <x:v>1.21955</x:v>
      </x:c>
      <x:c r="S63" s="61" t="n">
        <x:v>1.72</x:v>
      </x:c>
      <x:c r="T63" s="62" t="n">
        <x:f>IF(R63=0,0,100*F63^2/R63^2)</x:f>
        <x:v>0.6847866145078205</x:v>
      </x:c>
      <x:c r="U63" s="62" t="n">
        <x:f>IF(R63=0,0,100*J63^2/R63^2)</x:f>
        <x:v>47.745941269121474</x:v>
      </x:c>
      <x:c r="V63" s="62" t="n">
        <x:f>IF(R63=0,0,100*N63^2/R63^2)</x:f>
        <x:v>51.53863613672689</x:v>
      </x:c>
      <x:c r="W63" s="60" t="str">
        <x:f>IF(AND(F63&gt;=J63,F63&gt;=N63),"X",IF(J63&gt;=N63,"Y","Z"))</x:f>
        <x:v>Z</x:v>
      </x:c>
      <x:c r="X63" s="61" t="n">
        <x:f>ABS(MOD(K63-O63+180,360)-180)</x:f>
        <x:v>11.069999999999993</x:v>
      </x:c>
      <x:c r="Y63" s="61" t="n">
        <x:v>250.05658</x:v>
      </x:c>
      <x:c r="Z63" s="61" t="n">
        <x:v>250.00808</x:v>
      </x:c>
      <x:c r="AA63" s="61" t="n">
        <x:v>249.99159</x:v>
      </x:c>
      <x:c r="AB63" s="61" t="n">
        <x:v>34.33</x:v>
      </x:c>
      <x:c r="AC63" s="60" t="n">
        <x:v>1</x:v>
      </x:c>
    </x:row>
    <x:row r="64">
      <x:c r="A64" s="60" t="n">
        <x:v>7</x:v>
      </x:c>
      <x:c r="B64" s="61" t="n">
        <x:v>250</x:v>
      </x:c>
      <x:c r="C64" s="61" t="n">
        <x:v>13</x:v>
      </x:c>
      <x:c r="D64" s="61" t="n">
        <x:v>249.99546</x:v>
      </x:c>
      <x:c r="E64" s="61" t="n">
        <x:v>-0.00454</x:v>
      </x:c>
      <x:c r="F64" s="61" t="n">
        <x:v>0.10892</x:v>
      </x:c>
      <x:c r="G64" s="61" t="n">
        <x:v>41.29</x:v>
      </x:c>
      <x:c r="H64" s="61" t="n">
        <x:v>0.123</x:v>
      </x:c>
      <x:c r="I64" s="61" t="n">
        <x:v>18.83</x:v>
      </x:c>
      <x:c r="J64" s="61" t="n">
        <x:v>0.9032</x:v>
      </x:c>
      <x:c r="K64" s="61" t="n">
        <x:v>8.89</x:v>
      </x:c>
      <x:c r="L64" s="61" t="n">
        <x:v>0.708</x:v>
      </x:c>
      <x:c r="M64" s="61" t="n">
        <x:v>1.42</x:v>
      </x:c>
      <x:c r="N64" s="61" t="n">
        <x:v>0.93793</x:v>
      </x:c>
      <x:c r="O64" s="61" t="n">
        <x:v>19.84</x:v>
      </x:c>
      <x:c r="P64" s="61" t="n">
        <x:v>0.853</x:v>
      </x:c>
      <x:c r="Q64" s="61" t="n">
        <x:v>1.31</x:v>
      </x:c>
      <x:c r="R64" s="61" t="n">
        <x:v>1.30688</x:v>
      </x:c>
      <x:c r="S64" s="61" t="n">
        <x:v>0.21</x:v>
      </x:c>
      <x:c r="T64" s="62" t="n">
        <x:f>IF(R64=0,0,100*F64^2/R64^2)</x:f>
        <x:v>0.6946144951189084</x:v>
      </x:c>
      <x:c r="U64" s="62" t="n">
        <x:f>IF(R64=0,0,100*J64^2/R64^2)</x:f>
        <x:v>47.76353200085184</x:v>
      </x:c>
      <x:c r="V64" s="62" t="n">
        <x:f>IF(R64=0,0,100*N64^2/R64^2)</x:f>
        <x:v>51.507376607384515</x:v>
      </x:c>
      <x:c r="W64" s="60" t="str">
        <x:f>IF(AND(F64&gt;=J64,F64&gt;=N64),"X",IF(J64&gt;=N64,"Y","Z"))</x:f>
        <x:v>Z</x:v>
      </x:c>
      <x:c r="X64" s="61" t="n">
        <x:f>ABS(MOD(K64-O64+180,360)-180)</x:f>
        <x:v>10.949999999999989</x:v>
      </x:c>
      <x:c r="Y64" s="61" t="n">
        <x:v>249.9769</x:v>
      </x:c>
      <x:c r="Z64" s="61" t="n">
        <x:v>250.00218</x:v>
      </x:c>
      <x:c r="AA64" s="61" t="n">
        <x:v>249.98982</x:v>
      </x:c>
      <x:c r="AB64" s="61" t="n">
        <x:v>35.77</x:v>
      </x:c>
      <x:c r="AC64" s="60" t="n">
        <x:v>1</x:v>
      </x:c>
    </x:row>
    <x:row r="65">
      <x:c r="A65" s="60" t="n">
        <x:v>7</x:v>
      </x:c>
      <x:c r="B65" s="61" t="n">
        <x:v>250</x:v>
      </x:c>
      <x:c r="C65" s="61" t="n">
        <x:v>14</x:v>
      </x:c>
      <x:c r="D65" s="61" t="n">
        <x:v>250.00313</x:v>
      </x:c>
      <x:c r="E65" s="61" t="n">
        <x:v>0.00313</x:v>
      </x:c>
      <x:c r="F65" s="61" t="n">
        <x:v>0.1226</x:v>
      </x:c>
      <x:c r="G65" s="61" t="n">
        <x:v>34.1</x:v>
      </x:c>
      <x:c r="H65" s="61" t="n">
        <x:v>0.133</x:v>
      </x:c>
      <x:c r="I65" s="61" t="n">
        <x:v>10.75</x:v>
      </x:c>
      <x:c r="J65" s="61" t="n">
        <x:v>0.9565</x:v>
      </x:c>
      <x:c r="K65" s="61" t="n">
        <x:v>8.34</x:v>
      </x:c>
      <x:c r="L65" s="61" t="n">
        <x:v>0.71</x:v>
      </x:c>
      <x:c r="M65" s="61" t="n">
        <x:v>0.96</x:v>
      </x:c>
      <x:c r="N65" s="61" t="n">
        <x:v>1.00973</x:v>
      </x:c>
      <x:c r="O65" s="61" t="n">
        <x:v>21.05</x:v>
      </x:c>
      <x:c r="P65" s="61" t="n">
        <x:v>0.879</x:v>
      </x:c>
      <x:c r="Q65" s="61" t="n">
        <x:v>1.81</x:v>
      </x:c>
      <x:c r="R65" s="61" t="n">
        <x:v>1.3963</x:v>
      </x:c>
      <x:c r="S65" s="61" t="n">
        <x:v>1.34</x:v>
      </x:c>
      <x:c r="T65" s="62" t="n">
        <x:f>IF(R65=0,0,100*F65^2/R65^2)</x:f>
        <x:v>0.770945121028135</x:v>
      </x:c>
      <x:c r="U65" s="62" t="n">
        <x:f>IF(R65=0,0,100*J65^2/R65^2)</x:f>
        <x:v>46.92588507859567</x:v>
      </x:c>
      <x:c r="V65" s="62" t="n">
        <x:f>IF(R65=0,0,100*N65^2/R65^2)</x:f>
        <x:v>52.29414219199102</x:v>
      </x:c>
      <x:c r="W65" s="60" t="str">
        <x:f>IF(AND(F65&gt;=J65,F65&gt;=N65),"X",IF(J65&gt;=N65,"Y","Z"))</x:f>
        <x:v>Z</x:v>
      </x:c>
      <x:c r="X65" s="61" t="n">
        <x:f>ABS(MOD(K65-O65+180,360)-180)</x:f>
        <x:v>12.710000000000008</x:v>
      </x:c>
      <x:c r="Y65" s="61" t="n">
        <x:v>249.95635</x:v>
      </x:c>
      <x:c r="Z65" s="61" t="n">
        <x:v>250.00216</x:v>
      </x:c>
      <x:c r="AA65" s="61" t="n">
        <x:v>250.00468</x:v>
      </x:c>
      <x:c r="AB65" s="61" t="n">
        <x:v>34.86</x:v>
      </x:c>
      <x:c r="AC65" s="60" t="n">
        <x:v>1</x:v>
      </x:c>
    </x:row>
    <x:row r="66">
      <x:c r="A66" s="60" t="n">
        <x:v>7</x:v>
      </x:c>
      <x:c r="B66" s="61" t="n">
        <x:v>250</x:v>
      </x:c>
      <x:c r="C66" s="61" t="n">
        <x:v>15</x:v>
      </x:c>
      <x:c r="D66" s="61" t="n">
        <x:v>249.99867</x:v>
      </x:c>
      <x:c r="E66" s="61" t="n">
        <x:v>-0.00133</x:v>
      </x:c>
      <x:c r="F66" s="61" t="n">
        <x:v>0.132</x:v>
      </x:c>
      <x:c r="G66" s="61" t="n">
        <x:v>30.84</x:v>
      </x:c>
      <x:c r="H66" s="61" t="n">
        <x:v>0.147</x:v>
      </x:c>
      <x:c r="I66" s="61" t="n">
        <x:v>8.09</x:v>
      </x:c>
      <x:c r="J66" s="61" t="n">
        <x:v>1.03026</x:v>
      </x:c>
      <x:c r="K66" s="61" t="n">
        <x:v>8.58</x:v>
      </x:c>
      <x:c r="L66" s="61" t="n">
        <x:v>0.772</x:v>
      </x:c>
      <x:c r="M66" s="61" t="n">
        <x:v>2.03</x:v>
      </x:c>
      <x:c r="N66" s="61" t="n">
        <x:v>1.10499</x:v>
      </x:c>
      <x:c r="O66" s="61" t="n">
        <x:v>21.5</x:v>
      </x:c>
      <x:c r="P66" s="61" t="n">
        <x:v>0.896</x:v>
      </x:c>
      <x:c r="Q66" s="61" t="n">
        <x:v>1.44</x:v>
      </x:c>
      <x:c r="R66" s="61" t="n">
        <x:v>1.51671</x:v>
      </x:c>
      <x:c r="S66" s="61" t="n">
        <x:v>0.8</x:v>
      </x:c>
      <x:c r="T66" s="62" t="n">
        <x:f>IF(R66=0,0,100*F66^2/R66^2)</x:f>
        <x:v>0.7574304526976879</x:v>
      </x:c>
      <x:c r="U66" s="62" t="n">
        <x:f>IF(R66=0,0,100*J66^2/R66^2)</x:f>
        <x:v>46.141167253199065</x:v>
      </x:c>
      <x:c r="V66" s="62" t="n">
        <x:f>IF(R66=0,0,100*N66^2/R66^2)</x:f>
        <x:v>53.07763885261321</x:v>
      </x:c>
      <x:c r="W66" s="60" t="str">
        <x:f>IF(AND(F66&gt;=J66,F66&gt;=N66),"X",IF(J66&gt;=N66,"Y","Z"))</x:f>
        <x:v>Z</x:v>
      </x:c>
      <x:c r="X66" s="61" t="n">
        <x:f>ABS(MOD(K66-O66+180,360)-180)</x:f>
        <x:v>12.919999999999987</x:v>
      </x:c>
      <x:c r="Y66" s="61" t="n">
        <x:v>249.94729</x:v>
      </x:c>
      <x:c r="Z66" s="61" t="n">
        <x:v>249.99836</x:v>
      </x:c>
      <x:c r="AA66" s="61" t="n">
        <x:v>249.99942</x:v>
      </x:c>
      <x:c r="AB66" s="61" t="n">
        <x:v>36.3</x:v>
      </x:c>
      <x:c r="AC66" s="60" t="n">
        <x:v>1</x:v>
      </x:c>
    </x:row>
    <x:row r="67">
      <x:c r="A67" s="60" t="n">
        <x:v>7</x:v>
      </x:c>
      <x:c r="B67" s="61" t="n">
        <x:v>250</x:v>
      </x:c>
      <x:c r="C67" s="61" t="n">
        <x:v>16</x:v>
      </x:c>
      <x:c r="D67" s="61" t="n">
        <x:v>250.00704</x:v>
      </x:c>
      <x:c r="E67" s="61" t="n">
        <x:v>0.00704</x:v>
      </x:c>
      <x:c r="F67" s="61" t="n">
        <x:v>0.12853</x:v>
      </x:c>
      <x:c r="G67" s="61" t="n">
        <x:v>36.2</x:v>
      </x:c>
      <x:c r="H67" s="61" t="n">
        <x:v>0.156</x:v>
      </x:c>
      <x:c r="I67" s="61" t="n">
        <x:v>12.47</x:v>
      </x:c>
      <x:c r="J67" s="61" t="n">
        <x:v>1.09695</x:v>
      </x:c>
      <x:c r="K67" s="61" t="n">
        <x:v>7.14</x:v>
      </x:c>
      <x:c r="L67" s="61" t="n">
        <x:v>0.785</x:v>
      </x:c>
      <x:c r="M67" s="61" t="n">
        <x:v>1.54</x:v>
      </x:c>
      <x:c r="N67" s="61" t="n">
        <x:v>1.19483</x:v>
      </x:c>
      <x:c r="O67" s="61" t="n">
        <x:v>19.94</x:v>
      </x:c>
      <x:c r="P67" s="61" t="n">
        <x:v>0.898</x:v>
      </x:c>
      <x:c r="Q67" s="61" t="n">
        <x:v>1.11</x:v>
      </x:c>
      <x:c r="R67" s="61" t="n">
        <x:v>1.62719</x:v>
      </x:c>
      <x:c r="S67" s="61" t="n">
        <x:v>1.11</x:v>
      </x:c>
      <x:c r="T67" s="62" t="n">
        <x:f>IF(R67=0,0,100*F67^2/R67^2)</x:f>
        <x:v>0.6239251353153332</x:v>
      </x:c>
      <x:c r="U67" s="62" t="n">
        <x:f>IF(R67=0,0,100*J67^2/R67^2)</x:f>
        <x:v>45.44615357637794</x:v>
      </x:c>
      <x:c r="V67" s="62" t="n">
        <x:f>IF(R67=0,0,100*N67^2/R67^2)</x:f>
        <x:v>53.91823951639235</x:v>
      </x:c>
      <x:c r="W67" s="60" t="str">
        <x:f>IF(AND(F67&gt;=J67,F67&gt;=N67),"X",IF(J67&gt;=N67,"Y","Z"))</x:f>
        <x:v>Z</x:v>
      </x:c>
      <x:c r="X67" s="61" t="n">
        <x:f>ABS(MOD(K67-O67+180,360)-180)</x:f>
        <x:v>12.800000000000011</x:v>
      </x:c>
      <x:c r="Y67" s="61" t="n">
        <x:v>249.94952</x:v>
      </x:c>
      <x:c r="Z67" s="61" t="n">
        <x:v>250.0053</x:v>
      </x:c>
      <x:c r="AA67" s="61" t="n">
        <x:v>250.00928</x:v>
      </x:c>
      <x:c r="AB67" s="61" t="n">
        <x:v>37.42</x:v>
      </x:c>
      <x:c r="AC67" s="60" t="n">
        <x:v>1</x:v>
      </x:c>
    </x:row>
    <x:row r="68">
      <x:c r="A68" s="60" t="n">
        <x:v>7</x:v>
      </x:c>
      <x:c r="B68" s="61" t="n">
        <x:v>250</x:v>
      </x:c>
      <x:c r="C68" s="61" t="n">
        <x:v>17</x:v>
      </x:c>
      <x:c r="D68" s="61" t="n">
        <x:v>250.00624</x:v>
      </x:c>
      <x:c r="E68" s="61" t="n">
        <x:v>0.00624</x:v>
      </x:c>
      <x:c r="F68" s="61" t="n">
        <x:v>0.14639</x:v>
      </x:c>
      <x:c r="G68" s="61" t="n">
        <x:v>41.45</x:v>
      </x:c>
      <x:c r="H68" s="61" t="n">
        <x:v>0.156</x:v>
      </x:c>
      <x:c r="I68" s="61" t="n">
        <x:v>11.5</x:v>
      </x:c>
      <x:c r="J68" s="61" t="n">
        <x:v>1.17197</x:v>
      </x:c>
      <x:c r="K68" s="61" t="n">
        <x:v>8.63</x:v>
      </x:c>
      <x:c r="L68" s="61" t="n">
        <x:v>0.78</x:v>
      </x:c>
      <x:c r="M68" s="61" t="n">
        <x:v>0.59</x:v>
      </x:c>
      <x:c r="N68" s="61" t="n">
        <x:v>1.27778</x:v>
      </x:c>
      <x:c r="O68" s="61" t="n">
        <x:v>21.16</x:v>
      </x:c>
      <x:c r="P68" s="61" t="n">
        <x:v>0.905</x:v>
      </x:c>
      <x:c r="Q68" s="61" t="n">
        <x:v>1.1</x:v>
      </x:c>
      <x:c r="R68" s="61" t="n">
        <x:v>1.74012</x:v>
      </x:c>
      <x:c r="S68" s="61" t="n">
        <x:v>0.52</x:v>
      </x:c>
      <x:c r="T68" s="62" t="n">
        <x:f>IF(R68=0,0,100*F68^2/R68^2)</x:f>
        <x:v>0.7077248163315705</x:v>
      </x:c>
      <x:c r="U68" s="62" t="n">
        <x:f>IF(R68=0,0,100*J68^2/R68^2)</x:f>
        <x:v>45.360161525089445</x:v>
      </x:c>
      <x:c r="V68" s="62" t="n">
        <x:f>IF(R68=0,0,100*N68^2/R68^2)</x:f>
        <x:v>53.920483178018856</x:v>
      </x:c>
      <x:c r="W68" s="60" t="str">
        <x:f>IF(AND(F68&gt;=J68,F68&gt;=N68),"X",IF(J68&gt;=N68,"Y","Z"))</x:f>
        <x:v>Z</x:v>
      </x:c>
      <x:c r="X68" s="61" t="n">
        <x:f>ABS(MOD(K68-O68+180,360)-180)</x:f>
        <x:v>12.530000000000001</x:v>
      </x:c>
      <x:c r="Y68" s="61" t="n">
        <x:v>250.02223</x:v>
      </x:c>
      <x:c r="Z68" s="61" t="n">
        <x:v>250.00265</x:v>
      </x:c>
      <x:c r="AA68" s="61" t="n">
        <x:v>250.00906</x:v>
      </x:c>
      <x:c r="AB68" s="61" t="n">
        <x:v>35.82</x:v>
      </x:c>
      <x:c r="AC68" s="60" t="n">
        <x:v>1</x:v>
      </x:c>
    </x:row>
    <x:row r="69">
      <x:c r="A69" s="60" t="n">
        <x:v>7</x:v>
      </x:c>
      <x:c r="B69" s="61" t="n">
        <x:v>250</x:v>
      </x:c>
      <x:c r="C69" s="61" t="n">
        <x:v>18</x:v>
      </x:c>
      <x:c r="D69" s="61" t="n">
        <x:v>249.99498</x:v>
      </x:c>
      <x:c r="E69" s="61" t="n">
        <x:v>-0.00502</x:v>
      </x:c>
      <x:c r="F69" s="61" t="n">
        <x:v>0.1522</x:v>
      </x:c>
      <x:c r="G69" s="61" t="n">
        <x:v>37.34</x:v>
      </x:c>
      <x:c r="H69" s="61" t="n">
        <x:v>0.208</x:v>
      </x:c>
      <x:c r="I69" s="61" t="n">
        <x:v>7.34</x:v>
      </x:c>
      <x:c r="J69" s="61" t="n">
        <x:v>1.2109</x:v>
      </x:c>
      <x:c r="K69" s="61" t="n">
        <x:v>7.83</x:v>
      </x:c>
      <x:c r="L69" s="61" t="n">
        <x:v>0.824</x:v>
      </x:c>
      <x:c r="M69" s="61" t="n">
        <x:v>0.85</x:v>
      </x:c>
      <x:c r="N69" s="61" t="n">
        <x:v>1.36347</x:v>
      </x:c>
      <x:c r="O69" s="61" t="n">
        <x:v>21.21</x:v>
      </x:c>
      <x:c r="P69" s="61" t="n">
        <x:v>0.912</x:v>
      </x:c>
      <x:c r="Q69" s="61" t="n">
        <x:v>2.18</x:v>
      </x:c>
      <x:c r="R69" s="61" t="n">
        <x:v>1.82997</x:v>
      </x:c>
      <x:c r="S69" s="61" t="n">
        <x:v>1.49</x:v>
      </x:c>
      <x:c r="T69" s="62" t="n">
        <x:f>IF(R69=0,0,100*F69^2/R69^2)</x:f>
        <x:v>0.6917375711913621</x:v>
      </x:c>
      <x:c r="U69" s="62" t="n">
        <x:f>IF(R69=0,0,100*J69^2/R69^2)</x:f>
        <x:v>43.78532909006757</x:v>
      </x:c>
      <x:c r="V69" s="62" t="n">
        <x:f>IF(R69=0,0,100*N69^2/R69^2)</x:f>
        <x:v>55.51409104100857</x:v>
      </x:c>
      <x:c r="W69" s="60" t="str">
        <x:f>IF(AND(F69&gt;=J69,F69&gt;=N69),"X",IF(J69&gt;=N69,"Y","Z"))</x:f>
        <x:v>Z</x:v>
      </x:c>
      <x:c r="X69" s="61" t="n">
        <x:f>ABS(MOD(K69-O69+180,360)-180)</x:f>
        <x:v>13.379999999999995</x:v>
      </x:c>
      <x:c r="Y69" s="61" t="n">
        <x:v>250.10674</x:v>
      </x:c>
      <x:c r="Z69" s="61" t="n">
        <x:v>249.99411</x:v>
      </x:c>
      <x:c r="AA69" s="61" t="n">
        <x:v>249.99444</x:v>
      </x:c>
      <x:c r="AB69" s="61" t="n">
        <x:v>38.21</x:v>
      </x:c>
      <x:c r="AC69" s="60" t="n">
        <x:v>1</x:v>
      </x:c>
    </x:row>
    <x:row r="70">
      <x:c r="A70" s="60" t="n">
        <x:v>7</x:v>
      </x:c>
      <x:c r="B70" s="61" t="n">
        <x:v>250</x:v>
      </x:c>
      <x:c r="C70" s="61" t="n">
        <x:v>19</x:v>
      </x:c>
      <x:c r="D70" s="61" t="n">
        <x:v>249.99824</x:v>
      </x:c>
      <x:c r="E70" s="61" t="n">
        <x:v>-0.00176</x:v>
      </x:c>
      <x:c r="F70" s="61" t="n">
        <x:v>0.15747</x:v>
      </x:c>
      <x:c r="G70" s="61" t="n">
        <x:v>31.89</x:v>
      </x:c>
      <x:c r="H70" s="61" t="n">
        <x:v>0.175</x:v>
      </x:c>
      <x:c r="I70" s="61" t="n">
        <x:v>13.41</x:v>
      </x:c>
      <x:c r="J70" s="61" t="n">
        <x:v>1.26417</x:v>
      </x:c>
      <x:c r="K70" s="61" t="n">
        <x:v>7.31</x:v>
      </x:c>
      <x:c r="L70" s="61" t="n">
        <x:v>0.825</x:v>
      </x:c>
      <x:c r="M70" s="61" t="n">
        <x:v>1.02</x:v>
      </x:c>
      <x:c r="N70" s="61" t="n">
        <x:v>1.46045</x:v>
      </x:c>
      <x:c r="O70" s="61" t="n">
        <x:v>20.43</x:v>
      </x:c>
      <x:c r="P70" s="61" t="n">
        <x:v>0.913</x:v>
      </x:c>
      <x:c r="Q70" s="61" t="n">
        <x:v>1.73</x:v>
      </x:c>
      <x:c r="R70" s="61" t="n">
        <x:v>1.93811</x:v>
      </x:c>
      <x:c r="S70" s="61" t="n">
        <x:v>1.35</x:v>
      </x:c>
      <x:c r="T70" s="62" t="n">
        <x:f>IF(R70=0,0,100*F70^2/R70^2)</x:f>
        <x:v>0.6601441973980423</x:v>
      </x:c>
      <x:c r="U70" s="62" t="n">
        <x:f>IF(R70=0,0,100*J70^2/R70^2)</x:f>
        <x:v>42.54554732721605</x:v>
      </x:c>
      <x:c r="V70" s="62" t="n">
        <x:f>IF(R70=0,0,100*N70^2/R70^2)</x:f>
        <x:v>56.782765648138415</x:v>
      </x:c>
      <x:c r="W70" s="60" t="str">
        <x:f>IF(AND(F70&gt;=J70,F70&gt;=N70),"X",IF(J70&gt;=N70,"Y","Z"))</x:f>
        <x:v>Z</x:v>
      </x:c>
      <x:c r="X70" s="61" t="n">
        <x:f>ABS(MOD(K70-O70+180,360)-180)</x:f>
        <x:v>13.120000000000005</x:v>
      </x:c>
      <x:c r="Y70" s="61" t="n">
        <x:v>249.91928</x:v>
      </x:c>
      <x:c r="Z70" s="61" t="n">
        <x:v>249.99699</x:v>
      </x:c>
      <x:c r="AA70" s="61" t="n">
        <x:v>250.00016</x:v>
      </x:c>
      <x:c r="AB70" s="61" t="n">
        <x:v>39.76</x:v>
      </x:c>
      <x:c r="AC70" s="60" t="n">
        <x:v>1</x:v>
      </x:c>
    </x:row>
    <x:row r="71">
      <x:c r="A71" s="60" t="n">
        <x:v>7</x:v>
      </x:c>
      <x:c r="B71" s="61" t="n">
        <x:v>250</x:v>
      </x:c>
      <x:c r="C71" s="61" t="n">
        <x:v>20</x:v>
      </x:c>
      <x:c r="D71" s="61" t="n">
        <x:v>250.00222</x:v>
      </x:c>
      <x:c r="E71" s="61" t="n">
        <x:v>0.00222</x:v>
      </x:c>
      <x:c r="F71" s="61" t="n">
        <x:v>0.172</x:v>
      </x:c>
      <x:c r="G71" s="61" t="n">
        <x:v>34.69</x:v>
      </x:c>
      <x:c r="H71" s="61" t="n">
        <x:v>0.236</x:v>
      </x:c>
      <x:c r="I71" s="61" t="n">
        <x:v>7.17</x:v>
      </x:c>
      <x:c r="J71" s="61" t="n">
        <x:v>1.31856</x:v>
      </x:c>
      <x:c r="K71" s="61" t="n">
        <x:v>8.36</x:v>
      </x:c>
      <x:c r="L71" s="61" t="n">
        <x:v>0.836</x:v>
      </x:c>
      <x:c r="M71" s="61" t="n">
        <x:v>0.79</x:v>
      </x:c>
      <x:c r="N71" s="61" t="n">
        <x:v>1.5451</x:v>
      </x:c>
      <x:c r="O71" s="61" t="n">
        <x:v>21.14</x:v>
      </x:c>
      <x:c r="P71" s="61" t="n">
        <x:v>0.914</x:v>
      </x:c>
      <x:c r="Q71" s="61" t="n">
        <x:v>1.28</x:v>
      </x:c>
      <x:c r="R71" s="61" t="n">
        <x:v>2.03859</x:v>
      </x:c>
      <x:c r="S71" s="61" t="n">
        <x:v>0.7</x:v>
      </x:c>
      <x:c r="T71" s="62" t="n">
        <x:f>IF(R71=0,0,100*F71^2/R71^2)</x:f>
        <x:v>0.7118641380132809</x:v>
      </x:c>
      <x:c r="U71" s="62" t="n">
        <x:f>IF(R71=0,0,100*J71^2/R71^2)</x:f>
        <x:v>41.83502323853251</x:v>
      </x:c>
      <x:c r="V71" s="62" t="n">
        <x:f>IF(R71=0,0,100*N71^2/R71^2)</x:f>
        <x:v>57.445155056058645</x:v>
      </x:c>
      <x:c r="W71" s="60" t="str">
        <x:f>IF(AND(F71&gt;=J71,F71&gt;=N71),"X",IF(J71&gt;=N71,"Y","Z"))</x:f>
        <x:v>Z</x:v>
      </x:c>
      <x:c r="X71" s="61" t="n">
        <x:f>ABS(MOD(K71-O71+180,360)-180)</x:f>
        <x:v>12.780000000000001</x:v>
      </x:c>
      <x:c r="Y71" s="61" t="n">
        <x:v>249.97206</x:v>
      </x:c>
      <x:c r="Z71" s="61" t="n">
        <x:v>249.99799</x:v>
      </x:c>
      <x:c r="AA71" s="61" t="n">
        <x:v>250.00562</x:v>
      </x:c>
      <x:c r="AB71" s="61" t="n">
        <x:v>38.78</x:v>
      </x:c>
      <x:c r="AC71" s="60" t="n">
        <x:v>1</x:v>
      </x:c>
    </x:row>
    <x:row r="72">
      <x:c r="A72" s="60" t="n">
        <x:v>8</x:v>
      </x:c>
      <x:c r="B72" s="61" t="n">
        <x:v>268</x:v>
      </x:c>
      <x:c r="C72" s="61" t="n">
        <x:v>11</x:v>
      </x:c>
      <x:c r="D72" s="61" t="n">
        <x:v>268.00124</x:v>
      </x:c>
      <x:c r="E72" s="61" t="n">
        <x:v>0.00124</x:v>
      </x:c>
      <x:c r="F72" s="61" t="n">
        <x:v>0.10609</x:v>
      </x:c>
      <x:c r="G72" s="61" t="n">
        <x:v>44.41</x:v>
      </x:c>
      <x:c r="H72" s="61" t="n">
        <x:v>0.121</x:v>
      </x:c>
      <x:c r="I72" s="61" t="n">
        <x:v>27</x:v>
      </x:c>
      <x:c r="J72" s="61" t="n">
        <x:v>1.19524</x:v>
      </x:c>
      <x:c r="K72" s="61" t="n">
        <x:v>-3.07</x:v>
      </x:c>
      <x:c r="L72" s="61" t="n">
        <x:v>0.722</x:v>
      </x:c>
      <x:c r="M72" s="61" t="n">
        <x:v>4.54</x:v>
      </x:c>
      <x:c r="N72" s="61" t="n">
        <x:v>1.03241</x:v>
      </x:c>
      <x:c r="O72" s="61" t="n">
        <x:v>11.48</x:v>
      </x:c>
      <x:c r="P72" s="61" t="n">
        <x:v>0.865</x:v>
      </x:c>
      <x:c r="Q72" s="61" t="n">
        <x:v>2.67</x:v>
      </x:c>
      <x:c r="R72" s="61" t="n">
        <x:v>1.58339</x:v>
      </x:c>
      <x:c r="S72" s="61" t="n">
        <x:v>3.34</x:v>
      </x:c>
      <x:c r="T72" s="62" t="n">
        <x:f>IF(R72=0,0,100*F72^2/R72^2)</x:f>
        <x:v>0.4489242887224289</x:v>
      </x:c>
      <x:c r="U72" s="62" t="n">
        <x:f>IF(R72=0,0,100*J72^2/R72^2)</x:f>
        <x:v>56.981574069855284</x:v>
      </x:c>
      <x:c r="V72" s="62" t="n">
        <x:f>IF(R72=0,0,100*N72^2/R72^2)</x:f>
        <x:v>42.51367120143444</x:v>
      </x:c>
      <x:c r="W72" s="60" t="str">
        <x:f>IF(AND(F72&gt;=J72,F72&gt;=N72),"X",IF(J72&gt;=N72,"Y","Z"))</x:f>
        <x:v>Y</x:v>
      </x:c>
      <x:c r="X72" s="61" t="n">
        <x:f>ABS(MOD(K72-O72+180,360)-180)</x:f>
        <x:v>14.550000000000011</x:v>
      </x:c>
      <x:c r="Y72" s="61" t="n">
        <x:v>267.82782</x:v>
      </x:c>
      <x:c r="Z72" s="61" t="n">
        <x:v>267.98092</x:v>
      </x:c>
      <x:c r="AA72" s="61" t="n">
        <x:v>268.03091</x:v>
      </x:c>
      <x:c r="AB72" s="61" t="n">
        <x:v>30.15</x:v>
      </x:c>
      <x:c r="AC72" s="60" t="n">
        <x:v>1</x:v>
      </x:c>
    </x:row>
    <x:row r="73">
      <x:c r="A73" s="60" t="n">
        <x:v>8</x:v>
      </x:c>
      <x:c r="B73" s="61" t="n">
        <x:v>268</x:v>
      </x:c>
      <x:c r="C73" s="61" t="n">
        <x:v>12</x:v>
      </x:c>
      <x:c r="D73" s="61" t="n">
        <x:v>268.01736</x:v>
      </x:c>
      <x:c r="E73" s="61" t="n">
        <x:v>0.01736</x:v>
      </x:c>
      <x:c r="F73" s="61" t="n">
        <x:v>0.10666</x:v>
      </x:c>
      <x:c r="G73" s="61" t="n">
        <x:v>37.85</x:v>
      </x:c>
      <x:c r="H73" s="61" t="n">
        <x:v>0.119</x:v>
      </x:c>
      <x:c r="I73" s="61" t="n">
        <x:v>16.15</x:v>
      </x:c>
      <x:c r="J73" s="61" t="n">
        <x:v>1.27703</x:v>
      </x:c>
      <x:c r="K73" s="61" t="n">
        <x:v>-3.75</x:v>
      </x:c>
      <x:c r="L73" s="61" t="n">
        <x:v>0.766</x:v>
      </x:c>
      <x:c r="M73" s="61" t="n">
        <x:v>4.61</x:v>
      </x:c>
      <x:c r="N73" s="61" t="n">
        <x:v>1.12218</x:v>
      </x:c>
      <x:c r="O73" s="61" t="n">
        <x:v>12.3</x:v>
      </x:c>
      <x:c r="P73" s="61" t="n">
        <x:v>0.884</x:v>
      </x:c>
      <x:c r="Q73" s="61" t="n">
        <x:v>0.82</x:v>
      </x:c>
      <x:c r="R73" s="61" t="n">
        <x:v>1.70382</x:v>
      </x:c>
      <x:c r="S73" s="61" t="n">
        <x:v>2.56</x:v>
      </x:c>
      <x:c r="T73" s="62" t="n">
        <x:f>IF(R73=0,0,100*F73^2/R73^2)</x:f>
        <x:v>0.3918823782583957</x:v>
      </x:c>
      <x:c r="U73" s="62" t="n">
        <x:f>IF(R73=0,0,100*J73^2/R73^2)</x:f>
        <x:v>56.17651273097088</x:v>
      </x:c>
      <x:c r="V73" s="62" t="n">
        <x:f>IF(R73=0,0,100*N73^2/R73^2)</x:f>
        <x:v>43.37880908879618</x:v>
      </x:c>
      <x:c r="W73" s="60" t="str">
        <x:f>IF(AND(F73&gt;=J73,F73&gt;=N73),"X",IF(J73&gt;=N73,"Y","Z"))</x:f>
        <x:v>Y</x:v>
      </x:c>
      <x:c r="X73" s="61" t="n">
        <x:f>ABS(MOD(K73-O73+180,360)-180)</x:f>
        <x:v>16.05000000000001</x:v>
      </x:c>
      <x:c r="Y73" s="61" t="n">
        <x:v>267.98524</x:v>
      </x:c>
      <x:c r="Z73" s="61" t="n">
        <x:v>268.01463</x:v>
      </x:c>
      <x:c r="AA73" s="61" t="n">
        <x:v>268.02151</x:v>
      </x:c>
      <x:c r="AB73" s="61" t="n">
        <x:v>31.52</x:v>
      </x:c>
      <x:c r="AC73" s="60" t="n">
        <x:v>1</x:v>
      </x:c>
    </x:row>
    <x:row r="74">
      <x:c r="A74" s="60" t="n">
        <x:v>8</x:v>
      </x:c>
      <x:c r="B74" s="61" t="n">
        <x:v>268</x:v>
      </x:c>
      <x:c r="C74" s="61" t="n">
        <x:v>13</x:v>
      </x:c>
      <x:c r="D74" s="61" t="n">
        <x:v>268.01369</x:v>
      </x:c>
      <x:c r="E74" s="61" t="n">
        <x:v>0.01369</x:v>
      </x:c>
      <x:c r="F74" s="61" t="n">
        <x:v>0.12939</x:v>
      </x:c>
      <x:c r="G74" s="61" t="n">
        <x:v>33.07</x:v>
      </x:c>
      <x:c r="H74" s="61" t="n">
        <x:v>0.161</x:v>
      </x:c>
      <x:c r="I74" s="61" t="n">
        <x:v>8.4</x:v>
      </x:c>
      <x:c r="J74" s="61" t="n">
        <x:v>1.39187</x:v>
      </x:c>
      <x:c r="K74" s="61" t="n">
        <x:v>-4.26</x:v>
      </x:c>
      <x:c r="L74" s="61" t="n">
        <x:v>0.801</x:v>
      </x:c>
      <x:c r="M74" s="61" t="n">
        <x:v>4.08</x:v>
      </x:c>
      <x:c r="N74" s="61" t="n">
        <x:v>1.26215</x:v>
      </x:c>
      <x:c r="O74" s="61" t="n">
        <x:v>12.43</x:v>
      </x:c>
      <x:c r="P74" s="61" t="n">
        <x:v>0.905</x:v>
      </x:c>
      <x:c r="Q74" s="61" t="n">
        <x:v>1.96</x:v>
      </x:c>
      <x:c r="R74" s="61" t="n">
        <x:v>1.88401</x:v>
      </x:c>
      <x:c r="S74" s="61" t="n">
        <x:v>1.61</x:v>
      </x:c>
      <x:c r="T74" s="62" t="n">
        <x:f>IF(R74=0,0,100*F74^2/R74^2)</x:f>
        <x:v>0.4716664856698191</x:v>
      </x:c>
      <x:c r="U74" s="62" t="n">
        <x:f>IF(R74=0,0,100*J74^2/R74^2)</x:f>
        <x:v>54.57967449727704</x:v>
      </x:c>
      <x:c r="V74" s="62" t="n">
        <x:f>IF(R74=0,0,100*N74^2/R74^2)</x:f>
        <x:v>44.88027775429425</x:v>
      </x:c>
      <x:c r="W74" s="60" t="str">
        <x:f>IF(AND(F74&gt;=J74,F74&gt;=N74),"X",IF(J74&gt;=N74,"Y","Z"))</x:f>
        <x:v>Y</x:v>
      </x:c>
      <x:c r="X74" s="61" t="n">
        <x:f>ABS(MOD(K74-O74+180,360)-180)</x:f>
        <x:v>16.689999999999998</x:v>
      </x:c>
      <x:c r="Y74" s="61" t="n">
        <x:v>267.9927</x:v>
      </x:c>
      <x:c r="Z74" s="61" t="n">
        <x:v>268.02118</x:v>
      </x:c>
      <x:c r="AA74" s="61" t="n">
        <x:v>268.00396</x:v>
      </x:c>
      <x:c r="AB74" s="61" t="n">
        <x:v>30.46</x:v>
      </x:c>
      <x:c r="AC74" s="60" t="n">
        <x:v>1</x:v>
      </x:c>
    </x:row>
    <x:row r="75">
      <x:c r="A75" s="60" t="n">
        <x:v>8</x:v>
      </x:c>
      <x:c r="B75" s="61" t="n">
        <x:v>268</x:v>
      </x:c>
      <x:c r="C75" s="61" t="n">
        <x:v>14</x:v>
      </x:c>
      <x:c r="D75" s="61" t="n">
        <x:v>268.00774</x:v>
      </x:c>
      <x:c r="E75" s="61" t="n">
        <x:v>0.00774</x:v>
      </x:c>
      <x:c r="F75" s="61" t="n">
        <x:v>0.1524</x:v>
      </x:c>
      <x:c r="G75" s="61" t="n">
        <x:v>34.92</x:v>
      </x:c>
      <x:c r="H75" s="61" t="n">
        <x:v>0.17</x:v>
      </x:c>
      <x:c r="I75" s="61" t="n">
        <x:v>10.66</x:v>
      </x:c>
      <x:c r="J75" s="61" t="n">
        <x:v>1.49063</x:v>
      </x:c>
      <x:c r="K75" s="61" t="n">
        <x:v>-4.1</x:v>
      </x:c>
      <x:c r="L75" s="61" t="n">
        <x:v>0.805</x:v>
      </x:c>
      <x:c r="M75" s="61" t="n">
        <x:v>3.9</x:v>
      </x:c>
      <x:c r="N75" s="61" t="n">
        <x:v>1.33652</x:v>
      </x:c>
      <x:c r="O75" s="61" t="n">
        <x:v>13.47</x:v>
      </x:c>
      <x:c r="P75" s="61" t="n">
        <x:v>0.899</x:v>
      </x:c>
      <x:c r="Q75" s="61" t="n">
        <x:v>1.26</x:v>
      </x:c>
      <x:c r="R75" s="61" t="n">
        <x:v>2.00825</x:v>
      </x:c>
      <x:c r="S75" s="61" t="n">
        <x:v>2.19</x:v>
      </x:c>
      <x:c r="T75" s="62" t="n">
        <x:f>IF(R75=0,0,100*F75^2/R75^2)</x:f>
        <x:v>0.5758831648777811</x:v>
      </x:c>
      <x:c r="U75" s="62" t="n">
        <x:f>IF(R75=0,0,100*J75^2/R75^2)</x:f>
        <x:v>55.093982111540434</x:v>
      </x:c>
      <x:c r="V75" s="62" t="n">
        <x:f>IF(R75=0,0,100*N75^2/R75^2)</x:f>
        <x:v>44.290988466302394</x:v>
      </x:c>
      <x:c r="W75" s="60" t="str">
        <x:f>IF(AND(F75&gt;=J75,F75&gt;=N75),"X",IF(J75&gt;=N75,"Y","Z"))</x:f>
        <x:v>Y</x:v>
      </x:c>
      <x:c r="X75" s="61" t="n">
        <x:f>ABS(MOD(K75-O75+180,360)-180)</x:f>
        <x:v>17.569999999999993</x:v>
      </x:c>
      <x:c r="Y75" s="61" t="n">
        <x:v>267.90229</x:v>
      </x:c>
      <x:c r="Z75" s="61" t="n">
        <x:v>267.99994</x:v>
      </x:c>
      <x:c r="AA75" s="61" t="n">
        <x:v>268.01847</x:v>
      </x:c>
      <x:c r="AB75" s="61" t="n">
        <x:v>29.43</x:v>
      </x:c>
      <x:c r="AC75" s="60" t="n">
        <x:v>1</x:v>
      </x:c>
    </x:row>
    <x:row r="76">
      <x:c r="A76" s="60" t="n">
        <x:v>8</x:v>
      </x:c>
      <x:c r="B76" s="61" t="n">
        <x:v>268</x:v>
      </x:c>
      <x:c r="C76" s="61" t="n">
        <x:v>15</x:v>
      </x:c>
      <x:c r="D76" s="61" t="n">
        <x:v>268.03503</x:v>
      </x:c>
      <x:c r="E76" s="61" t="n">
        <x:v>0.03503</x:v>
      </x:c>
      <x:c r="F76" s="61" t="n">
        <x:v>0.14019</x:v>
      </x:c>
      <x:c r="G76" s="61" t="n">
        <x:v>34.06</x:v>
      </x:c>
      <x:c r="H76" s="61" t="n">
        <x:v>0.17</x:v>
      </x:c>
      <x:c r="I76" s="61" t="n">
        <x:v>12.86</x:v>
      </x:c>
      <x:c r="J76" s="61" t="n">
        <x:v>1.58098</x:v>
      </x:c>
      <x:c r="K76" s="61" t="n">
        <x:v>-5.33</x:v>
      </x:c>
      <x:c r="L76" s="61" t="n">
        <x:v>0.815</x:v>
      </x:c>
      <x:c r="M76" s="61" t="n">
        <x:v>3.36</x:v>
      </x:c>
      <x:c r="N76" s="61" t="n">
        <x:v>1.43423</x:v>
      </x:c>
      <x:c r="O76" s="61" t="n">
        <x:v>13.85</x:v>
      </x:c>
      <x:c r="P76" s="61" t="n">
        <x:v>0.905</x:v>
      </x:c>
      <x:c r="Q76" s="61" t="n">
        <x:v>2.55</x:v>
      </x:c>
      <x:c r="R76" s="61" t="n">
        <x:v>2.13993</x:v>
      </x:c>
      <x:c r="S76" s="61" t="n">
        <x:v>1.07</x:v>
      </x:c>
      <x:c r="T76" s="62" t="n">
        <x:f>IF(R76=0,0,100*F76^2/R76^2)</x:f>
        <x:v>0.4291755150845836</x:v>
      </x:c>
      <x:c r="U76" s="62" t="n">
        <x:f>IF(R76=0,0,100*J76^2/R76^2)</x:f>
        <x:v>54.58252439008928</x:v>
      </x:c>
      <x:c r="V76" s="62" t="n">
        <x:f>IF(R76=0,0,100*N76^2/R76^2)</x:f>
        <x:v>44.91986790599992</x:v>
      </x:c>
      <x:c r="W76" s="60" t="str">
        <x:f>IF(AND(F76&gt;=J76,F76&gt;=N76),"X",IF(J76&gt;=N76,"Y","Z"))</x:f>
        <x:v>Y</x:v>
      </x:c>
      <x:c r="X76" s="61" t="n">
        <x:f>ABS(MOD(K76-O76+180,360)-180)</x:f>
        <x:v>19.180000000000007</x:v>
      </x:c>
      <x:c r="Y76" s="61" t="n">
        <x:v>268.08932</x:v>
      </x:c>
      <x:c r="Z76" s="61" t="n">
        <x:v>268.05666</x:v>
      </x:c>
      <x:c r="AA76" s="61" t="n">
        <x:v>268.00938</x:v>
      </x:c>
      <x:c r="AB76" s="61" t="n">
        <x:v>30.7</x:v>
      </x:c>
      <x:c r="AC76" s="60" t="n">
        <x:v>1</x:v>
      </x:c>
    </x:row>
    <x:row r="77">
      <x:c r="A77" s="60" t="n">
        <x:v>8</x:v>
      </x:c>
      <x:c r="B77" s="61" t="n">
        <x:v>268</x:v>
      </x:c>
      <x:c r="C77" s="61" t="n">
        <x:v>16</x:v>
      </x:c>
      <x:c r="D77" s="61" t="n">
        <x:v>267.9968</x:v>
      </x:c>
      <x:c r="E77" s="61" t="n">
        <x:v>-0.0032</x:v>
      </x:c>
      <x:c r="F77" s="61" t="n">
        <x:v>0.16247</x:v>
      </x:c>
      <x:c r="G77" s="61" t="n">
        <x:v>39.48</x:v>
      </x:c>
      <x:c r="H77" s="61" t="n">
        <x:v>0.202</x:v>
      </x:c>
      <x:c r="I77" s="61" t="n">
        <x:v>7.87</x:v>
      </x:c>
      <x:c r="J77" s="61" t="n">
        <x:v>1.66189</x:v>
      </x:c>
      <x:c r="K77" s="61" t="n">
        <x:v>-5.17</x:v>
      </x:c>
      <x:c r="L77" s="61" t="n">
        <x:v>0.836</x:v>
      </x:c>
      <x:c r="M77" s="61" t="n">
        <x:v>3.58</x:v>
      </x:c>
      <x:c r="N77" s="61" t="n">
        <x:v>1.56766</x:v>
      </x:c>
      <x:c r="O77" s="61" t="n">
        <x:v>13.93</x:v>
      </x:c>
      <x:c r="P77" s="61" t="n">
        <x:v>0.912</x:v>
      </x:c>
      <x:c r="Q77" s="61" t="n">
        <x:v>1.7</x:v>
      </x:c>
      <x:c r="R77" s="61" t="n">
        <x:v>2.2908</x:v>
      </x:c>
      <x:c r="S77" s="61" t="n">
        <x:v>1.96</x:v>
      </x:c>
      <x:c r="T77" s="62" t="n">
        <x:f>IF(R77=0,0,100*F77^2/R77^2)</x:f>
        <x:v>0.5030046640963685</x:v>
      </x:c>
      <x:c r="U77" s="62" t="n">
        <x:f>IF(R77=0,0,100*J77^2/R77^2)</x:f>
        <x:v>52.629615875837004</x:v>
      </x:c>
      <x:c r="V77" s="62" t="n">
        <x:f>IF(R77=0,0,100*N77^2/R77^2)</x:f>
        <x:v>46.83056585403572</x:v>
      </x:c>
      <x:c r="W77" s="60" t="str">
        <x:f>IF(AND(F77&gt;=J77,F77&gt;=N77),"X",IF(J77&gt;=N77,"Y","Z"))</x:f>
        <x:v>Y</x:v>
      </x:c>
      <x:c r="X77" s="61" t="n">
        <x:f>ABS(MOD(K77-O77+180,360)-180)</x:f>
        <x:v>19.099999999999994</x:v>
      </x:c>
      <x:c r="Y77" s="61" t="n">
        <x:v>267.89964</x:v>
      </x:c>
      <x:c r="Z77" s="61" t="n">
        <x:v>267.99214</x:v>
      </x:c>
      <x:c r="AA77" s="61" t="n">
        <x:v>268.00315</x:v>
      </x:c>
      <x:c r="AB77" s="61" t="n">
        <x:v>31.89</x:v>
      </x:c>
      <x:c r="AC77" s="60" t="n">
        <x:v>1</x:v>
      </x:c>
    </x:row>
    <x:row r="78">
      <x:c r="A78" s="60" t="n">
        <x:v>8</x:v>
      </x:c>
      <x:c r="B78" s="61" t="n">
        <x:v>268</x:v>
      </x:c>
      <x:c r="C78" s="61" t="n">
        <x:v>17</x:v>
      </x:c>
      <x:c r="D78" s="61" t="n">
        <x:v>268.01962</x:v>
      </x:c>
      <x:c r="E78" s="61" t="n">
        <x:v>0.01962</x:v>
      </x:c>
      <x:c r="F78" s="61" t="n">
        <x:v>0.16467</x:v>
      </x:c>
      <x:c r="G78" s="61" t="n">
        <x:v>39.65</x:v>
      </x:c>
      <x:c r="H78" s="61" t="n">
        <x:v>0.173</x:v>
      </x:c>
      <x:c r="I78" s="61" t="n">
        <x:v>7.06</x:v>
      </x:c>
      <x:c r="J78" s="61" t="n">
        <x:v>1.76352</x:v>
      </x:c>
      <x:c r="K78" s="61" t="n">
        <x:v>-5.85</x:v>
      </x:c>
      <x:c r="L78" s="61" t="n">
        <x:v>0.831</x:v>
      </x:c>
      <x:c r="M78" s="61" t="n">
        <x:v>3.12</x:v>
      </x:c>
      <x:c r="N78" s="61" t="n">
        <x:v>1.67556</x:v>
      </x:c>
      <x:c r="O78" s="61" t="n">
        <x:v>13.83</x:v>
      </x:c>
      <x:c r="P78" s="61" t="n">
        <x:v>0.911</x:v>
      </x:c>
      <x:c r="Q78" s="61" t="n">
        <x:v>2.69</x:v>
      </x:c>
      <x:c r="R78" s="61" t="n">
        <x:v>2.43876</x:v>
      </x:c>
      <x:c r="S78" s="61" t="n">
        <x:v>1.6</x:v>
      </x:c>
      <x:c r="T78" s="62" t="n">
        <x:f>IF(R78=0,0,100*F78^2/R78^2)</x:f>
        <x:v>0.4559223102085109</x:v>
      </x:c>
      <x:c r="U78" s="62" t="n">
        <x:f>IF(R78=0,0,100*J78^2/R78^2)</x:f>
        <x:v>52.29048286886752</x:v>
      </x:c>
      <x:c r="V78" s="62" t="n">
        <x:f>IF(R78=0,0,100*N78^2/R78^2)</x:f>
        <x:v>47.204330425775</x:v>
      </x:c>
      <x:c r="W78" s="60" t="str">
        <x:f>IF(AND(F78&gt;=J78,F78&gt;=N78),"X",IF(J78&gt;=N78,"Y","Z"))</x:f>
        <x:v>Y</x:v>
      </x:c>
      <x:c r="X78" s="61" t="n">
        <x:f>ABS(MOD(K78-O78+180,360)-180)</x:f>
        <x:v>19.680000000000007</x:v>
      </x:c>
      <x:c r="Y78" s="61" t="n">
        <x:v>267.92043</x:v>
      </x:c>
      <x:c r="Z78" s="61" t="n">
        <x:v>268.02416</x:v>
      </x:c>
      <x:c r="AA78" s="61" t="n">
        <x:v>268.01559</x:v>
      </x:c>
      <x:c r="AB78" s="61" t="n">
        <x:v>30.68</x:v>
      </x:c>
      <x:c r="AC78" s="60" t="n">
        <x:v>1</x:v>
      </x:c>
    </x:row>
    <x:row r="79">
      <x:c r="A79" s="60" t="n">
        <x:v>8</x:v>
      </x:c>
      <x:c r="B79" s="61" t="n">
        <x:v>268</x:v>
      </x:c>
      <x:c r="C79" s="61" t="n">
        <x:v>18</x:v>
      </x:c>
      <x:c r="D79" s="61" t="n">
        <x:v>268.01695</x:v>
      </x:c>
      <x:c r="E79" s="61" t="n">
        <x:v>0.01695</x:v>
      </x:c>
      <x:c r="F79" s="61" t="n">
        <x:v>0.18329</x:v>
      </x:c>
      <x:c r="G79" s="61" t="n">
        <x:v>39.06</x:v>
      </x:c>
      <x:c r="H79" s="61" t="n">
        <x:v>0.225</x:v>
      </x:c>
      <x:c r="I79" s="61" t="n">
        <x:v>8.67</x:v>
      </x:c>
      <x:c r="J79" s="61" t="n">
        <x:v>1.84853</x:v>
      </x:c>
      <x:c r="K79" s="61" t="n">
        <x:v>-5.98</x:v>
      </x:c>
      <x:c r="L79" s="61" t="n">
        <x:v>0.867</x:v>
      </x:c>
      <x:c r="M79" s="61" t="n">
        <x:v>2.73</x:v>
      </x:c>
      <x:c r="N79" s="61" t="n">
        <x:v>1.78381</x:v>
      </x:c>
      <x:c r="O79" s="61" t="n">
        <x:v>13.87</x:v>
      </x:c>
      <x:c r="P79" s="61" t="n">
        <x:v>0.906</x:v>
      </x:c>
      <x:c r="Q79" s="61" t="n">
        <x:v>2.21</x:v>
      </x:c>
      <x:c r="R79" s="61" t="n">
        <x:v>2.57587</x:v>
      </x:c>
      <x:c r="S79" s="61" t="n">
        <x:v>1.39</x:v>
      </x:c>
      <x:c r="T79" s="62" t="n">
        <x:f>IF(R79=0,0,100*F79^2/R79^2)</x:f>
        <x:v>0.5063253367655349</x:v>
      </x:c>
      <x:c r="U79" s="62" t="n">
        <x:f>IF(R79=0,0,100*J79^2/R79^2)</x:f>
        <x:v>51.49975039731304</x:v>
      </x:c>
      <x:c r="V79" s="62" t="n">
        <x:f>IF(R79=0,0,100*N79^2/R79^2)</x:f>
        <x:v>47.95670171507784</x:v>
      </x:c>
      <x:c r="W79" s="60" t="str">
        <x:f>IF(AND(F79&gt;=J79,F79&gt;=N79),"X",IF(J79&gt;=N79,"Y","Z"))</x:f>
        <x:v>Y</x:v>
      </x:c>
      <x:c r="X79" s="61" t="n">
        <x:f>ABS(MOD(K79-O79+180,360)-180)</x:f>
        <x:v>19.849999999999994</x:v>
      </x:c>
      <x:c r="Y79" s="61" t="n">
        <x:v>267.99977</x:v>
      </x:c>
      <x:c r="Z79" s="61" t="n">
        <x:v>268.01855</x:v>
      </x:c>
      <x:c r="AA79" s="61" t="n">
        <x:v>268.01545</x:v>
      </x:c>
      <x:c r="AB79" s="61" t="n">
        <x:v>34.97</x:v>
      </x:c>
      <x:c r="AC79" s="60" t="n">
        <x:v>1</x:v>
      </x:c>
    </x:row>
    <x:row r="80">
      <x:c r="A80" s="60" t="n">
        <x:v>8</x:v>
      </x:c>
      <x:c r="B80" s="61" t="n">
        <x:v>268</x:v>
      </x:c>
      <x:c r="C80" s="61" t="n">
        <x:v>19</x:v>
      </x:c>
      <x:c r="D80" s="61" t="n">
        <x:v>268.02579</x:v>
      </x:c>
      <x:c r="E80" s="61" t="n">
        <x:v>0.02579</x:v>
      </x:c>
      <x:c r="F80" s="61" t="n">
        <x:v>0.20396</x:v>
      </x:c>
      <x:c r="G80" s="61" t="n">
        <x:v>41.35</x:v>
      </x:c>
      <x:c r="H80" s="61" t="n">
        <x:v>0.217</x:v>
      </x:c>
      <x:c r="I80" s="61" t="n">
        <x:v>2.37</x:v>
      </x:c>
      <x:c r="J80" s="61" t="n">
        <x:v>1.94304</x:v>
      </x:c>
      <x:c r="K80" s="61" t="n">
        <x:v>-6.1</x:v>
      </x:c>
      <x:c r="L80" s="61" t="n">
        <x:v>0.857</x:v>
      </x:c>
      <x:c r="M80" s="61" t="n">
        <x:v>2.11</x:v>
      </x:c>
      <x:c r="N80" s="61" t="n">
        <x:v>1.94405</x:v>
      </x:c>
      <x:c r="O80" s="61" t="n">
        <x:v>14.52</x:v>
      </x:c>
      <x:c r="P80" s="61" t="n">
        <x:v>0.907</x:v>
      </x:c>
      <x:c r="Q80" s="61" t="n">
        <x:v>2.42</x:v>
      </x:c>
      <x:c r="R80" s="61" t="n">
        <x:v>2.75666</x:v>
      </x:c>
      <x:c r="S80" s="61" t="n">
        <x:v>0.7</x:v>
      </x:c>
      <x:c r="T80" s="62" t="n">
        <x:f>IF(R80=0,0,100*F80^2/R80^2)</x:f>
        <x:v>0.5474237022781859</x:v>
      </x:c>
      <x:c r="U80" s="62" t="n">
        <x:f>IF(R80=0,0,100*J80^2/R80^2)</x:f>
        <x:v>49.681771531111416</x:v>
      </x:c>
      <x:c r="V80" s="62" t="n">
        <x:f>IF(R80=0,0,100*N80^2/R80^2)</x:f>
        <x:v>49.733434523908876</x:v>
      </x:c>
      <x:c r="W80" s="60" t="str">
        <x:f>IF(AND(F80&gt;=J80,F80&gt;=N80),"X",IF(J80&gt;=N80,"Y","Z"))</x:f>
        <x:v>Z</x:v>
      </x:c>
      <x:c r="X80" s="61" t="n">
        <x:f>ABS(MOD(K80-O80+180,360)-180)</x:f>
        <x:v>20.620000000000005</x:v>
      </x:c>
      <x:c r="Y80" s="61" t="n">
        <x:v>267.9441</x:v>
      </x:c>
      <x:c r="Z80" s="61" t="n">
        <x:v>268.02462</x:v>
      </x:c>
      <x:c r="AA80" s="61" t="n">
        <x:v>268.0279</x:v>
      </x:c>
      <x:c r="AB80" s="61" t="n">
        <x:v>33.62</x:v>
      </x:c>
      <x:c r="AC80" s="60" t="n">
        <x:v>1</x:v>
      </x:c>
    </x:row>
    <x:row r="81">
      <x:c r="A81" s="60" t="n">
        <x:v>8</x:v>
      </x:c>
      <x:c r="B81" s="61" t="n">
        <x:v>268</x:v>
      </x:c>
      <x:c r="C81" s="61" t="n">
        <x:v>20</x:v>
      </x:c>
      <x:c r="D81" s="61" t="n">
        <x:v>268.02032</x:v>
      </x:c>
      <x:c r="E81" s="61" t="n">
        <x:v>0.02032</x:v>
      </x:c>
      <x:c r="F81" s="61" t="n">
        <x:v>0.21777</x:v>
      </x:c>
      <x:c r="G81" s="61" t="n">
        <x:v>32.31</x:v>
      </x:c>
      <x:c r="H81" s="61" t="n">
        <x:v>0.204</x:v>
      </x:c>
      <x:c r="I81" s="61" t="n">
        <x:v>8.32</x:v>
      </x:c>
      <x:c r="J81" s="61" t="n">
        <x:v>1.99015</x:v>
      </x:c>
      <x:c r="K81" s="61" t="n">
        <x:v>-7.95</x:v>
      </x:c>
      <x:c r="L81" s="61" t="n">
        <x:v>0.86</x:v>
      </x:c>
      <x:c r="M81" s="61" t="n">
        <x:v>2.7</x:v>
      </x:c>
      <x:c r="N81" s="61" t="n">
        <x:v>2.15499</x:v>
      </x:c>
      <x:c r="O81" s="61" t="n">
        <x:v>12.86</x:v>
      </x:c>
      <x:c r="P81" s="61" t="n">
        <x:v>0.9</x:v>
      </x:c>
      <x:c r="Q81" s="61" t="n">
        <x:v>0.92</x:v>
      </x:c>
      <x:c r="R81" s="61" t="n">
        <x:v>2.94172</x:v>
      </x:c>
      <x:c r="S81" s="61" t="n">
        <x:v>1.37</x:v>
      </x:c>
      <x:c r="T81" s="62" t="n">
        <x:f>IF(R81=0,0,100*F81^2/R81^2)</x:f>
        <x:v>0.5480162492029697</x:v>
      </x:c>
      <x:c r="U81" s="62" t="n">
        <x:f>IF(R81=0,0,100*J81^2/R81^2)</x:f>
        <x:v>45.7687398907863</x:v>
      </x:c>
      <x:c r="V81" s="62" t="n">
        <x:f>IF(R81=0,0,100*N81^2/R81^2)</x:f>
        <x:v>53.66459449832771</x:v>
      </x:c>
      <x:c r="W81" s="60" t="str">
        <x:f>IF(AND(F81&gt;=J81,F81&gt;=N81),"X",IF(J81&gt;=N81,"Y","Z"))</x:f>
        <x:v>Z</x:v>
      </x:c>
      <x:c r="X81" s="61" t="n">
        <x:f>ABS(MOD(K81-O81+180,360)-180)</x:f>
        <x:v>20.810000000000002</x:v>
      </x:c>
      <x:c r="Y81" s="61" t="n">
        <x:v>268.05117</x:v>
      </x:c>
      <x:c r="Z81" s="61" t="n">
        <x:v>268.03383</x:v>
      </x:c>
      <x:c r="AA81" s="61" t="n">
        <x:v>268.0086</x:v>
      </x:c>
      <x:c r="AB81" s="61" t="n">
        <x:v>32.41</x:v>
      </x:c>
      <x:c r="AC81" s="60" t="n">
        <x:v>1</x:v>
      </x:c>
    </x:row>
    <x:row r="82">
      <x:c r="A82" s="60" t="n">
        <x:v>9</x:v>
      </x:c>
      <x:c r="B82" s="61" t="n">
        <x:v>270</x:v>
      </x:c>
      <x:c r="C82" s="61" t="n">
        <x:v>11</x:v>
      </x:c>
      <x:c r="D82" s="61" t="n">
        <x:v>270.1009</x:v>
      </x:c>
      <x:c r="E82" s="61" t="n">
        <x:v>0.1009</x:v>
      </x:c>
      <x:c r="F82" s="61" t="n">
        <x:v>0.13736</x:v>
      </x:c>
      <x:c r="G82" s="61" t="n">
        <x:v>26.84</x:v>
      </x:c>
      <x:c r="H82" s="61" t="n">
        <x:v>0.154</x:v>
      </x:c>
      <x:c r="I82" s="61" t="n">
        <x:v>34.02</x:v>
      </x:c>
      <x:c r="J82" s="61" t="n">
        <x:v>1.27775</x:v>
      </x:c>
      <x:c r="K82" s="61" t="n">
        <x:v>-4.25</x:v>
      </x:c>
      <x:c r="L82" s="61" t="n">
        <x:v>0.768</x:v>
      </x:c>
      <x:c r="M82" s="61" t="n">
        <x:v>1.68</x:v>
      </x:c>
      <x:c r="N82" s="61" t="n">
        <x:v>1.04761</x:v>
      </x:c>
      <x:c r="O82" s="61" t="n">
        <x:v>11.53</x:v>
      </x:c>
      <x:c r="P82" s="61" t="n">
        <x:v>0.865</x:v>
      </x:c>
      <x:c r="Q82" s="61" t="n">
        <x:v>2.83</x:v>
      </x:c>
      <x:c r="R82" s="61" t="n">
        <x:v>1.65873</x:v>
      </x:c>
      <x:c r="S82" s="61" t="n">
        <x:v>1.38</x:v>
      </x:c>
      <x:c r="T82" s="62" t="n">
        <x:f>IF(R82=0,0,100*F82^2/R82^2)</x:f>
        <x:v>0.6857552883375825</x:v>
      </x:c>
      <x:c r="U82" s="62" t="n">
        <x:f>IF(R82=0,0,100*J82^2/R82^2)</x:f>
        <x:v>59.33902148071691</x:v>
      </x:c>
      <x:c r="V82" s="62" t="n">
        <x:f>IF(R82=0,0,100*N82^2/R82^2)</x:f>
        <x:v>39.88851531782541</x:v>
      </x:c>
      <x:c r="W82" s="60" t="str">
        <x:f>IF(AND(F82&gt;=J82,F82&gt;=N82),"X",IF(J82&gt;=N82,"Y","Z"))</x:f>
        <x:v>Y</x:v>
      </x:c>
      <x:c r="X82" s="61" t="n">
        <x:f>ABS(MOD(K82-O82+180,360)-180)</x:f>
        <x:v>15.780000000000001</x:v>
      </x:c>
      <x:c r="Y82" s="61" t="n">
        <x:v>270.08971</x:v>
      </x:c>
      <x:c r="Z82" s="61" t="n">
        <x:v>270.10674</x:v>
      </x:c>
      <x:c r="AA82" s="61" t="n">
        <x:v>270.0927</x:v>
      </x:c>
      <x:c r="AB82" s="61" t="n">
        <x:v>35.89</x:v>
      </x:c>
      <x:c r="AC82" s="60" t="n">
        <x:v>1</x:v>
      </x:c>
    </x:row>
    <x:row r="83">
      <x:c r="A83" s="60" t="n">
        <x:v>9</x:v>
      </x:c>
      <x:c r="B83" s="61" t="n">
        <x:v>270</x:v>
      </x:c>
      <x:c r="C83" s="61" t="n">
        <x:v>12</x:v>
      </x:c>
      <x:c r="D83" s="61" t="n">
        <x:v>270.08157</x:v>
      </x:c>
      <x:c r="E83" s="61" t="n">
        <x:v>0.08157</x:v>
      </x:c>
      <x:c r="F83" s="61" t="n">
        <x:v>0.12442</x:v>
      </x:c>
      <x:c r="G83" s="61" t="n">
        <x:v>34.27</x:v>
      </x:c>
      <x:c r="H83" s="61" t="n">
        <x:v>0.136</x:v>
      </x:c>
      <x:c r="I83" s="61" t="n">
        <x:v>53.46</x:v>
      </x:c>
      <x:c r="J83" s="61" t="n">
        <x:v>1.33972</x:v>
      </x:c>
      <x:c r="K83" s="61" t="n">
        <x:v>-4.69</x:v>
      </x:c>
      <x:c r="L83" s="61" t="n">
        <x:v>0.778</x:v>
      </x:c>
      <x:c r="M83" s="61" t="n">
        <x:v>2.11</x:v>
      </x:c>
      <x:c r="N83" s="61" t="n">
        <x:v>1.15881</x:v>
      </x:c>
      <x:c r="O83" s="61" t="n">
        <x:v>11.57</x:v>
      </x:c>
      <x:c r="P83" s="61" t="n">
        <x:v>0.895</x:v>
      </x:c>
      <x:c r="Q83" s="61" t="n">
        <x:v>2.51</x:v>
      </x:c>
      <x:c r="R83" s="61" t="n">
        <x:v>1.77674</x:v>
      </x:c>
      <x:c r="S83" s="61" t="n">
        <x:v>2.19</x:v>
      </x:c>
      <x:c r="T83" s="62" t="n">
        <x:f>IF(R83=0,0,100*F83^2/R83^2)</x:f>
        <x:v>0.4903798703009897</x:v>
      </x:c>
      <x:c r="U83" s="62" t="n">
        <x:f>IF(R83=0,0,100*J83^2/R83^2)</x:f>
        <x:v>56.85652622533222</x:v>
      </x:c>
      <x:c r="V83" s="62" t="n">
        <x:f>IF(R83=0,0,100*N83^2/R83^2)</x:f>
        <x:v>42.537964947455464</x:v>
      </x:c>
      <x:c r="W83" s="60" t="str">
        <x:f>IF(AND(F83&gt;=J83,F83&gt;=N83),"X",IF(J83&gt;=N83,"Y","Z"))</x:f>
        <x:v>Y</x:v>
      </x:c>
      <x:c r="X83" s="61" t="n">
        <x:f>ABS(MOD(K83-O83+180,360)-180)</x:f>
        <x:v>16.25999999999999</x:v>
      </x:c>
      <x:c r="Y83" s="61" t="n">
        <x:v>269.9946</x:v>
      </x:c>
      <x:c r="Z83" s="61" t="n">
        <x:v>270.0811</x:v>
      </x:c>
      <x:c r="AA83" s="61" t="n">
        <x:v>270.08318</x:v>
      </x:c>
      <x:c r="AB83" s="61" t="n">
        <x:v>37.91</x:v>
      </x:c>
      <x:c r="AC83" s="60" t="n">
        <x:v>1</x:v>
      </x:c>
    </x:row>
    <x:row r="84">
      <x:c r="A84" s="60" t="n">
        <x:v>9</x:v>
      </x:c>
      <x:c r="B84" s="61" t="n">
        <x:v>270</x:v>
      </x:c>
      <x:c r="C84" s="61" t="n">
        <x:v>13</x:v>
      </x:c>
      <x:c r="D84" s="61" t="n">
        <x:v>270.08487</x:v>
      </x:c>
      <x:c r="E84" s="61" t="n">
        <x:v>0.08487</x:v>
      </x:c>
      <x:c r="F84" s="61" t="n">
        <x:v>0.11525</x:v>
      </x:c>
      <x:c r="G84" s="61" t="n">
        <x:v>40.49</x:v>
      </x:c>
      <x:c r="H84" s="61" t="n">
        <x:v>0.143</x:v>
      </x:c>
      <x:c r="I84" s="61" t="n">
        <x:v>8.73</x:v>
      </x:c>
      <x:c r="J84" s="61" t="n">
        <x:v>1.42415</x:v>
      </x:c>
      <x:c r="K84" s="61" t="n">
        <x:v>-6.15</x:v>
      </x:c>
      <x:c r="L84" s="61" t="n">
        <x:v>0.801</x:v>
      </x:c>
      <x:c r="M84" s="61" t="n">
        <x:v>2.57</x:v>
      </x:c>
      <x:c r="N84" s="61" t="n">
        <x:v>1.27323</x:v>
      </x:c>
      <x:c r="O84" s="61" t="n">
        <x:v>11.46</x:v>
      </x:c>
      <x:c r="P84" s="61" t="n">
        <x:v>0.902</x:v>
      </x:c>
      <x:c r="Q84" s="61" t="n">
        <x:v>1.28</x:v>
      </x:c>
      <x:c r="R84" s="61" t="n">
        <x:v>1.91408</x:v>
      </x:c>
      <x:c r="S84" s="61" t="n">
        <x:v>0.93</x:v>
      </x:c>
      <x:c r="T84" s="62" t="n">
        <x:f>IF(R84=0,0,100*F84^2/R84^2)</x:f>
        <x:v>0.3625448141439882</x:v>
      </x:c>
      <x:c r="U84" s="62" t="n">
        <x:f>IF(R84=0,0,100*J84^2/R84^2)</x:f>
        <x:v>55.35939020407398</x:v>
      </x:c>
      <x:c r="V84" s="62" t="n">
        <x:f>IF(R84=0,0,100*N84^2/R84^2)</x:f>
        <x:v>44.24799079927764</x:v>
      </x:c>
      <x:c r="W84" s="60" t="str">
        <x:f>IF(AND(F84&gt;=J84,F84&gt;=N84),"X",IF(J84&gt;=N84,"Y","Z"))</x:f>
        <x:v>Y</x:v>
      </x:c>
      <x:c r="X84" s="61" t="n">
        <x:f>ABS(MOD(K84-O84+180,360)-180)</x:f>
        <x:v>17.610000000000014</x:v>
      </x:c>
      <x:c r="Y84" s="61" t="n">
        <x:v>270.11982</x:v>
      </x:c>
      <x:c r="Z84" s="61" t="n">
        <x:v>270.07792</x:v>
      </x:c>
      <x:c r="AA84" s="61" t="n">
        <x:v>270.09406</x:v>
      </x:c>
      <x:c r="AB84" s="61" t="n">
        <x:v>35.93</x:v>
      </x:c>
      <x:c r="AC84" s="60" t="n">
        <x:v>1</x:v>
      </x:c>
    </x:row>
    <x:row r="85">
      <x:c r="A85" s="60" t="n">
        <x:v>9</x:v>
      </x:c>
      <x:c r="B85" s="61" t="n">
        <x:v>270</x:v>
      </x:c>
      <x:c r="C85" s="61" t="n">
        <x:v>14</x:v>
      </x:c>
      <x:c r="D85" s="61" t="n">
        <x:v>270.08516</x:v>
      </x:c>
      <x:c r="E85" s="61" t="n">
        <x:v>0.08516</x:v>
      </x:c>
      <x:c r="F85" s="61" t="n">
        <x:v>0.13547</x:v>
      </x:c>
      <x:c r="G85" s="61" t="n">
        <x:v>43.49</x:v>
      </x:c>
      <x:c r="H85" s="61" t="n">
        <x:v>0.149</x:v>
      </x:c>
      <x:c r="I85" s="61" t="n">
        <x:v>14.11</x:v>
      </x:c>
      <x:c r="J85" s="61" t="n">
        <x:v>1.54625</x:v>
      </x:c>
      <x:c r="K85" s="61" t="n">
        <x:v>-7.12</x:v>
      </x:c>
      <x:c r="L85" s="61" t="n">
        <x:v>0.8</x:v>
      </x:c>
      <x:c r="M85" s="61" t="n">
        <x:v>1.46</x:v>
      </x:c>
      <x:c r="N85" s="61" t="n">
        <x:v>1.35618</x:v>
      </x:c>
      <x:c r="O85" s="61" t="n">
        <x:v>11.27</x:v>
      </x:c>
      <x:c r="P85" s="61" t="n">
        <x:v>0.897</x:v>
      </x:c>
      <x:c r="Q85" s="61" t="n">
        <x:v>1.9</x:v>
      </x:c>
      <x:c r="R85" s="61" t="n">
        <x:v>2.06138</x:v>
      </x:c>
      <x:c r="S85" s="61" t="n">
        <x:v>1.1</x:v>
      </x:c>
      <x:c r="T85" s="62" t="n">
        <x:f>IF(R85=0,0,100*F85^2/R85^2)</x:f>
        <x:v>0.4318870135522007</x:v>
      </x:c>
      <x:c r="U85" s="62" t="n">
        <x:f>IF(R85=0,0,100*J85^2/R85^2)</x:f>
        <x:v>56.26564594709845</x:v>
      </x:c>
      <x:c r="V85" s="62" t="n">
        <x:f>IF(R85=0,0,100*N85^2/R85^2)</x:f>
        <x:v>43.28311959347402</x:v>
      </x:c>
      <x:c r="W85" s="60" t="str">
        <x:f>IF(AND(F85&gt;=J85,F85&gt;=N85),"X",IF(J85&gt;=N85,"Y","Z"))</x:f>
        <x:v>Y</x:v>
      </x:c>
      <x:c r="X85" s="61" t="n">
        <x:f>ABS(MOD(K85-O85+180,360)-180)</x:f>
        <x:v>18.389999999999986</x:v>
      </x:c>
      <x:c r="Y85" s="61" t="n">
        <x:v>270.0951</x:v>
      </x:c>
      <x:c r="Z85" s="61" t="n">
        <x:v>270.07981</x:v>
      </x:c>
      <x:c r="AA85" s="61" t="n">
        <x:v>270.09193</x:v>
      </x:c>
      <x:c r="AB85" s="61" t="n">
        <x:v>37.45</x:v>
      </x:c>
      <x:c r="AC85" s="60" t="n">
        <x:v>1</x:v>
      </x:c>
    </x:row>
    <x:row r="86">
      <x:c r="A86" s="60" t="n">
        <x:v>9</x:v>
      </x:c>
      <x:c r="B86" s="61" t="n">
        <x:v>270</x:v>
      </x:c>
      <x:c r="C86" s="61" t="n">
        <x:v>15</x:v>
      </x:c>
      <x:c r="D86" s="61" t="n">
        <x:v>270.09376</x:v>
      </x:c>
      <x:c r="E86" s="61" t="n">
        <x:v>0.09376</x:v>
      </x:c>
      <x:c r="F86" s="61" t="n">
        <x:v>0.14364</x:v>
      </x:c>
      <x:c r="G86" s="61" t="n">
        <x:v>40.24</x:v>
      </x:c>
      <x:c r="H86" s="61" t="n">
        <x:v>0.172</x:v>
      </x:c>
      <x:c r="I86" s="61" t="n">
        <x:v>27.14</x:v>
      </x:c>
      <x:c r="J86" s="61" t="n">
        <x:v>1.6695</x:v>
      </x:c>
      <x:c r="K86" s="61" t="n">
        <x:v>-7.19</x:v>
      </x:c>
      <x:c r="L86" s="61" t="n">
        <x:v>0.824</x:v>
      </x:c>
      <x:c r="M86" s="61" t="n">
        <x:v>1.47</x:v>
      </x:c>
      <x:c r="N86" s="61" t="n">
        <x:v>1.47208</x:v>
      </x:c>
      <x:c r="O86" s="61" t="n">
        <x:v>11.53</x:v>
      </x:c>
      <x:c r="P86" s="61" t="n">
        <x:v>0.901</x:v>
      </x:c>
      <x:c r="Q86" s="61" t="n">
        <x:v>1.16</x:v>
      </x:c>
      <x:c r="R86" s="61" t="n">
        <x:v>2.23076</x:v>
      </x:c>
      <x:c r="S86" s="61" t="n">
        <x:v>1.15</x:v>
      </x:c>
      <x:c r="T86" s="62" t="n">
        <x:f>IF(R86=0,0,100*F86^2/R86^2)</x:f>
        <x:v>0.4146150819916768</x:v>
      </x:c>
      <x:c r="U86" s="62" t="n">
        <x:f>IF(R86=0,0,100*J86^2/R86^2)</x:f>
        <x:v>56.010203395016745</x:v>
      </x:c>
      <x:c r="V86" s="62" t="n">
        <x:f>IF(R86=0,0,100*N86^2/R86^2)</x:f>
        <x:v>43.546888325654784</x:v>
      </x:c>
      <x:c r="W86" s="60" t="str">
        <x:f>IF(AND(F86&gt;=J86,F86&gt;=N86),"X",IF(J86&gt;=N86,"Y","Z"))</x:f>
        <x:v>Y</x:v>
      </x:c>
      <x:c r="X86" s="61" t="n">
        <x:f>ABS(MOD(K86-O86+180,360)-180)</x:f>
        <x:v>18.72</x:v>
      </x:c>
      <x:c r="Y86" s="61" t="n">
        <x:v>270.16403</x:v>
      </x:c>
      <x:c r="Z86" s="61" t="n">
        <x:v>270.09708</x:v>
      </x:c>
      <x:c r="AA86" s="61" t="n">
        <x:v>270.08883</x:v>
      </x:c>
      <x:c r="AB86" s="61" t="n">
        <x:v>39.67</x:v>
      </x:c>
      <x:c r="AC86" s="60" t="n">
        <x:v>1</x:v>
      </x:c>
    </x:row>
    <x:row r="87">
      <x:c r="A87" s="60" t="n">
        <x:v>9</x:v>
      </x:c>
      <x:c r="B87" s="61" t="n">
        <x:v>270</x:v>
      </x:c>
      <x:c r="C87" s="61" t="n">
        <x:v>16</x:v>
      </x:c>
      <x:c r="D87" s="61" t="n">
        <x:v>270.08809</x:v>
      </x:c>
      <x:c r="E87" s="61" t="n">
        <x:v>0.08809</x:v>
      </x:c>
      <x:c r="F87" s="61" t="n">
        <x:v>0.18212</x:v>
      </x:c>
      <x:c r="G87" s="61" t="n">
        <x:v>37.14</x:v>
      </x:c>
      <x:c r="H87" s="61" t="n">
        <x:v>0.225</x:v>
      </x:c>
      <x:c r="I87" s="61" t="n">
        <x:v>27.24</x:v>
      </x:c>
      <x:c r="J87" s="61" t="n">
        <x:v>1.76232</x:v>
      </x:c>
      <x:c r="K87" s="61" t="n">
        <x:v>-7.29</x:v>
      </x:c>
      <x:c r="L87" s="61" t="n">
        <x:v>0.855</x:v>
      </x:c>
      <x:c r="M87" s="61" t="n">
        <x:v>1.84</x:v>
      </x:c>
      <x:c r="N87" s="61" t="n">
        <x:v>1.58035</x:v>
      </x:c>
      <x:c r="O87" s="61" t="n">
        <x:v>12.29</x:v>
      </x:c>
      <x:c r="P87" s="61" t="n">
        <x:v>0.898</x:v>
      </x:c>
      <x:c r="Q87" s="61" t="n">
        <x:v>1.52</x:v>
      </x:c>
      <x:c r="R87" s="61" t="n">
        <x:v>2.3746</x:v>
      </x:c>
      <x:c r="S87" s="61" t="n">
        <x:v>1.49</x:v>
      </x:c>
      <x:c r="T87" s="62" t="n">
        <x:f>IF(R87=0,0,100*F87^2/R87^2)</x:f>
        <x:v>0.5882126448596051</x:v>
      </x:c>
      <x:c r="U87" s="62" t="n">
        <x:f>IF(R87=0,0,100*J87^2/R87^2)</x:f>
        <x:v>55.07932545518853</x:v>
      </x:c>
      <x:c r="V87" s="62" t="n">
        <x:f>IF(R87=0,0,100*N87^2/R87^2)</x:f>
        <x:v>44.292035019135426</x:v>
      </x:c>
      <x:c r="W87" s="60" t="str">
        <x:f>IF(AND(F87&gt;=J87,F87&gt;=N87),"X",IF(J87&gt;=N87,"Y","Z"))</x:f>
        <x:v>Y</x:v>
      </x:c>
      <x:c r="X87" s="61" t="n">
        <x:f>ABS(MOD(K87-O87+180,360)-180)</x:f>
        <x:v>19.579999999999984</x:v>
      </x:c>
      <x:c r="Y87" s="61" t="n">
        <x:v>270.18483</x:v>
      </x:c>
      <x:c r="Z87" s="61" t="n">
        <x:v>270.08886</x:v>
      </x:c>
      <x:c r="AA87" s="61" t="n">
        <x:v>270.08636</x:v>
      </x:c>
      <x:c r="AB87" s="61" t="n">
        <x:v>38.58</x:v>
      </x:c>
      <x:c r="AC87" s="60" t="n">
        <x:v>1</x:v>
      </x:c>
    </x:row>
    <x:row r="88">
      <x:c r="A88" s="60" t="n">
        <x:v>9</x:v>
      </x:c>
      <x:c r="B88" s="61" t="n">
        <x:v>270</x:v>
      </x:c>
      <x:c r="C88" s="61" t="n">
        <x:v>17</x:v>
      </x:c>
      <x:c r="D88" s="61" t="n">
        <x:v>270.08812</x:v>
      </x:c>
      <x:c r="E88" s="61" t="n">
        <x:v>0.08812</x:v>
      </x:c>
      <x:c r="F88" s="61" t="n">
        <x:v>0.18578</x:v>
      </x:c>
      <x:c r="G88" s="61" t="n">
        <x:v>34.26</x:v>
      </x:c>
      <x:c r="H88" s="61" t="n">
        <x:v>0.195</x:v>
      </x:c>
      <x:c r="I88" s="61" t="n">
        <x:v>31.12</x:v>
      </x:c>
      <x:c r="J88" s="61" t="n">
        <x:v>1.81568</x:v>
      </x:c>
      <x:c r="K88" s="61" t="n">
        <x:v>-7.75</x:v>
      </x:c>
      <x:c r="L88" s="61" t="n">
        <x:v>0.83</x:v>
      </x:c>
      <x:c r="M88" s="61" t="n">
        <x:v>0.97</x:v>
      </x:c>
      <x:c r="N88" s="61" t="n">
        <x:v>1.69306</x:v>
      </x:c>
      <x:c r="O88" s="61" t="n">
        <x:v>12.52</x:v>
      </x:c>
      <x:c r="P88" s="61" t="n">
        <x:v>0.896</x:v>
      </x:c>
      <x:c r="Q88" s="61" t="n">
        <x:v>1.4</x:v>
      </x:c>
      <x:c r="R88" s="61" t="n">
        <x:v>2.49008</x:v>
      </x:c>
      <x:c r="S88" s="61" t="n">
        <x:v>1.02</x:v>
      </x:c>
      <x:c r="T88" s="62" t="n">
        <x:f>IF(R88=0,0,100*F88^2/R88^2)</x:f>
        <x:v>0.556636033715859</x:v>
      </x:c>
      <x:c r="U88" s="62" t="n">
        <x:f>IF(R88=0,0,100*J88^2/R88^2)</x:f>
        <x:v>53.168207558883246</x:v>
      </x:c>
      <x:c r="V88" s="62" t="n">
        <x:f>IF(R88=0,0,100*N88^2/R88^2)</x:f>
        <x:v>46.22938311928795</x:v>
      </x:c>
      <x:c r="W88" s="60" t="str">
        <x:f>IF(AND(F88&gt;=J88,F88&gt;=N88),"X",IF(J88&gt;=N88,"Y","Z"))</x:f>
        <x:v>Y</x:v>
      </x:c>
      <x:c r="X88" s="61" t="n">
        <x:f>ABS(MOD(K88-O88+180,360)-180)</x:f>
        <x:v>20.27000000000001</x:v>
      </x:c>
      <x:c r="Y88" s="61" t="n">
        <x:v>270.10572</x:v>
      </x:c>
      <x:c r="Z88" s="61" t="n">
        <x:v>270.09124</x:v>
      </x:c>
      <x:c r="AA88" s="61" t="n">
        <x:v>270.08442</x:v>
      </x:c>
      <x:c r="AB88" s="61" t="n">
        <x:v>38.4</x:v>
      </x:c>
      <x:c r="AC88" s="60" t="n">
        <x:v>1</x:v>
      </x:c>
    </x:row>
    <x:row r="89">
      <x:c r="A89" s="60" t="n">
        <x:v>9</x:v>
      </x:c>
      <x:c r="B89" s="61" t="n">
        <x:v>270</x:v>
      </x:c>
      <x:c r="C89" s="61" t="n">
        <x:v>18</x:v>
      </x:c>
      <x:c r="D89" s="61" t="n">
        <x:v>270.08893</x:v>
      </x:c>
      <x:c r="E89" s="61" t="n">
        <x:v>0.08893</x:v>
      </x:c>
      <x:c r="F89" s="61" t="n">
        <x:v>0.17659</x:v>
      </x:c>
      <x:c r="G89" s="61" t="n">
        <x:v>45.99</x:v>
      </x:c>
      <x:c r="H89" s="61" t="n">
        <x:v>0.212</x:v>
      </x:c>
      <x:c r="I89" s="61" t="n">
        <x:v>55.19</x:v>
      </x:c>
      <x:c r="J89" s="61" t="n">
        <x:v>1.87606</x:v>
      </x:c>
      <x:c r="K89" s="61" t="n">
        <x:v>-9.33</x:v>
      </x:c>
      <x:c r="L89" s="61" t="n">
        <x:v>0.86</x:v>
      </x:c>
      <x:c r="M89" s="61" t="n">
        <x:v>1.65</x:v>
      </x:c>
      <x:c r="N89" s="61" t="n">
        <x:v>1.85503</x:v>
      </x:c>
      <x:c r="O89" s="61" t="n">
        <x:v>12.36</x:v>
      </x:c>
      <x:c r="P89" s="61" t="n">
        <x:v>0.909</x:v>
      </x:c>
      <x:c r="Q89" s="61" t="n">
        <x:v>1.01</x:v>
      </x:c>
      <x:c r="R89" s="61" t="n">
        <x:v>2.64568</x:v>
      </x:c>
      <x:c r="S89" s="61" t="n">
        <x:v>1.31</x:v>
      </x:c>
      <x:c r="T89" s="62" t="n">
        <x:f>IF(R89=0,0,100*F89^2/R89^2)</x:f>
        <x:v>0.44551013110337806</x:v>
      </x:c>
      <x:c r="U89" s="62" t="n">
        <x:f>IF(R89=0,0,100*J89^2/R89^2)</x:f>
        <x:v>50.282726560480256</x:v>
      </x:c>
      <x:c r="V89" s="62" t="n">
        <x:f>IF(R89=0,0,100*N89^2/R89^2)</x:f>
        <x:v>49.16174009471702</x:v>
      </x:c>
      <x:c r="W89" s="60" t="str">
        <x:f>IF(AND(F89&gt;=J89,F89&gt;=N89),"X",IF(J89&gt;=N89,"Y","Z"))</x:f>
        <x:v>Y</x:v>
      </x:c>
      <x:c r="X89" s="61" t="n">
        <x:f>ABS(MOD(K89-O89+180,360)-180)</x:f>
        <x:v>21.689999999999998</x:v>
      </x:c>
      <x:c r="Y89" s="61" t="n">
        <x:v>270.04845</x:v>
      </x:c>
      <x:c r="Z89" s="61" t="n">
        <x:v>270.08984</x:v>
      </x:c>
      <x:c r="AA89" s="61" t="n">
        <x:v>270.08835</x:v>
      </x:c>
      <x:c r="AB89" s="61" t="n">
        <x:v>39.32</x:v>
      </x:c>
      <x:c r="AC89" s="60" t="n">
        <x:v>1</x:v>
      </x:c>
    </x:row>
    <x:row r="90">
      <x:c r="A90" s="60" t="n">
        <x:v>9</x:v>
      </x:c>
      <x:c r="B90" s="61" t="n">
        <x:v>270</x:v>
      </x:c>
      <x:c r="C90" s="61" t="n">
        <x:v>19</x:v>
      </x:c>
      <x:c r="D90" s="61" t="n">
        <x:v>270.08466</x:v>
      </x:c>
      <x:c r="E90" s="61" t="n">
        <x:v>0.08466</x:v>
      </x:c>
      <x:c r="F90" s="61" t="n">
        <x:v>0.21338</x:v>
      </x:c>
      <x:c r="G90" s="61" t="n">
        <x:v>44.51</x:v>
      </x:c>
      <x:c r="H90" s="61" t="n">
        <x:v>0.216</x:v>
      </x:c>
      <x:c r="I90" s="61" t="n">
        <x:v>25.43</x:v>
      </x:c>
      <x:c r="J90" s="61" t="n">
        <x:v>1.9859</x:v>
      </x:c>
      <x:c r="K90" s="61" t="n">
        <x:v>-9.6</x:v>
      </x:c>
      <x:c r="L90" s="61" t="n">
        <x:v>0.861</x:v>
      </x:c>
      <x:c r="M90" s="61" t="n">
        <x:v>1.28</x:v>
      </x:c>
      <x:c r="N90" s="61" t="n">
        <x:v>2.03818</x:v>
      </x:c>
      <x:c r="O90" s="61" t="n">
        <x:v>12.07</x:v>
      </x:c>
      <x:c r="P90" s="61" t="n">
        <x:v>0.898</x:v>
      </x:c>
      <x:c r="Q90" s="61" t="n">
        <x:v>1.46</x:v>
      </x:c>
      <x:c r="R90" s="61" t="n">
        <x:v>2.85429</x:v>
      </x:c>
      <x:c r="S90" s="61" t="n">
        <x:v>0.49</x:v>
      </x:c>
      <x:c r="T90" s="62" t="n">
        <x:f>IF(R90=0,0,100*F90^2/R90^2)</x:f>
        <x:v>0.5588705562055402</x:v>
      </x:c>
      <x:c r="U90" s="62" t="n">
        <x:f>IF(R90=0,0,100*J90^2/R90^2)</x:f>
        <x:v>48.40815825148551</x:v>
      </x:c>
      <x:c r="V90" s="62" t="n">
        <x:f>IF(R90=0,0,100*N90^2/R90^2)</x:f>
        <x:v>50.990454076092504</x:v>
      </x:c>
      <x:c r="W90" s="60" t="str">
        <x:f>IF(AND(F90&gt;=J90,F90&gt;=N90),"X",IF(J90&gt;=N90,"Y","Z"))</x:f>
        <x:v>Z</x:v>
      </x:c>
      <x:c r="X90" s="61" t="n">
        <x:f>ABS(MOD(K90-O90+180,360)-180)</x:f>
        <x:v>21.670000000000016</x:v>
      </x:c>
      <x:c r="Y90" s="61" t="n">
        <x:v>270.06939</x:v>
      </x:c>
      <x:c r="Z90" s="61" t="n">
        <x:v>270.08713</x:v>
      </x:c>
      <x:c r="AA90" s="61" t="n">
        <x:v>270.08248</x:v>
      </x:c>
      <x:c r="AB90" s="61" t="n">
        <x:v>38.78</x:v>
      </x:c>
      <x:c r="AC90" s="60" t="n">
        <x:v>1</x:v>
      </x:c>
    </x:row>
    <x:row r="91">
      <x:c r="A91" s="60" t="n">
        <x:v>9</x:v>
      </x:c>
      <x:c r="B91" s="61" t="n">
        <x:v>270</x:v>
      </x:c>
      <x:c r="C91" s="61" t="n">
        <x:v>20</x:v>
      </x:c>
      <x:c r="D91" s="61" t="n">
        <x:v>270.0859</x:v>
      </x:c>
      <x:c r="E91" s="61" t="n">
        <x:v>0.0859</x:v>
      </x:c>
      <x:c r="F91" s="61" t="n">
        <x:v>0.24334</x:v>
      </x:c>
      <x:c r="G91" s="61" t="n">
        <x:v>28.21</x:v>
      </x:c>
      <x:c r="H91" s="61" t="n">
        <x:v>0.222</x:v>
      </x:c>
      <x:c r="I91" s="61" t="n">
        <x:v>17.35</x:v>
      </x:c>
      <x:c r="J91" s="61" t="n">
        <x:v>2.06291</x:v>
      </x:c>
      <x:c r="K91" s="61" t="n">
        <x:v>-10.6</x:v>
      </x:c>
      <x:c r="L91" s="61" t="n">
        <x:v>0.865</x:v>
      </x:c>
      <x:c r="M91" s="61" t="n">
        <x:v>1.4</x:v>
      </x:c>
      <x:c r="N91" s="61" t="n">
        <x:v>2.18618</x:v>
      </x:c>
      <x:c r="O91" s="61" t="n">
        <x:v>11.54</x:v>
      </x:c>
      <x:c r="P91" s="61" t="n">
        <x:v>0.905</x:v>
      </x:c>
      <x:c r="Q91" s="61" t="n">
        <x:v>1.95</x:v>
      </x:c>
      <x:c r="R91" s="61" t="n">
        <x:v>3.01612</x:v>
      </x:c>
      <x:c r="S91" s="61" t="n">
        <x:v>1.01</x:v>
      </x:c>
      <x:c r="T91" s="62" t="n">
        <x:f>IF(R91=0,0,100*F91^2/R91^2)</x:f>
        <x:v>0.6509232354885274</x:v>
      </x:c>
      <x:c r="U91" s="62" t="n">
        <x:f>IF(R91=0,0,100*J91^2/R91^2)</x:f>
        <x:v>46.78033519049364</x:v>
      </x:c>
      <x:c r="V91" s="62" t="n">
        <x:f>IF(R91=0,0,100*N91^2/R91^2)</x:f>
        <x:v>52.53812879544107</x:v>
      </x:c>
      <x:c r="W91" s="60" t="str">
        <x:f>IF(AND(F91&gt;=J91,F91&gt;=N91),"X",IF(J91&gt;=N91,"Y","Z"))</x:f>
        <x:v>Z</x:v>
      </x:c>
      <x:c r="X91" s="61" t="n">
        <x:f>ABS(MOD(K91-O91+180,360)-180)</x:f>
        <x:v>22.139999999999986</x:v>
      </x:c>
      <x:c r="Y91" s="61" t="n">
        <x:v>270.04676</x:v>
      </x:c>
      <x:c r="Z91" s="61" t="n">
        <x:v>270.09148</x:v>
      </x:c>
      <x:c r="AA91" s="61" t="n">
        <x:v>270.08207</x:v>
      </x:c>
      <x:c r="AB91" s="61" t="n">
        <x:v>38.08</x:v>
      </x:c>
      <x:c r="AC91" s="60" t="n">
        <x:v>1</x:v>
      </x:c>
    </x:row>
    <x:row r="92">
      <x:c r="A92" s="60" t="n">
        <x:v>10</x:v>
      </x:c>
      <x:c r="B92" s="61" t="n">
        <x:v>275</x:v>
      </x:c>
      <x:c r="C92" s="61" t="n">
        <x:v>11</x:v>
      </x:c>
      <x:c r="D92" s="61" t="n">
        <x:v>275.00281</x:v>
      </x:c>
      <x:c r="E92" s="61" t="n">
        <x:v>0.00281</x:v>
      </x:c>
      <x:c r="F92" s="61" t="n">
        <x:v>0.1067</x:v>
      </x:c>
      <x:c r="G92" s="61" t="n">
        <x:v>37.42</x:v>
      </x:c>
      <x:c r="H92" s="61" t="n">
        <x:v>0.134</x:v>
      </x:c>
      <x:c r="I92" s="61" t="n">
        <x:v>15</x:v>
      </x:c>
      <x:c r="J92" s="61" t="n">
        <x:v>1.41837</x:v>
      </x:c>
      <x:c r="K92" s="61" t="n">
        <x:v>-8.99</x:v>
      </x:c>
      <x:c r="L92" s="61" t="n">
        <x:v>0.813</x:v>
      </x:c>
      <x:c r="M92" s="61" t="n">
        <x:v>1.23</x:v>
      </x:c>
      <x:c r="N92" s="61" t="n">
        <x:v>1.10616</x:v>
      </x:c>
      <x:c r="O92" s="61" t="n">
        <x:v>7.17</x:v>
      </x:c>
      <x:c r="P92" s="61" t="n">
        <x:v>0.874</x:v>
      </x:c>
      <x:c r="Q92" s="61" t="n">
        <x:v>1.2</x:v>
      </x:c>
      <x:c r="R92" s="61" t="n">
        <x:v>1.80201</x:v>
      </x:c>
      <x:c r="S92" s="61" t="n">
        <x:v>0.66</x:v>
      </x:c>
      <x:c r="T92" s="62" t="n">
        <x:f>IF(R92=0,0,100*F92^2/R92^2)</x:f>
        <x:v>0.3506020454111363</x:v>
      </x:c>
      <x:c r="U92" s="62" t="n">
        <x:f>IF(R92=0,0,100*J92^2/R92^2)</x:f>
        <x:v>61.95333366356393</x:v>
      </x:c>
      <x:c r="V92" s="62" t="n">
        <x:f>IF(R92=0,0,100*N92^2/R92^2)</x:f>
        <x:v>37.68092073545384</x:v>
      </x:c>
      <x:c r="W92" s="60" t="str">
        <x:f>IF(AND(F92&gt;=J92,F92&gt;=N92),"X",IF(J92&gt;=N92,"Y","Z"))</x:f>
        <x:v>Y</x:v>
      </x:c>
      <x:c r="X92" s="61" t="n">
        <x:f>ABS(MOD(K92-O92+180,360)-180)</x:f>
        <x:v>16.159999999999997</x:v>
      </x:c>
      <x:c r="Y92" s="61" t="n">
        <x:v>275.07943</x:v>
      </x:c>
      <x:c r="Z92" s="61" t="n">
        <x:v>275.00423</x:v>
      </x:c>
      <x:c r="AA92" s="61" t="n">
        <x:v>274.99974</x:v>
      </x:c>
      <x:c r="AB92" s="61" t="n">
        <x:v>33.09</x:v>
      </x:c>
      <x:c r="AC92" s="60" t="n">
        <x:v>1</x:v>
      </x:c>
    </x:row>
    <x:row r="93">
      <x:c r="A93" s="60" t="n">
        <x:v>10</x:v>
      </x:c>
      <x:c r="B93" s="61" t="n">
        <x:v>275</x:v>
      </x:c>
      <x:c r="C93" s="61" t="n">
        <x:v>12</x:v>
      </x:c>
      <x:c r="D93" s="61" t="n">
        <x:v>274.99748</x:v>
      </x:c>
      <x:c r="E93" s="61" t="n">
        <x:v>-0.00252</x:v>
      </x:c>
      <x:c r="F93" s="61" t="n">
        <x:v>0.1221</x:v>
      </x:c>
      <x:c r="G93" s="61" t="n">
        <x:v>40.82</x:v>
      </x:c>
      <x:c r="H93" s="61" t="n">
        <x:v>0.141</x:v>
      </x:c>
      <x:c r="I93" s="61" t="n">
        <x:v>10.87</x:v>
      </x:c>
      <x:c r="J93" s="61" t="n">
        <x:v>1.54453</x:v>
      </x:c>
      <x:c r="K93" s="61" t="n">
        <x:v>-9.81</x:v>
      </x:c>
      <x:c r="L93" s="61" t="n">
        <x:v>0.816</x:v>
      </x:c>
      <x:c r="M93" s="61" t="n">
        <x:v>1.24</x:v>
      </x:c>
      <x:c r="N93" s="61" t="n">
        <x:v>1.21677</x:v>
      </x:c>
      <x:c r="O93" s="61" t="n">
        <x:v>7.9</x:v>
      </x:c>
      <x:c r="P93" s="61" t="n">
        <x:v>0.888</x:v>
      </x:c>
      <x:c r="Q93" s="61" t="n">
        <x:v>1.12</x:v>
      </x:c>
      <x:c r="R93" s="61" t="n">
        <x:v>1.97015</x:v>
      </x:c>
      <x:c r="S93" s="61" t="n">
        <x:v>0.48</x:v>
      </x:c>
      <x:c r="T93" s="62" t="n">
        <x:f>IF(R93=0,0,100*F93^2/R93^2)</x:f>
        <x:v>0.38408977152284524</x:v>
      </x:c>
      <x:c r="U93" s="62" t="n">
        <x:f>IF(R93=0,0,100*J93^2/R93^2)</x:f>
        <x:v>61.460219979163945</x:v>
      </x:c>
      <x:c r="V93" s="62" t="n">
        <x:f>IF(R93=0,0,100*N93^2/R93^2)</x:f>
        <x:v>38.14331204987347</x:v>
      </x:c>
      <x:c r="W93" s="60" t="str">
        <x:f>IF(AND(F93&gt;=J93,F93&gt;=N93),"X",IF(J93&gt;=N93,"Y","Z"))</x:f>
        <x:v>Y</x:v>
      </x:c>
      <x:c r="X93" s="61" t="n">
        <x:f>ABS(MOD(K93-O93+180,360)-180)</x:f>
        <x:v>17.710000000000008</x:v>
      </x:c>
      <x:c r="Y93" s="61" t="n">
        <x:v>275.05499</x:v>
      </x:c>
      <x:c r="Z93" s="61" t="n">
        <x:v>274.99738</x:v>
      </x:c>
      <x:c r="AA93" s="61" t="n">
        <x:v>274.99708</x:v>
      </x:c>
      <x:c r="AB93" s="61" t="n">
        <x:v>33.53</x:v>
      </x:c>
      <x:c r="AC93" s="60" t="n">
        <x:v>1</x:v>
      </x:c>
    </x:row>
    <x:row r="94">
      <x:c r="A94" s="60" t="n">
        <x:v>10</x:v>
      </x:c>
      <x:c r="B94" s="61" t="n">
        <x:v>275</x:v>
      </x:c>
      <x:c r="C94" s="61" t="n">
        <x:v>13</x:v>
      </x:c>
      <x:c r="D94" s="61" t="n">
        <x:v>274.99939</x:v>
      </x:c>
      <x:c r="E94" s="61" t="n">
        <x:v>-0.00061</x:v>
      </x:c>
      <x:c r="F94" s="61" t="n">
        <x:v>0.12493</x:v>
      </x:c>
      <x:c r="G94" s="61" t="n">
        <x:v>35.53</x:v>
      </x:c>
      <x:c r="H94" s="61" t="n">
        <x:v>0.16</x:v>
      </x:c>
      <x:c r="I94" s="61" t="n">
        <x:v>11.61</x:v>
      </x:c>
      <x:c r="J94" s="61" t="n">
        <x:v>1.66688</x:v>
      </x:c>
      <x:c r="K94" s="61" t="n">
        <x:v>-10.61</x:v>
      </x:c>
      <x:c r="L94" s="61" t="n">
        <x:v>0.843</x:v>
      </x:c>
      <x:c r="M94" s="61" t="n">
        <x:v>0.94</x:v>
      </x:c>
      <x:c r="N94" s="61" t="n">
        <x:v>1.35386</x:v>
      </x:c>
      <x:c r="O94" s="61" t="n">
        <x:v>8.33</x:v>
      </x:c>
      <x:c r="P94" s="61" t="n">
        <x:v>0.899</x:v>
      </x:c>
      <x:c r="Q94" s="61" t="n">
        <x:v>1.77</x:v>
      </x:c>
      <x:c r="R94" s="61" t="n">
        <x:v>2.15114</x:v>
      </x:c>
      <x:c r="S94" s="61" t="n">
        <x:v>1.11</x:v>
      </x:c>
      <x:c r="T94" s="62" t="n">
        <x:f>IF(R94=0,0,100*F94^2/R94^2)</x:f>
        <x:v>0.3372843015725286</x:v>
      </x:c>
      <x:c r="U94" s="62" t="n">
        <x:f>IF(R94=0,0,100*J94^2/R94^2)</x:f>
        <x:v>60.04423549250996</x:v>
      </x:c>
      <x:c r="V94" s="62" t="n">
        <x:f>IF(R94=0,0,100*N94^2/R94^2)</x:f>
        <x:v>39.610485210105686</x:v>
      </x:c>
      <x:c r="W94" s="60" t="str">
        <x:f>IF(AND(F94&gt;=J94,F94&gt;=N94),"X",IF(J94&gt;=N94,"Y","Z"))</x:f>
        <x:v>Y</x:v>
      </x:c>
      <x:c r="X94" s="61" t="n">
        <x:f>ABS(MOD(K94-O94+180,360)-180)</x:f>
        <x:v>18.939999999999998</x:v>
      </x:c>
      <x:c r="Y94" s="61" t="n">
        <x:v>274.96437</x:v>
      </x:c>
      <x:c r="Z94" s="61" t="n">
        <x:v>274.99886</x:v>
      </x:c>
      <x:c r="AA94" s="61" t="n">
        <x:v>275.00058</x:v>
      </x:c>
      <x:c r="AB94" s="61" t="n">
        <x:v>32.05</x:v>
      </x:c>
      <x:c r="AC94" s="60" t="n">
        <x:v>1</x:v>
      </x:c>
    </x:row>
    <x:row r="95">
      <x:c r="A95" s="60" t="n">
        <x:v>10</x:v>
      </x:c>
      <x:c r="B95" s="61" t="n">
        <x:v>275</x:v>
      </x:c>
      <x:c r="C95" s="61" t="n">
        <x:v>14</x:v>
      </x:c>
      <x:c r="D95" s="61" t="n">
        <x:v>275.0053</x:v>
      </x:c>
      <x:c r="E95" s="61" t="n">
        <x:v>0.0053</x:v>
      </x:c>
      <x:c r="F95" s="61" t="n">
        <x:v>0.14017</x:v>
      </x:c>
      <x:c r="G95" s="61" t="n">
        <x:v>43.31</x:v>
      </x:c>
      <x:c r="H95" s="61" t="n">
        <x:v>0.152</x:v>
      </x:c>
      <x:c r="I95" s="61" t="n">
        <x:v>10.63</x:v>
      </x:c>
      <x:c r="J95" s="61" t="n">
        <x:v>1.77786</x:v>
      </x:c>
      <x:c r="K95" s="61" t="n">
        <x:v>-10.94</x:v>
      </x:c>
      <x:c r="L95" s="61" t="n">
        <x:v>0.823</x:v>
      </x:c>
      <x:c r="M95" s="61" t="n">
        <x:v>0.45</x:v>
      </x:c>
      <x:c r="N95" s="61" t="n">
        <x:v>1.46533</x:v>
      </x:c>
      <x:c r="O95" s="61" t="n">
        <x:v>8.3</x:v>
      </x:c>
      <x:c r="P95" s="61" t="n">
        <x:v>0.895</x:v>
      </x:c>
      <x:c r="Q95" s="61" t="n">
        <x:v>1.45</x:v>
      </x:c>
      <x:c r="R95" s="61" t="n">
        <x:v>2.30825</x:v>
      </x:c>
      <x:c r="S95" s="61" t="n">
        <x:v>0.67</x:v>
      </x:c>
      <x:c r="T95" s="62" t="n">
        <x:f>IF(R95=0,0,100*F95^2/R95^2)</x:f>
        <x:v>0.3687605535402592</x:v>
      </x:c>
      <x:c r="U95" s="62" t="n">
        <x:f>IF(R95=0,0,100*J95^2/R95^2)</x:f>
        <x:v>59.323863818076155</x:v>
      </x:c>
      <x:c r="V95" s="62" t="n">
        <x:f>IF(R95=0,0,100*N95^2/R95^2)</x:f>
        <x:v>40.30001369575875</x:v>
      </x:c>
      <x:c r="W95" s="60" t="str">
        <x:f>IF(AND(F95&gt;=J95,F95&gt;=N95),"X",IF(J95&gt;=N95,"Y","Z"))</x:f>
        <x:v>Y</x:v>
      </x:c>
      <x:c r="X95" s="61" t="n">
        <x:f>ABS(MOD(K95-O95+180,360)-180)</x:f>
        <x:v>19.24000000000001</x:v>
      </x:c>
      <x:c r="Y95" s="61" t="n">
        <x:v>275.01849</x:v>
      </x:c>
      <x:c r="Z95" s="61" t="n">
        <x:v>275.00796</x:v>
      </x:c>
      <x:c r="AA95" s="61" t="n">
        <x:v>275.00125</x:v>
      </x:c>
      <x:c r="AB95" s="61" t="n">
        <x:v>34.02</x:v>
      </x:c>
      <x:c r="AC95" s="60" t="n">
        <x:v>1</x:v>
      </x:c>
    </x:row>
    <x:row r="96">
      <x:c r="A96" s="60" t="n">
        <x:v>10</x:v>
      </x:c>
      <x:c r="B96" s="61" t="n">
        <x:v>275</x:v>
      </x:c>
      <x:c r="C96" s="61" t="n">
        <x:v>15</x:v>
      </x:c>
      <x:c r="D96" s="61" t="n">
        <x:v>275.00106</x:v>
      </x:c>
      <x:c r="E96" s="61" t="n">
        <x:v>0.00106</x:v>
      </x:c>
      <x:c r="F96" s="61" t="n">
        <x:v>0.17726</x:v>
      </x:c>
      <x:c r="G96" s="61" t="n">
        <x:v>-6.4</x:v>
      </x:c>
      <x:c r="H96" s="61" t="n">
        <x:v>0.212</x:v>
      </x:c>
      <x:c r="I96" s="61" t="n">
        <x:v>9.12</x:v>
      </x:c>
      <x:c r="J96" s="61" t="n">
        <x:v>1.5062</x:v>
      </x:c>
      <x:c r="K96" s="61" t="n">
        <x:v>-22.14</x:v>
      </x:c>
      <x:c r="L96" s="61" t="n">
        <x:v>0.797</x:v>
      </x:c>
      <x:c r="M96" s="61" t="n">
        <x:v>9.44</x:v>
      </x:c>
      <x:c r="N96" s="61" t="n">
        <x:v>1.92496</x:v>
      </x:c>
      <x:c r="O96" s="61" t="n">
        <x:v>13.72</x:v>
      </x:c>
      <x:c r="P96" s="61" t="n">
        <x:v>0.881</x:v>
      </x:c>
      <x:c r="Q96" s="61" t="n">
        <x:v>7.1</x:v>
      </x:c>
      <x:c r="R96" s="61" t="n">
        <x:v>2.45679</x:v>
      </x:c>
      <x:c r="S96" s="61" t="n">
        <x:v>1.47</x:v>
      </x:c>
      <x:c r="T96" s="62" t="n">
        <x:f>IF(R96=0,0,100*F96^2/R96^2)</x:f>
        <x:v>0.5205775300689002</x:v>
      </x:c>
      <x:c r="U96" s="62" t="n">
        <x:f>IF(R96=0,0,100*J96^2/R96^2)</x:f>
        <x:v>37.586268783044524</x:v>
      </x:c>
      <x:c r="V96" s="62" t="n">
        <x:f>IF(R96=0,0,100*N96^2/R96^2)</x:f>
        <x:v>61.39137315945101</x:v>
      </x:c>
      <x:c r="W96" s="60" t="str">
        <x:f>IF(AND(F96&gt;=J96,F96&gt;=N96),"X",IF(J96&gt;=N96,"Y","Z"))</x:f>
        <x:v>Z</x:v>
      </x:c>
      <x:c r="X96" s="61" t="n">
        <x:f>ABS(MOD(K96-O96+180,360)-180)</x:f>
        <x:v>35.860000000000014</x:v>
      </x:c>
      <x:c r="Y96" s="61" t="n">
        <x:v>275.00117</x:v>
      </x:c>
      <x:c r="Z96" s="61" t="n">
        <x:v>275.00499</x:v>
      </x:c>
      <x:c r="AA96" s="61" t="n">
        <x:v>274.9998</x:v>
      </x:c>
      <x:c r="AB96" s="61" t="n">
        <x:v>35.04</x:v>
      </x:c>
      <x:c r="AC96" s="60" t="n">
        <x:v>1</x:v>
      </x:c>
    </x:row>
    <x:row r="97">
      <x:c r="A97" s="60" t="n">
        <x:v>10</x:v>
      </x:c>
      <x:c r="B97" s="61" t="n">
        <x:v>275</x:v>
      </x:c>
      <x:c r="C97" s="61" t="n">
        <x:v>16</x:v>
      </x:c>
      <x:c r="D97" s="61" t="n">
        <x:v>274.99655</x:v>
      </x:c>
      <x:c r="E97" s="61" t="n">
        <x:v>-0.00345</x:v>
      </x:c>
      <x:c r="F97" s="61" t="n">
        <x:v>0.17536</x:v>
      </x:c>
      <x:c r="G97" s="61" t="n">
        <x:v>41.01</x:v>
      </x:c>
      <x:c r="H97" s="61" t="n">
        <x:v>0.22</x:v>
      </x:c>
      <x:c r="I97" s="61" t="n">
        <x:v>12.67</x:v>
      </x:c>
      <x:c r="J97" s="61" t="n">
        <x:v>2.00142</x:v>
      </x:c>
      <x:c r="K97" s="61" t="n">
        <x:v>-13.84</x:v>
      </x:c>
      <x:c r="L97" s="61" t="n">
        <x:v>0.867</x:v>
      </x:c>
      <x:c r="M97" s="61" t="n">
        <x:v>1.61</x:v>
      </x:c>
      <x:c r="N97" s="61" t="n">
        <x:v>1.76287</x:v>
      </x:c>
      <x:c r="O97" s="61" t="n">
        <x:v>9.54</x:v>
      </x:c>
      <x:c r="P97" s="61" t="n">
        <x:v>0.91</x:v>
      </x:c>
      <x:c r="Q97" s="61" t="n">
        <x:v>0.79</x:v>
      </x:c>
      <x:c r="R97" s="61" t="n">
        <x:v>2.67302</x:v>
      </x:c>
      <x:c r="S97" s="61" t="n">
        <x:v>0.91</x:v>
      </x:c>
      <x:c r="T97" s="62" t="n">
        <x:f>IF(R97=0,0,100*F97^2/R97^2)</x:f>
        <x:v>0.43038453469774096</x:v>
      </x:c>
      <x:c r="U97" s="62" t="n">
        <x:f>IF(R97=0,0,100*J97^2/R97^2)</x:f>
        <x:v>56.062447565354574</x:v>
      </x:c>
      <x:c r="V97" s="62" t="n">
        <x:f>IF(R97=0,0,100*N97^2/R97^2)</x:f>
        <x:v>43.49468178357347</x:v>
      </x:c>
      <x:c r="W97" s="60" t="str">
        <x:f>IF(AND(F97&gt;=J97,F97&gt;=N97),"X",IF(J97&gt;=N97,"Y","Z"))</x:f>
        <x:v>Y</x:v>
      </x:c>
      <x:c r="X97" s="61" t="n">
        <x:f>ABS(MOD(K97-O97+180,360)-180)</x:f>
        <x:v>23.379999999999995</x:v>
      </x:c>
      <x:c r="Y97" s="61" t="n">
        <x:v>275.01101</x:v>
      </x:c>
      <x:c r="Z97" s="61" t="n">
        <x:v>274.99805</x:v>
      </x:c>
      <x:c r="AA97" s="61" t="n">
        <x:v>274.99453</x:v>
      </x:c>
      <x:c r="AB97" s="61" t="n">
        <x:v>36.49</x:v>
      </x:c>
      <x:c r="AC97" s="60" t="n">
        <x:v>1</x:v>
      </x:c>
    </x:row>
    <x:row r="98">
      <x:c r="A98" s="60" t="n">
        <x:v>10</x:v>
      </x:c>
      <x:c r="B98" s="61" t="n">
        <x:v>275</x:v>
      </x:c>
      <x:c r="C98" s="61" t="n">
        <x:v>17</x:v>
      </x:c>
      <x:c r="D98" s="61" t="n">
        <x:v>274.99914</x:v>
      </x:c>
      <x:c r="E98" s="61" t="n">
        <x:v>-0.00086</x:v>
      </x:c>
      <x:c r="F98" s="61" t="n">
        <x:v>0.17548</x:v>
      </x:c>
      <x:c r="G98" s="61" t="n">
        <x:v>36.91</x:v>
      </x:c>
      <x:c r="H98" s="61" t="n">
        <x:v>0.193</x:v>
      </x:c>
      <x:c r="I98" s="61" t="n">
        <x:v>6.91</x:v>
      </x:c>
      <x:c r="J98" s="61" t="n">
        <x:v>2.07816</x:v>
      </x:c>
      <x:c r="K98" s="61" t="n">
        <x:v>-15.42</x:v>
      </x:c>
      <x:c r="L98" s="61" t="n">
        <x:v>0.844</x:v>
      </x:c>
      <x:c r="M98" s="61" t="n">
        <x:v>0.45</x:v>
      </x:c>
      <x:c r="N98" s="61" t="n">
        <x:v>1.87245</x:v>
      </x:c>
      <x:c r="O98" s="61" t="n">
        <x:v>7.55</x:v>
      </x:c>
      <x:c r="P98" s="61" t="n">
        <x:v>0.909</x:v>
      </x:c>
      <x:c r="Q98" s="61" t="n">
        <x:v>1.53</x:v>
      </x:c>
      <x:c r="R98" s="61" t="n">
        <x:v>2.8029</x:v>
      </x:c>
      <x:c r="S98" s="61" t="n">
        <x:v>0.56</x:v>
      </x:c>
      <x:c r="T98" s="62" t="n">
        <x:f>IF(R98=0,0,100*F98^2/R98^2)</x:f>
        <x:v>0.39195846150694713</x:v>
      </x:c>
      <x:c r="U98" s="62" t="n">
        <x:f>IF(R98=0,0,100*J98^2/R98^2)</x:f>
        <x:v>54.97215414042642</x:v>
      </x:c>
      <x:c r="V98" s="62" t="n">
        <x:f>IF(R98=0,0,100*N98^2/R98^2)</x:f>
        <x:v>44.627776764762444</x:v>
      </x:c>
      <x:c r="W98" s="60" t="str">
        <x:f>IF(AND(F98&gt;=J98,F98&gt;=N98),"X",IF(J98&gt;=N98,"Y","Z"))</x:f>
        <x:v>Y</x:v>
      </x:c>
      <x:c r="X98" s="61" t="n">
        <x:f>ABS(MOD(K98-O98+180,360)-180)</x:f>
        <x:v>22.97</x:v>
      </x:c>
      <x:c r="Y98" s="61" t="n">
        <x:v>275.02267</x:v>
      </x:c>
      <x:c r="Z98" s="61" t="n">
        <x:v>274.99624</x:v>
      </x:c>
      <x:c r="AA98" s="61" t="n">
        <x:v>275.00252</x:v>
      </x:c>
      <x:c r="AB98" s="61" t="n">
        <x:v>36.31</x:v>
      </x:c>
      <x:c r="AC98" s="60" t="n">
        <x:v>1</x:v>
      </x:c>
    </x:row>
    <x:row r="99">
      <x:c r="A99" s="60" t="n">
        <x:v>10</x:v>
      </x:c>
      <x:c r="B99" s="61" t="n">
        <x:v>275</x:v>
      </x:c>
      <x:c r="C99" s="61" t="n">
        <x:v>18</x:v>
      </x:c>
      <x:c r="D99" s="61" t="n">
        <x:v>275.00321</x:v>
      </x:c>
      <x:c r="E99" s="61" t="n">
        <x:v>0.00321</x:v>
      </x:c>
      <x:c r="F99" s="61" t="n">
        <x:v>0.18834</x:v>
      </x:c>
      <x:c r="G99" s="61" t="n">
        <x:v>39.95</x:v>
      </x:c>
      <x:c r="H99" s="61" t="n">
        <x:v>0.217</x:v>
      </x:c>
      <x:c r="I99" s="61" t="n">
        <x:v>8.92</x:v>
      </x:c>
      <x:c r="J99" s="61" t="n">
        <x:v>2.13643</x:v>
      </x:c>
      <x:c r="K99" s="61" t="n">
        <x:v>-14.99</x:v>
      </x:c>
      <x:c r="L99" s="61" t="n">
        <x:v>0.868</x:v>
      </x:c>
      <x:c r="M99" s="61" t="n">
        <x:v>1.29</x:v>
      </x:c>
      <x:c r="N99" s="61" t="n">
        <x:v>2.01127</x:v>
      </x:c>
      <x:c r="O99" s="61" t="n">
        <x:v>9.3</x:v>
      </x:c>
      <x:c r="P99" s="61" t="n">
        <x:v>0.904</x:v>
      </x:c>
      <x:c r="Q99" s="61" t="n">
        <x:v>0.73</x:v>
      </x:c>
      <x:c r="R99" s="61" t="n">
        <x:v>2.94035</x:v>
      </x:c>
      <x:c r="S99" s="61" t="n">
        <x:v>0.71</x:v>
      </x:c>
      <x:c r="T99" s="62" t="n">
        <x:f>IF(R99=0,0,100*F99^2/R99^2)</x:f>
        <x:v>0.4102863552710414</x:v>
      </x:c>
      <x:c r="U99" s="62" t="n">
        <x:f>IF(R99=0,0,100*J99^2/R99^2)</x:f>
        <x:v>52.793356852979116</x:v>
      </x:c>
      <x:c r="V99" s="62" t="n">
        <x:f>IF(R99=0,0,100*N99^2/R99^2)</x:f>
        <x:v>46.78888472784392</x:v>
      </x:c>
      <x:c r="W99" s="60" t="str">
        <x:f>IF(AND(F99&gt;=J99,F99&gt;=N99),"X",IF(J99&gt;=N99,"Y","Z"))</x:f>
        <x:v>Y</x:v>
      </x:c>
      <x:c r="X99" s="61" t="n">
        <x:f>ABS(MOD(K99-O99+180,360)-180)</x:f>
        <x:v>24.289999999999992</x:v>
      </x:c>
      <x:c r="Y99" s="61" t="n">
        <x:v>275.0209</x:v>
      </x:c>
      <x:c r="Z99" s="61" t="n">
        <x:v>275.00463</x:v>
      </x:c>
      <x:c r="AA99" s="61" t="n">
        <x:v>275.00146</x:v>
      </x:c>
      <x:c r="AB99" s="61" t="n">
        <x:v>38.1</x:v>
      </x:c>
      <x:c r="AC99" s="60" t="n">
        <x:v>1</x:v>
      </x:c>
    </x:row>
    <x:row r="100">
      <x:c r="A100" s="60" t="n">
        <x:v>10</x:v>
      </x:c>
      <x:c r="B100" s="61" t="n">
        <x:v>275</x:v>
      </x:c>
      <x:c r="C100" s="61" t="n">
        <x:v>19</x:v>
      </x:c>
      <x:c r="D100" s="61" t="n">
        <x:v>275.00374</x:v>
      </x:c>
      <x:c r="E100" s="61" t="n">
        <x:v>0.00374</x:v>
      </x:c>
      <x:c r="F100" s="61" t="n">
        <x:v>0.21227</x:v>
      </x:c>
      <x:c r="G100" s="61" t="n">
        <x:v>33.72</x:v>
      </x:c>
      <x:c r="H100" s="61" t="n">
        <x:v>0.218</x:v>
      </x:c>
      <x:c r="I100" s="61" t="n">
        <x:v>12.73</x:v>
      </x:c>
      <x:c r="J100" s="61" t="n">
        <x:v>2.16844</x:v>
      </x:c>
      <x:c r="K100" s="61" t="n">
        <x:v>-16.41</x:v>
      </x:c>
      <x:c r="L100" s="61" t="n">
        <x:v>0.868</x:v>
      </x:c>
      <x:c r="M100" s="61" t="n">
        <x:v>0.36</x:v>
      </x:c>
      <x:c r="N100" s="61" t="n">
        <x:v>2.21489</x:v>
      </x:c>
      <x:c r="O100" s="61" t="n">
        <x:v>8.22</x:v>
      </x:c>
      <x:c r="P100" s="61" t="n">
        <x:v>0.899</x:v>
      </x:c>
      <x:c r="Q100" s="61" t="n">
        <x:v>0.6</x:v>
      </x:c>
      <x:c r="R100" s="61" t="n">
        <x:v>3.10703</x:v>
      </x:c>
      <x:c r="S100" s="61" t="n">
        <x:v>0.35</x:v>
      </x:c>
      <x:c r="T100" s="62" t="n">
        <x:f>IF(R100=0,0,100*F100^2/R100^2)</x:f>
        <x:v>0.4667521709225603</x:v>
      </x:c>
      <x:c r="U100" s="62" t="n">
        <x:f>IF(R100=0,0,100*J100^2/R100^2)</x:f>
        <x:v>48.708407025812704</x:v>
      </x:c>
      <x:c r="V100" s="62" t="n">
        <x:f>IF(R100=0,0,100*N100^2/R100^2)</x:f>
        <x:v>50.817515870540745</x:v>
      </x:c>
      <x:c r="W100" s="60" t="str">
        <x:f>IF(AND(F100&gt;=J100,F100&gt;=N100),"X",IF(J100&gt;=N100,"Y","Z"))</x:f>
        <x:v>Z</x:v>
      </x:c>
      <x:c r="X100" s="61" t="n">
        <x:f>ABS(MOD(K100-O100+180,360)-180)</x:f>
        <x:v>24.629999999999995</x:v>
      </x:c>
      <x:c r="Y100" s="61" t="n">
        <x:v>274.98559</x:v>
      </x:c>
      <x:c r="Z100" s="61" t="n">
        <x:v>275.00297</x:v>
      </x:c>
      <x:c r="AA100" s="61" t="n">
        <x:v>275.00465</x:v>
      </x:c>
      <x:c r="AB100" s="61" t="n">
        <x:v>37.28</x:v>
      </x:c>
      <x:c r="AC100" s="60" t="n">
        <x:v>1</x:v>
      </x:c>
    </x:row>
    <x:row r="101">
      <x:c r="A101" s="60" t="n">
        <x:v>10</x:v>
      </x:c>
      <x:c r="B101" s="61" t="n">
        <x:v>275</x:v>
      </x:c>
      <x:c r="C101" s="61" t="n">
        <x:v>20</x:v>
      </x:c>
      <x:c r="D101" s="61" t="n">
        <x:v>274.9974</x:v>
      </x:c>
      <x:c r="E101" s="61" t="n">
        <x:v>-0.0026</x:v>
      </x:c>
      <x:c r="F101" s="61" t="n">
        <x:v>0.22619</x:v>
      </x:c>
      <x:c r="G101" s="61" t="n">
        <x:v>34.09</x:v>
      </x:c>
      <x:c r="H101" s="61" t="n">
        <x:v>0.216</x:v>
      </x:c>
      <x:c r="I101" s="61" t="n">
        <x:v>14.79</x:v>
      </x:c>
      <x:c r="J101" s="61" t="n">
        <x:v>2.21536</x:v>
      </x:c>
      <x:c r="K101" s="61" t="n">
        <x:v>-16.38</x:v>
      </x:c>
      <x:c r="L101" s="61" t="n">
        <x:v>0.871</x:v>
      </x:c>
      <x:c r="M101" s="61" t="n">
        <x:v>1.15</x:v>
      </x:c>
      <x:c r="N101" s="61" t="n">
        <x:v>2.38177</x:v>
      </x:c>
      <x:c r="O101" s="61" t="n">
        <x:v>8.85</x:v>
      </x:c>
      <x:c r="P101" s="61" t="n">
        <x:v>0.895</x:v>
      </x:c>
      <x:c r="Q101" s="61" t="n">
        <x:v>0.32</x:v>
      </x:c>
      <x:c r="R101" s="61" t="n">
        <x:v>3.26083</x:v>
      </x:c>
      <x:c r="S101" s="61" t="n">
        <x:v>0.57</x:v>
      </x:c>
      <x:c r="T101" s="62" t="n">
        <x:f>IF(R101=0,0,100*F101^2/R101^2)</x:f>
        <x:v>0.4811610737383317</x:v>
      </x:c>
      <x:c r="U101" s="62" t="n">
        <x:f>IF(R101=0,0,100*J101^2/R101^2)</x:f>
        <x:v>46.15643992740763</x:v>
      </x:c>
      <x:c r="V101" s="62" t="n">
        <x:f>IF(R101=0,0,100*N101^2/R101^2)</x:f>
        <x:v>53.35109354497757</x:v>
      </x:c>
      <x:c r="W101" s="60" t="str">
        <x:f>IF(AND(F101&gt;=J101,F101&gt;=N101),"X",IF(J101&gt;=N101,"Y","Z"))</x:f>
        <x:v>Z</x:v>
      </x:c>
      <x:c r="X101" s="61" t="n">
        <x:f>ABS(MOD(K101-O101+180,360)-180)</x:f>
        <x:v>25.22999999999999</x:v>
      </x:c>
      <x:c r="Y101" s="61" t="n">
        <x:v>274.99523</x:v>
      </x:c>
      <x:c r="Z101" s="61" t="n">
        <x:v>274.99399</x:v>
      </x:c>
      <x:c r="AA101" s="61" t="n">
        <x:v>275.00024</x:v>
      </x:c>
      <x:c r="AB101" s="61" t="n">
        <x:v>32.62</x:v>
      </x:c>
      <x:c r="AC101" s="60" t="n">
        <x:v>1</x:v>
      </x:c>
    </x:row>
    <x:row r="102">
      <x:c r="A102" s="60" t="n">
        <x:v>11</x:v>
      </x:c>
      <x:c r="B102" s="61" t="n">
        <x:v>300</x:v>
      </x:c>
      <x:c r="C102" s="61" t="n">
        <x:v>11</x:v>
      </x:c>
      <x:c r="D102" s="61" t="n">
        <x:v>300.00162</x:v>
      </x:c>
      <x:c r="E102" s="61" t="n">
        <x:v>0.00162</x:v>
      </x:c>
      <x:c r="F102" s="61" t="n">
        <x:v>0.18459</x:v>
      </x:c>
      <x:c r="G102" s="61" t="n">
        <x:v>42.4</x:v>
      </x:c>
      <x:c r="H102" s="61" t="n">
        <x:v>0.231</x:v>
      </x:c>
      <x:c r="I102" s="61" t="n">
        <x:v>20.32</x:v>
      </x:c>
      <x:c r="J102" s="61" t="n">
        <x:v>2.16668</x:v>
      </x:c>
      <x:c r="K102" s="61" t="n">
        <x:v>-50.91</x:v>
      </x:c>
      <x:c r="L102" s="61" t="n">
        <x:v>0.884</x:v>
      </x:c>
      <x:c r="M102" s="61" t="n">
        <x:v>0.97</x:v>
      </x:c>
      <x:c r="N102" s="61" t="n">
        <x:v>1.70814</x:v>
      </x:c>
      <x:c r="O102" s="61" t="n">
        <x:v>-6.97</x:v>
      </x:c>
      <x:c r="P102" s="61" t="n">
        <x:v>0.897</x:v>
      </x:c>
      <x:c r="Q102" s="61" t="n">
        <x:v>1.52</x:v>
      </x:c>
      <x:c r="R102" s="61" t="n">
        <x:v>2.76548</x:v>
      </x:c>
      <x:c r="S102" s="61" t="n">
        <x:v>0.84</x:v>
      </x:c>
      <x:c r="T102" s="62" t="n">
        <x:f>IF(R102=0,0,100*F102^2/R102^2)</x:f>
        <x:v>0.44552829995596943</x:v>
      </x:c>
      <x:c r="U102" s="62" t="n">
        <x:f>IF(R102=0,0,100*J102^2/R102^2)</x:f>
        <x:v>61.38305581771384</x:v>
      </x:c>
      <x:c r="V102" s="62" t="n">
        <x:f>IF(R102=0,0,100*N102^2/R102^2)</x:f>
        <x:v>38.15099610095975</x:v>
      </x:c>
      <x:c r="W102" s="60" t="str">
        <x:f>IF(AND(F102&gt;=J102,F102&gt;=N102),"X",IF(J102&gt;=N102,"Y","Z"))</x:f>
        <x:v>Y</x:v>
      </x:c>
      <x:c r="X102" s="61" t="n">
        <x:f>ABS(MOD(K102-O102+180,360)-180)</x:f>
        <x:v>43.94</x:v>
      </x:c>
      <x:c r="Y102" s="61" t="n">
        <x:v>300.05048</x:v>
      </x:c>
      <x:c r="Z102" s="61" t="n">
        <x:v>300.00342</x:v>
      </x:c>
      <x:c r="AA102" s="61" t="n">
        <x:v>299.99826</x:v>
      </x:c>
      <x:c r="AB102" s="61" t="n">
        <x:v>40.73</x:v>
      </x:c>
      <x:c r="AC102" s="60" t="n">
        <x:v>1</x:v>
      </x:c>
    </x:row>
    <x:row r="103">
      <x:c r="A103" s="60" t="n">
        <x:v>11</x:v>
      </x:c>
      <x:c r="B103" s="61" t="n">
        <x:v>300</x:v>
      </x:c>
      <x:c r="C103" s="61" t="n">
        <x:v>12</x:v>
      </x:c>
      <x:c r="D103" s="61" t="n">
        <x:v>300.00073</x:v>
      </x:c>
      <x:c r="E103" s="61" t="n">
        <x:v>0.00073</x:v>
      </x:c>
      <x:c r="F103" s="61" t="n">
        <x:v>0.2044</x:v>
      </x:c>
      <x:c r="G103" s="61" t="n">
        <x:v>34.91</x:v>
      </x:c>
      <x:c r="H103" s="61" t="n">
        <x:v>0.226</x:v>
      </x:c>
      <x:c r="I103" s="61" t="n">
        <x:v>15.94</x:v>
      </x:c>
      <x:c r="J103" s="61" t="n">
        <x:v>2.25963</x:v>
      </x:c>
      <x:c r="K103" s="61" t="n">
        <x:v>-51.71</x:v>
      </x:c>
      <x:c r="L103" s="61" t="n">
        <x:v>0.887</x:v>
      </x:c>
      <x:c r="M103" s="61" t="n">
        <x:v>1.62</x:v>
      </x:c>
      <x:c r="N103" s="61" t="n">
        <x:v>1.98811</x:v>
      </x:c>
      <x:c r="O103" s="61" t="n">
        <x:v>-5.13</x:v>
      </x:c>
      <x:c r="P103" s="61" t="n">
        <x:v>0.906</x:v>
      </x:c>
      <x:c r="Q103" s="61" t="n">
        <x:v>1.76</x:v>
      </x:c>
      <x:c r="R103" s="61" t="n">
        <x:v>3.01707</x:v>
      </x:c>
      <x:c r="S103" s="61" t="n">
        <x:v>0.8</x:v>
      </x:c>
      <x:c r="T103" s="62" t="n">
        <x:f>IF(R103=0,0,100*F103^2/R103^2)</x:f>
        <x:v>0.4589770919168715</x:v>
      </x:c>
      <x:c r="U103" s="62" t="n">
        <x:f>IF(R103=0,0,100*J103^2/R103^2)</x:f>
        <x:v>56.092383038420294</x:v>
      </x:c>
      <x:c r="V103" s="62" t="n">
        <x:f>IF(R103=0,0,100*N103^2/R103^2)</x:f>
        <x:v>43.42202235101869</x:v>
      </x:c>
      <x:c r="W103" s="60" t="str">
        <x:f>IF(AND(F103&gt;=J103,F103&gt;=N103),"X",IF(J103&gt;=N103,"Y","Z"))</x:f>
        <x:v>Y</x:v>
      </x:c>
      <x:c r="X103" s="61" t="n">
        <x:f>ABS(MOD(K103-O103+180,360)-180)</x:f>
        <x:v>46.579999999999984</x:v>
      </x:c>
      <x:c r="Y103" s="61" t="n">
        <x:v>299.96484</x:v>
      </x:c>
      <x:c r="Z103" s="61" t="n">
        <x:v>299.99684</x:v>
      </x:c>
      <x:c r="AA103" s="61" t="n">
        <x:v>300.00597</x:v>
      </x:c>
      <x:c r="AB103" s="61" t="n">
        <x:v>39.88</x:v>
      </x:c>
      <x:c r="AC103" s="60" t="n">
        <x:v>1</x:v>
      </x:c>
    </x:row>
    <x:row r="104">
      <x:c r="A104" s="60" t="n">
        <x:v>11</x:v>
      </x:c>
      <x:c r="B104" s="61" t="n">
        <x:v>300</x:v>
      </x:c>
      <x:c r="C104" s="61" t="n">
        <x:v>13</x:v>
      </x:c>
      <x:c r="D104" s="61" t="n">
        <x:v>299.99755</x:v>
      </x:c>
      <x:c r="E104" s="61" t="n">
        <x:v>-0.00245</x:v>
      </x:c>
      <x:c r="F104" s="61" t="n">
        <x:v>0.24037</x:v>
      </x:c>
      <x:c r="G104" s="61" t="n">
        <x:v>33</x:v>
      </x:c>
      <x:c r="H104" s="61" t="n">
        <x:v>0.336</x:v>
      </x:c>
      <x:c r="I104" s="61" t="n">
        <x:v>5.39</x:v>
      </x:c>
      <x:c r="J104" s="61" t="n">
        <x:v>2.27365</x:v>
      </x:c>
      <x:c r="K104" s="61" t="n">
        <x:v>-53.21</x:v>
      </x:c>
      <x:c r="L104" s="61" t="n">
        <x:v>0.903</x:v>
      </x:c>
      <x:c r="M104" s="61" t="n">
        <x:v>0.38</x:v>
      </x:c>
      <x:c r="N104" s="61" t="n">
        <x:v>2.28648</x:v>
      </x:c>
      <x:c r="O104" s="61" t="n">
        <x:v>-5.63</x:v>
      </x:c>
      <x:c r="P104" s="61" t="n">
        <x:v>0.906</x:v>
      </x:c>
      <x:c r="Q104" s="61" t="n">
        <x:v>0.5</x:v>
      </x:c>
      <x:c r="R104" s="61" t="n">
        <x:v>3.2335</x:v>
      </x:c>
      <x:c r="S104" s="61" t="n">
        <x:v>0.2</x:v>
      </x:c>
      <x:c r="T104" s="62" t="n">
        <x:f>IF(R104=0,0,100*F104^2/R104^2)</x:f>
        <x:v>0.5526049825009937</x:v>
      </x:c>
      <x:c r="U104" s="62" t="n">
        <x:f>IF(R104=0,0,100*J104^2/R104^2)</x:f>
        <x:v>49.44262179251735</x:v>
      </x:c>
      <x:c r="V104" s="62" t="n">
        <x:f>IF(R104=0,0,100*N104^2/R104^2)</x:f>
        <x:v>50.00219659424474</x:v>
      </x:c>
      <x:c r="W104" s="60" t="str">
        <x:f>IF(AND(F104&gt;=J104,F104&gt;=N104),"X",IF(J104&gt;=N104,"Y","Z"))</x:f>
        <x:v>Z</x:v>
      </x:c>
      <x:c r="X104" s="61" t="n">
        <x:f>ABS(MOD(K104-O104+180,360)-180)</x:f>
        <x:v>47.579999999999984</x:v>
      </x:c>
      <x:c r="Y104" s="61" t="n">
        <x:v>300.00332</x:v>
      </x:c>
      <x:c r="Z104" s="61" t="n">
        <x:v>299.99696</x:v>
      </x:c>
      <x:c r="AA104" s="61" t="n">
        <x:v>299.99806</x:v>
      </x:c>
      <x:c r="AB104" s="61" t="n">
        <x:v>44.16</x:v>
      </x:c>
      <x:c r="AC104" s="60" t="n">
        <x:v>1</x:v>
      </x:c>
    </x:row>
    <x:row r="105">
      <x:c r="A105" s="60" t="n">
        <x:v>11</x:v>
      </x:c>
      <x:c r="B105" s="61" t="n">
        <x:v>300</x:v>
      </x:c>
      <x:c r="C105" s="61" t="n">
        <x:v>14</x:v>
      </x:c>
      <x:c r="D105" s="61" t="n">
        <x:v>299.99913</x:v>
      </x:c>
      <x:c r="E105" s="61" t="n">
        <x:v>-0.00087</x:v>
      </x:c>
      <x:c r="F105" s="61" t="n">
        <x:v>0.27389</x:v>
      </x:c>
      <x:c r="G105" s="61" t="n">
        <x:v>37.01</x:v>
      </x:c>
      <x:c r="H105" s="61" t="n">
        <x:v>0.299</x:v>
      </x:c>
      <x:c r="I105" s="61" t="n">
        <x:v>14.57</x:v>
      </x:c>
      <x:c r="J105" s="61" t="n">
        <x:v>2.27759</x:v>
      </x:c>
      <x:c r="K105" s="61" t="n">
        <x:v>-53.23</x:v>
      </x:c>
      <x:c r="L105" s="61" t="n">
        <x:v>0.883</x:v>
      </x:c>
      <x:c r="M105" s="61" t="n">
        <x:v>0.68</x:v>
      </x:c>
      <x:c r="N105" s="61" t="n">
        <x:v>2.5907</x:v>
      </x:c>
      <x:c r="O105" s="61" t="n">
        <x:v>-3.6</x:v>
      </x:c>
      <x:c r="P105" s="61" t="n">
        <x:v>0.912</x:v>
      </x:c>
      <x:c r="Q105" s="61" t="n">
        <x:v>0.86</x:v>
      </x:c>
      <x:c r="R105" s="61" t="n">
        <x:v>3.46063</x:v>
      </x:c>
      <x:c r="S105" s="61" t="n">
        <x:v>0.29</x:v>
      </x:c>
      <x:c r="T105" s="62" t="n">
        <x:f>IF(R105=0,0,100*F105^2/R105^2)</x:f>
        <x:v>0.6263859608700929</x:v>
      </x:c>
      <x:c r="U105" s="62" t="n">
        <x:f>IF(R105=0,0,100*J105^2/R105^2)</x:f>
        <x:v>43.315243282732844</x:v>
      </x:c>
      <x:c r="V105" s="62" t="n">
        <x:f>IF(R105=0,0,100*N105^2/R105^2)</x:f>
        <x:v>56.04332756403113</x:v>
      </x:c>
      <x:c r="W105" s="60" t="str">
        <x:f>IF(AND(F105&gt;=J105,F105&gt;=N105),"X",IF(J105&gt;=N105,"Y","Z"))</x:f>
        <x:v>Z</x:v>
      </x:c>
      <x:c r="X105" s="61" t="n">
        <x:f>ABS(MOD(K105-O105+180,360)-180)</x:f>
        <x:v>49.629999999999995</x:v>
      </x:c>
      <x:c r="Y105" s="61" t="n">
        <x:v>299.97412</x:v>
      </x:c>
      <x:c r="Z105" s="61" t="n">
        <x:v>299.99733</x:v>
      </x:c>
      <x:c r="AA105" s="61" t="n">
        <x:v>300.00076</x:v>
      </x:c>
      <x:c r="AB105" s="61" t="n">
        <x:v>43.2</x:v>
      </x:c>
      <x:c r="AC105" s="60" t="n">
        <x:v>1</x:v>
      </x:c>
    </x:row>
    <x:row r="106">
      <x:c r="A106" s="60" t="n">
        <x:v>11</x:v>
      </x:c>
      <x:c r="B106" s="61" t="n">
        <x:v>300</x:v>
      </x:c>
      <x:c r="C106" s="61" t="n">
        <x:v>15</x:v>
      </x:c>
      <x:c r="D106" s="61" t="n">
        <x:v>299.9998</x:v>
      </x:c>
      <x:c r="E106" s="61" t="n">
        <x:v>-0.0002</x:v>
      </x:c>
      <x:c r="F106" s="61" t="n">
        <x:v>0.29125</x:v>
      </x:c>
      <x:c r="G106" s="61" t="n">
        <x:v>28.55</x:v>
      </x:c>
      <x:c r="H106" s="61" t="n">
        <x:v>0.3</x:v>
      </x:c>
      <x:c r="I106" s="61" t="n">
        <x:v>16</x:v>
      </x:c>
      <x:c r="J106" s="61" t="n">
        <x:v>2.34385</x:v>
      </x:c>
      <x:c r="K106" s="61" t="n">
        <x:v>-53.41</x:v>
      </x:c>
      <x:c r="L106" s="61" t="n">
        <x:v>0.885</x:v>
      </x:c>
      <x:c r="M106" s="61" t="n">
        <x:v>1.54</x:v>
      </x:c>
      <x:c r="N106" s="61" t="n">
        <x:v>2.93343</x:v>
      </x:c>
      <x:c r="O106" s="61" t="n">
        <x:v>-3.26</x:v>
      </x:c>
      <x:c r="P106" s="61" t="n">
        <x:v>0.907</x:v>
      </x:c>
      <x:c r="Q106" s="61" t="n">
        <x:v>0.76</x:v>
      </x:c>
      <x:c r="R106" s="61" t="n">
        <x:v>3.76649</x:v>
      </x:c>
      <x:c r="S106" s="61" t="n">
        <x:v>0.48</x:v>
      </x:c>
      <x:c r="T106" s="62" t="n">
        <x:f>IF(R106=0,0,100*F106^2/R106^2)</x:f>
        <x:v>0.5979408584669209</x:v>
      </x:c>
      <x:c r="U106" s="62" t="n">
        <x:f>IF(R106=0,0,100*J106^2/R106^2)</x:f>
        <x:v>38.72451540150179</x:v>
      </x:c>
      <x:c r="V106" s="62" t="n">
        <x:f>IF(R106=0,0,100*N106^2/R106^2)</x:f>
        <x:v>60.65656618154352</x:v>
      </x:c>
      <x:c r="W106" s="60" t="str">
        <x:f>IF(AND(F106&gt;=J106,F106&gt;=N106),"X",IF(J106&gt;=N106,"Y","Z"))</x:f>
        <x:v>Z</x:v>
      </x:c>
      <x:c r="X106" s="61" t="n">
        <x:f>ABS(MOD(K106-O106+180,360)-180)</x:f>
        <x:v>50.150000000000006</x:v>
      </x:c>
      <x:c r="Y106" s="61" t="n">
        <x:v>300.00021</x:v>
      </x:c>
      <x:c r="Z106" s="61" t="n">
        <x:v>300.0031</x:v>
      </x:c>
      <x:c r="AA106" s="61" t="n">
        <x:v>299.99765</x:v>
      </x:c>
      <x:c r="AB106" s="61" t="n">
        <x:v>43.33</x:v>
      </x:c>
      <x:c r="AC106" s="60" t="n">
        <x:v>1</x:v>
      </x:c>
    </x:row>
    <x:row r="107">
      <x:c r="A107" s="60" t="n">
        <x:v>11</x:v>
      </x:c>
      <x:c r="B107" s="61" t="n">
        <x:v>300</x:v>
      </x:c>
      <x:c r="C107" s="61" t="n">
        <x:v>16</x:v>
      </x:c>
      <x:c r="D107" s="61" t="n">
        <x:v>300.00111</x:v>
      </x:c>
      <x:c r="E107" s="61" t="n">
        <x:v>0.00111</x:v>
      </x:c>
      <x:c r="F107" s="61" t="n">
        <x:v>0.29964</x:v>
      </x:c>
      <x:c r="G107" s="61" t="n">
        <x:v>30.36</x:v>
      </x:c>
      <x:c r="H107" s="61" t="n">
        <x:v>0.323</x:v>
      </x:c>
      <x:c r="I107" s="61" t="n">
        <x:v>5.37</x:v>
      </x:c>
      <x:c r="J107" s="61" t="n">
        <x:v>2.45281</x:v>
      </x:c>
      <x:c r="K107" s="61" t="n">
        <x:v>-51.91</x:v>
      </x:c>
      <x:c r="L107" s="61" t="n">
        <x:v>0.888</x:v>
      </x:c>
      <x:c r="M107" s="61" t="n">
        <x:v>0.98</x:v>
      </x:c>
      <x:c r="N107" s="61" t="n">
        <x:v>3.07041</x:v>
      </x:c>
      <x:c r="O107" s="61" t="n">
        <x:v>-3.13</x:v>
      </x:c>
      <x:c r="P107" s="61" t="n">
        <x:v>0.91</x:v>
      </x:c>
      <x:c r="Q107" s="61" t="n">
        <x:v>1.23</x:v>
      </x:c>
      <x:c r="R107" s="61" t="n">
        <x:v>3.94142</x:v>
      </x:c>
      <x:c r="S107" s="61" t="n">
        <x:v>0.59</x:v>
      </x:c>
      <x:c r="T107" s="62" t="n">
        <x:f>IF(R107=0,0,100*F107^2/R107^2)</x:f>
        <x:v>0.5779551590844345</x:v>
      </x:c>
      <x:c r="U107" s="62" t="n">
        <x:f>IF(R107=0,0,100*J107^2/R107^2)</x:f>
        <x:v>38.72776053042544</x:v>
      </x:c>
      <x:c r="V107" s="62" t="n">
        <x:f>IF(R107=0,0,100*N107^2/R107^2)</x:f>
        <x:v>60.68583216879152</x:v>
      </x:c>
      <x:c r="W107" s="60" t="str">
        <x:f>IF(AND(F107&gt;=J107,F107&gt;=N107),"X",IF(J107&gt;=N107,"Y","Z"))</x:f>
        <x:v>Z</x:v>
      </x:c>
      <x:c r="X107" s="61" t="n">
        <x:f>ABS(MOD(K107-O107+180,360)-180)</x:f>
        <x:v>48.78</x:v>
      </x:c>
      <x:c r="Y107" s="61" t="n">
        <x:v>299.99036</x:v>
      </x:c>
      <x:c r="Z107" s="61" t="n">
        <x:v>300.00363</x:v>
      </x:c>
      <x:c r="AA107" s="61" t="n">
        <x:v>299.99982</x:v>
      </x:c>
      <x:c r="AB107" s="61" t="n">
        <x:v>43.5</x:v>
      </x:c>
      <x:c r="AC107" s="60" t="n">
        <x:v>1</x:v>
      </x:c>
    </x:row>
    <x:row r="108">
      <x:c r="A108" s="60" t="n">
        <x:v>11</x:v>
      </x:c>
      <x:c r="B108" s="61" t="n">
        <x:v>300</x:v>
      </x:c>
      <x:c r="C108" s="61" t="n">
        <x:v>17</x:v>
      </x:c>
      <x:c r="D108" s="61" t="n">
        <x:v>299.99902</x:v>
      </x:c>
      <x:c r="E108" s="61" t="n">
        <x:v>-0.00098</x:v>
      </x:c>
      <x:c r="F108" s="61" t="n">
        <x:v>0.28918</x:v>
      </x:c>
      <x:c r="G108" s="61" t="n">
        <x:v>34.37</x:v>
      </x:c>
      <x:c r="H108" s="61" t="n">
        <x:v>0.33</x:v>
      </x:c>
      <x:c r="I108" s="61" t="n">
        <x:v>8.96</x:v>
      </x:c>
      <x:c r="J108" s="61" t="n">
        <x:v>2.52293</x:v>
      </x:c>
      <x:c r="K108" s="61" t="n">
        <x:v>-53.03</x:v>
      </x:c>
      <x:c r="L108" s="61" t="n">
        <x:v>0.885</x:v>
      </x:c>
      <x:c r="M108" s="61" t="n">
        <x:v>0.67</x:v>
      </x:c>
      <x:c r="N108" s="61" t="n">
        <x:v>3.08798</x:v>
      </x:c>
      <x:c r="O108" s="61" t="n">
        <x:v>-3.56</x:v>
      </x:c>
      <x:c r="P108" s="61" t="n">
        <x:v>0.913</x:v>
      </x:c>
      <x:c r="Q108" s="61" t="n">
        <x:v>6.02</x:v>
      </x:c>
      <x:c r="R108" s="61" t="n">
        <x:v>3.99926</x:v>
      </x:c>
      <x:c r="S108" s="61" t="n">
        <x:v>3.83</x:v>
      </x:c>
      <x:c r="T108" s="62" t="n">
        <x:f>IF(R108=0,0,100*F108^2/R108^2)</x:f>
        <x:v>0.522850139156942</x:v>
      </x:c>
      <x:c r="U108" s="62" t="n">
        <x:f>IF(R108=0,0,100*J108^2/R108^2)</x:f>
        <x:v>39.79707221028802</x:v>
      </x:c>
      <x:c r="V108" s="62" t="n">
        <x:f>IF(R108=0,0,100*N108^2/R108^2)</x:f>
        <x:v>59.619685245557136</x:v>
      </x:c>
      <x:c r="W108" s="60" t="str">
        <x:f>IF(AND(F108&gt;=J108,F108&gt;=N108),"X",IF(J108&gt;=N108,"Y","Z"))</x:f>
        <x:v>Z</x:v>
      </x:c>
      <x:c r="X108" s="61" t="n">
        <x:f>ABS(MOD(K108-O108+180,360)-180)</x:f>
        <x:v>49.47</x:v>
      </x:c>
      <x:c r="Y108" s="61" t="n">
        <x:v>299.98681</x:v>
      </x:c>
      <x:c r="Z108" s="61" t="n">
        <x:v>300.00137</x:v>
      </x:c>
      <x:c r="AA108" s="61" t="n">
        <x:v>299.99725</x:v>
      </x:c>
      <x:c r="AB108" s="61" t="n">
        <x:v>40.89</x:v>
      </x:c>
      <x:c r="AC108" s="60" t="n">
        <x:v>1</x:v>
      </x:c>
    </x:row>
    <x:row r="109">
      <x:c r="A109" s="60" t="n">
        <x:v>11</x:v>
      </x:c>
      <x:c r="B109" s="61" t="n">
        <x:v>300</x:v>
      </x:c>
      <x:c r="C109" s="61" t="n">
        <x:v>18</x:v>
      </x:c>
      <x:c r="D109" s="61" t="n">
        <x:v>299.99987</x:v>
      </x:c>
      <x:c r="E109" s="61" t="n">
        <x:v>-0.00013</x:v>
      </x:c>
      <x:c r="F109" s="61" t="n">
        <x:v>0.35492</x:v>
      </x:c>
      <x:c r="G109" s="61" t="n">
        <x:v>26.65</x:v>
      </x:c>
      <x:c r="H109" s="61" t="n">
        <x:v>0.404</x:v>
      </x:c>
      <x:c r="I109" s="61" t="n">
        <x:v>7.32</x:v>
      </x:c>
      <x:c r="J109" s="61" t="n">
        <x:v>2.56859</x:v>
      </x:c>
      <x:c r="K109" s="61" t="n">
        <x:v>-54.14</x:v>
      </x:c>
      <x:c r="L109" s="61" t="n">
        <x:v>0.888</x:v>
      </x:c>
      <x:c r="M109" s="61" t="n">
        <x:v>1.5</x:v>
      </x:c>
      <x:c r="N109" s="61" t="n">
        <x:v>3.61736</x:v>
      </x:c>
      <x:c r="O109" s="61" t="n">
        <x:v>-3.6</x:v>
      </x:c>
      <x:c r="P109" s="61" t="n">
        <x:v>0.914</x:v>
      </x:c>
      <x:c r="Q109" s="61" t="n">
        <x:v>1.06</x:v>
      </x:c>
      <x:c r="R109" s="61" t="n">
        <x:v>4.45099</x:v>
      </x:c>
      <x:c r="S109" s="61" t="n">
        <x:v>0.61</x:v>
      </x:c>
      <x:c r="T109" s="62" t="n">
        <x:f>IF(R109=0,0,100*F109^2/R109^2)</x:f>
        <x:v>0.6358397996383688</x:v>
      </x:c>
      <x:c r="U109" s="62" t="n">
        <x:f>IF(R109=0,0,100*J109^2/R109^2)</x:f>
        <x:v>33.302461718472706</x:v>
      </x:c>
      <x:c r="V109" s="62" t="n">
        <x:f>IF(R109=0,0,100*N109^2/R109^2)</x:f>
        <x:v>66.04960531005656</x:v>
      </x:c>
      <x:c r="W109" s="60" t="str">
        <x:f>IF(AND(F109&gt;=J109,F109&gt;=N109),"X",IF(J109&gt;=N109,"Y","Z"))</x:f>
        <x:v>Z</x:v>
      </x:c>
      <x:c r="X109" s="61" t="n">
        <x:f>ABS(MOD(K109-O109+180,360)-180)</x:f>
        <x:v>50.53999999999999</x:v>
      </x:c>
      <x:c r="Y109" s="61" t="n">
        <x:v>300.01412</x:v>
      </x:c>
      <x:c r="Z109" s="61" t="n">
        <x:v>300.00047</x:v>
      </x:c>
      <x:c r="AA109" s="61" t="n">
        <x:v>299.99945</x:v>
      </x:c>
      <x:c r="AB109" s="61" t="n">
        <x:v>43.3</x:v>
      </x:c>
      <x:c r="AC109" s="60" t="n">
        <x:v>1</x:v>
      </x:c>
    </x:row>
    <x:row r="110">
      <x:c r="A110" s="60" t="n">
        <x:v>11</x:v>
      </x:c>
      <x:c r="B110" s="61" t="n">
        <x:v>300</x:v>
      </x:c>
      <x:c r="C110" s="61" t="n">
        <x:v>19</x:v>
      </x:c>
      <x:c r="D110" s="61" t="n">
        <x:v>299.99941</x:v>
      </x:c>
      <x:c r="E110" s="61" t="n">
        <x:v>-0.00059</x:v>
      </x:c>
      <x:c r="F110" s="61" t="n">
        <x:v>0.39077</x:v>
      </x:c>
      <x:c r="G110" s="61" t="n">
        <x:v>27.97</x:v>
      </x:c>
      <x:c r="H110" s="61" t="n">
        <x:v>0.48</x:v>
      </x:c>
      <x:c r="I110" s="61" t="n">
        <x:v>9.14</x:v>
      </x:c>
      <x:c r="J110" s="61" t="n">
        <x:v>2.61197</x:v>
      </x:c>
      <x:c r="K110" s="61" t="n">
        <x:v>-54.46</x:v>
      </x:c>
      <x:c r="L110" s="61" t="n">
        <x:v>0.892</x:v>
      </x:c>
      <x:c r="M110" s="61" t="n">
        <x:v>1</x:v>
      </x:c>
      <x:c r="N110" s="61" t="n">
        <x:v>4.21312</x:v>
      </x:c>
      <x:c r="O110" s="61" t="n">
        <x:v>-4.15</x:v>
      </x:c>
      <x:c r="P110" s="61" t="n">
        <x:v>0.918</x:v>
      </x:c>
      <x:c r="Q110" s="61" t="n">
        <x:v>1.17</x:v>
      </x:c>
      <x:c r="R110" s="61" t="n">
        <x:v>4.97256</x:v>
      </x:c>
      <x:c r="S110" s="61" t="n">
        <x:v>1.16</x:v>
      </x:c>
      <x:c r="T110" s="62" t="n">
        <x:f>IF(R110=0,0,100*F110^2/R110^2)</x:f>
        <x:v>0.617564560315668</x:v>
      </x:c>
      <x:c r="U110" s="62" t="n">
        <x:f>IF(R110=0,0,100*J110^2/R110^2)</x:f>
        <x:v>27.591563113664538</x:v>
      </x:c>
      <x:c r="V110" s="62" t="n">
        <x:f>IF(R110=0,0,100*N110^2/R110^2)</x:f>
        <x:v>71.78729579614635</x:v>
      </x:c>
      <x:c r="W110" s="60" t="str">
        <x:f>IF(AND(F110&gt;=J110,F110&gt;=N110),"X",IF(J110&gt;=N110,"Y","Z"))</x:f>
        <x:v>Z</x:v>
      </x:c>
      <x:c r="X110" s="61" t="n">
        <x:f>ABS(MOD(K110-O110+180,360)-180)</x:f>
        <x:v>50.31</x:v>
      </x:c>
      <x:c r="Y110" s="61" t="n">
        <x:v>300.02354</x:v>
      </x:c>
      <x:c r="Z110" s="61" t="n">
        <x:v>300.00032</x:v>
      </x:c>
      <x:c r="AA110" s="61" t="n">
        <x:v>299.99882</x:v>
      </x:c>
      <x:c r="AB110" s="61" t="n">
        <x:v>45.16</x:v>
      </x:c>
      <x:c r="AC110" s="60" t="n">
        <x:v>1</x:v>
      </x:c>
    </x:row>
    <x:row r="111">
      <x:c r="A111" s="60" t="n">
        <x:v>11</x:v>
      </x:c>
      <x:c r="B111" s="61" t="n">
        <x:v>300</x:v>
      </x:c>
      <x:c r="C111" s="61" t="n">
        <x:v>20</x:v>
      </x:c>
      <x:c r="D111" s="61" t="n">
        <x:v>299.9978</x:v>
      </x:c>
      <x:c r="E111" s="61" t="n">
        <x:v>-0.0022</x:v>
      </x:c>
      <x:c r="F111" s="61" t="n">
        <x:v>0.44699</x:v>
      </x:c>
      <x:c r="G111" s="61" t="n">
        <x:v>22.83</x:v>
      </x:c>
      <x:c r="H111" s="61" t="n">
        <x:v>0.384</x:v>
      </x:c>
      <x:c r="I111" s="61" t="n">
        <x:v>8.81</x:v>
      </x:c>
      <x:c r="J111" s="61" t="n">
        <x:v>2.60589</x:v>
      </x:c>
      <x:c r="K111" s="61" t="n">
        <x:v>-52.94</x:v>
      </x:c>
      <x:c r="L111" s="61" t="n">
        <x:v>0.852</x:v>
      </x:c>
      <x:c r="M111" s="61" t="n">
        <x:v>2.11</x:v>
      </x:c>
      <x:c r="N111" s="61" t="n">
        <x:v>5.00963</x:v>
      </x:c>
      <x:c r="O111" s="61" t="n">
        <x:v>-5.88</x:v>
      </x:c>
      <x:c r="P111" s="61" t="n">
        <x:v>0.919</x:v>
      </x:c>
      <x:c r="Q111" s="61" t="n">
        <x:v>1.17</x:v>
      </x:c>
      <x:c r="R111" s="61" t="n">
        <x:v>5.66488</x:v>
      </x:c>
      <x:c r="S111" s="61" t="n">
        <x:v>0.95</x:v>
      </x:c>
      <x:c r="T111" s="62" t="n">
        <x:f>IF(R111=0,0,100*F111^2/R111^2)</x:f>
        <x:v>0.6226072669587295</x:v>
      </x:c>
      <x:c r="U111" s="62" t="n">
        <x:f>IF(R111=0,0,100*J111^2/R111^2)</x:f>
        <x:v>21.16073407310747</x:v>
      </x:c>
      <x:c r="V111" s="62" t="n">
        <x:f>IF(R111=0,0,100*N111^2/R111^2)</x:f>
        <x:v>78.20416312499506</x:v>
      </x:c>
      <x:c r="W111" s="60" t="str">
        <x:f>IF(AND(F111&gt;=J111,F111&gt;=N111),"X",IF(J111&gt;=N111,"Y","Z"))</x:f>
        <x:v>Z</x:v>
      </x:c>
      <x:c r="X111" s="61" t="n">
        <x:f>ABS(MOD(K111-O111+180,360)-180)</x:f>
        <x:v>47.06</x:v>
      </x:c>
      <x:c r="Y111" s="61" t="n">
        <x:v>299.99707</x:v>
      </x:c>
      <x:c r="Z111" s="61" t="n">
        <x:v>299.99848</x:v>
      </x:c>
      <x:c r="AA111" s="61" t="n">
        <x:v>299.99758</x:v>
      </x:c>
      <x:c r="AB111" s="61" t="n">
        <x:v>46.08</x:v>
      </x:c>
      <x:c r="AC111" s="60" t="n">
        <x:v>1</x:v>
      </x:c>
    </x:row>
    <x:row r="112">
      <x:c r="A112" s="60" t="n">
        <x:v>12</x:v>
      </x:c>
      <x:c r="B112" s="61" t="n">
        <x:v>325</x:v>
      </x:c>
      <x:c r="C112" s="61" t="n">
        <x:v>11</x:v>
      </x:c>
      <x:c r="D112" s="61" t="n">
        <x:v>324.99921</x:v>
      </x:c>
      <x:c r="E112" s="61" t="n">
        <x:v>-0.00079</x:v>
      </x:c>
      <x:c r="F112" s="61" t="n">
        <x:v>0.32236</x:v>
      </x:c>
      <x:c r="G112" s="61" t="n">
        <x:v>17.06</x:v>
      </x:c>
      <x:c r="H112" s="61" t="n">
        <x:v>0.365</x:v>
      </x:c>
      <x:c r="I112" s="61" t="n">
        <x:v>9.78</x:v>
      </x:c>
      <x:c r="J112" s="61" t="n">
        <x:v>2.41778</x:v>
      </x:c>
      <x:c r="K112" s="61" t="n">
        <x:v>-89.67</x:v>
      </x:c>
      <x:c r="L112" s="61" t="n">
        <x:v>0.864</x:v>
      </x:c>
      <x:c r="M112" s="61" t="n">
        <x:v>0.79</x:v>
      </x:c>
      <x:c r="N112" s="61" t="n">
        <x:v>2.43301</x:v>
      </x:c>
      <x:c r="O112" s="61" t="n">
        <x:v>-27.74</x:v>
      </x:c>
      <x:c r="P112" s="61" t="n">
        <x:v>0.911</x:v>
      </x:c>
      <x:c r="Q112" s="61" t="n">
        <x:v>1.35</x:v>
      </x:c>
      <x:c r="R112" s="61" t="n">
        <x:v>3.44535</x:v>
      </x:c>
      <x:c r="S112" s="61" t="n">
        <x:v>0.81</x:v>
      </x:c>
      <x:c r="T112" s="62" t="n">
        <x:f>IF(R112=0,0,100*F112^2/R112^2)</x:f>
        <x:v>0.8754182588619435</x:v>
      </x:c>
      <x:c r="U112" s="62" t="n">
        <x:f>IF(R112=0,0,100*J112^2/R112^2)</x:f>
        <x:v>49.24553589983165</x:v>
      </x:c>
      <x:c r="V112" s="62" t="n">
        <x:f>IF(R112=0,0,100*N112^2/R112^2)</x:f>
        <x:v>49.867901648029715</x:v>
      </x:c>
      <x:c r="W112" s="60" t="str">
        <x:f>IF(AND(F112&gt;=J112,F112&gt;=N112),"X",IF(J112&gt;=N112,"Y","Z"))</x:f>
        <x:v>Z</x:v>
      </x:c>
      <x:c r="X112" s="61" t="n">
        <x:f>ABS(MOD(K112-O112+180,360)-180)</x:f>
        <x:v>61.93000000000001</x:v>
      </x:c>
      <x:c r="Y112" s="61" t="n">
        <x:v>324.98728</x:v>
      </x:c>
      <x:c r="Z112" s="61" t="n">
        <x:v>324.99658</x:v>
      </x:c>
      <x:c r="AA112" s="61" t="n">
        <x:v>325.00183</x:v>
      </x:c>
      <x:c r="AB112" s="61" t="n">
        <x:v>36.4</x:v>
      </x:c>
      <x:c r="AC112" s="60" t="n">
        <x:v>1</x:v>
      </x:c>
    </x:row>
    <x:row r="113">
      <x:c r="A113" s="60" t="n">
        <x:v>12</x:v>
      </x:c>
      <x:c r="B113" s="61" t="n">
        <x:v>325</x:v>
      </x:c>
      <x:c r="C113" s="61" t="n">
        <x:v>12</x:v>
      </x:c>
      <x:c r="D113" s="61" t="n">
        <x:v>325.00024</x:v>
      </x:c>
      <x:c r="E113" s="61" t="n">
        <x:v>0.00024</x:v>
      </x:c>
      <x:c r="F113" s="61" t="n">
        <x:v>0.34939</x:v>
      </x:c>
      <x:c r="G113" s="61" t="n">
        <x:v>17.58</x:v>
      </x:c>
      <x:c r="H113" s="61" t="n">
        <x:v>0.344</x:v>
      </x:c>
      <x:c r="I113" s="61" t="n">
        <x:v>3.63</x:v>
      </x:c>
      <x:c r="J113" s="61" t="n">
        <x:v>2.42869</x:v>
      </x:c>
      <x:c r="K113" s="61" t="n">
        <x:v>-89.03</x:v>
      </x:c>
      <x:c r="L113" s="61" t="n">
        <x:v>0.844</x:v>
      </x:c>
      <x:c r="M113" s="61" t="n">
        <x:v>0.56</x:v>
      </x:c>
      <x:c r="N113" s="61" t="n">
        <x:v>2.88919</x:v>
      </x:c>
      <x:c r="O113" s="61" t="n">
        <x:v>-25.71</x:v>
      </x:c>
      <x:c r="P113" s="61" t="n">
        <x:v>0.913</x:v>
      </x:c>
      <x:c r="Q113" s="61" t="n">
        <x:v>0.69</x:v>
      </x:c>
      <x:c r="R113" s="61" t="n">
        <x:v>3.79055</x:v>
      </x:c>
      <x:c r="S113" s="61" t="n">
        <x:v>0.55</x:v>
      </x:c>
      <x:c r="T113" s="62" t="n">
        <x:f>IF(R113=0,0,100*F113^2/R113^2)</x:f>
        <x:v>0.8496038703753965</x:v>
      </x:c>
      <x:c r="U113" s="62" t="n">
        <x:f>IF(R113=0,0,100*J113^2/R113^2)</x:f>
        <x:v>41.05250947011194</x:v>
      </x:c>
      <x:c r="V113" s="62" t="n">
        <x:f>IF(R113=0,0,100*N113^2/R113^2)</x:f>
        <x:v>58.09620268355908</x:v>
      </x:c>
      <x:c r="W113" s="60" t="str">
        <x:f>IF(AND(F113&gt;=J113,F113&gt;=N113),"X",IF(J113&gt;=N113,"Y","Z"))</x:f>
        <x:v>Z</x:v>
      </x:c>
      <x:c r="X113" s="61" t="n">
        <x:f>ABS(MOD(K113-O113+180,360)-180)</x:f>
        <x:v>63.31999999999999</x:v>
      </x:c>
      <x:c r="Y113" s="61" t="n">
        <x:v>324.99849</x:v>
      </x:c>
      <x:c r="Z113" s="61" t="n">
        <x:v>324.99888</x:v>
      </x:c>
      <x:c r="AA113" s="61" t="n">
        <x:v>325.00121</x:v>
      </x:c>
      <x:c r="AB113" s="61" t="n">
        <x:v>40.02</x:v>
      </x:c>
      <x:c r="AC113" s="60" t="n">
        <x:v>1</x:v>
      </x:c>
    </x:row>
    <x:row r="114">
      <x:c r="A114" s="60" t="n">
        <x:v>12</x:v>
      </x:c>
      <x:c r="B114" s="61" t="n">
        <x:v>325</x:v>
      </x:c>
      <x:c r="C114" s="61" t="n">
        <x:v>13</x:v>
      </x:c>
      <x:c r="D114" s="61" t="n">
        <x:v>325.00176</x:v>
      </x:c>
      <x:c r="E114" s="61" t="n">
        <x:v>0.00176</x:v>
      </x:c>
      <x:c r="F114" s="61" t="n">
        <x:v>0.39763</x:v>
      </x:c>
      <x:c r="G114" s="61" t="n">
        <x:v>15.05</x:v>
      </x:c>
      <x:c r="H114" s="61" t="n">
        <x:v>0.414</x:v>
      </x:c>
      <x:c r="I114" s="61" t="n">
        <x:v>4.2</x:v>
      </x:c>
      <x:c r="J114" s="61" t="n">
        <x:v>2.42984</x:v>
      </x:c>
      <x:c r="K114" s="61" t="n">
        <x:v>-88.89</x:v>
      </x:c>
      <x:c r="L114" s="61" t="n">
        <x:v>0.846</x:v>
      </x:c>
      <x:c r="M114" s="61" t="n">
        <x:v>0.92</x:v>
      </x:c>
      <x:c r="N114" s="61" t="n">
        <x:v>3.44705</x:v>
      </x:c>
      <x:c r="O114" s="61" t="n">
        <x:v>-23.84</x:v>
      </x:c>
      <x:c r="P114" s="61" t="n">
        <x:v>0.919</x:v>
      </x:c>
      <x:c r="Q114" s="61" t="n">
        <x:v>0.62</x:v>
      </x:c>
      <x:c r="R114" s="61" t="n">
        <x:v>4.23617</x:v>
      </x:c>
      <x:c r="S114" s="61" t="n">
        <x:v>0.43</x:v>
      </x:c>
      <x:c r="T114" s="62" t="n">
        <x:f>IF(R114=0,0,100*F114^2/R114^2)</x:f>
        <x:v>0.8810722556284704</x:v>
      </x:c>
      <x:c r="U114" s="62" t="n">
        <x:f>IF(R114=0,0,100*J114^2/R114^2)</x:f>
        <x:v>32.90096178223064</x:v>
      </x:c>
      <x:c r="V114" s="62" t="n">
        <x:f>IF(R114=0,0,100*N114^2/R114^2)</x:f>
        <x:v>66.21378363725486</x:v>
      </x:c>
      <x:c r="W114" s="60" t="str">
        <x:f>IF(AND(F114&gt;=J114,F114&gt;=N114),"X",IF(J114&gt;=N114,"Y","Z"))</x:f>
        <x:v>Z</x:v>
      </x:c>
      <x:c r="X114" s="61" t="n">
        <x:f>ABS(MOD(K114-O114+180,360)-180)</x:f>
        <x:v>65.05</x:v>
      </x:c>
      <x:c r="Y114" s="61" t="n">
        <x:v>325.0225</x:v>
      </x:c>
      <x:c r="Z114" s="61" t="n">
        <x:v>325.00842</x:v>
      </x:c>
      <x:c r="AA114" s="61" t="n">
        <x:v>324.99835</x:v>
      </x:c>
      <x:c r="AB114" s="61" t="n">
        <x:v>42.09</x:v>
      </x:c>
      <x:c r="AC114" s="60" t="n">
        <x:v>1</x:v>
      </x:c>
    </x:row>
    <x:row r="115">
      <x:c r="A115" s="60" t="n">
        <x:v>12</x:v>
      </x:c>
      <x:c r="B115" s="61" t="n">
        <x:v>325</x:v>
      </x:c>
      <x:c r="C115" s="61" t="n">
        <x:v>14</x:v>
      </x:c>
      <x:c r="D115" s="61" t="n">
        <x:v>324.99964</x:v>
      </x:c>
      <x:c r="E115" s="61" t="n">
        <x:v>-0.00036</x:v>
      </x:c>
      <x:c r="F115" s="61" t="n">
        <x:v>0.43842</x:v>
      </x:c>
      <x:c r="G115" s="61" t="n">
        <x:v>16.39</x:v>
      </x:c>
      <x:c r="H115" s="61" t="n">
        <x:v>0.411</x:v>
      </x:c>
      <x:c r="I115" s="61" t="n">
        <x:v>3.42</x:v>
      </x:c>
      <x:c r="J115" s="61" t="n">
        <x:v>2.45442</x:v>
      </x:c>
      <x:c r="K115" s="61" t="n">
        <x:v>-88.31</x:v>
      </x:c>
      <x:c r="L115" s="61" t="n">
        <x:v>0.836</x:v>
      </x:c>
      <x:c r="M115" s="61" t="n">
        <x:v>1.77</x:v>
      </x:c>
      <x:c r="N115" s="61" t="n">
        <x:v>3.95255</x:v>
      </x:c>
      <x:c r="O115" s="61" t="n">
        <x:v>-23.34</x:v>
      </x:c>
      <x:c r="P115" s="61" t="n">
        <x:v>0.92</x:v>
      </x:c>
      <x:c r="Q115" s="61" t="n">
        <x:v>1.22</x:v>
      </x:c>
      <x:c r="R115" s="61" t="n">
        <x:v>4.67356</x:v>
      </x:c>
      <x:c r="S115" s="61" t="n">
        <x:v>0.5</x:v>
      </x:c>
      <x:c r="T115" s="62" t="n">
        <x:f>IF(R115=0,0,100*F115^2/R115^2)</x:f>
        <x:v>0.8800048591905316</x:v>
      </x:c>
      <x:c r="U115" s="62" t="n">
        <x:f>IF(R115=0,0,100*J115^2/R115^2)</x:f>
        <x:v>27.58049885490165</x:v>
      </x:c>
      <x:c r="V115" s="62" t="n">
        <x:f>IF(R115=0,0,100*N115^2/R115^2)</x:f>
        <x:v>71.5252031122442</x:v>
      </x:c>
      <x:c r="W115" s="60" t="str">
        <x:f>IF(AND(F115&gt;=J115,F115&gt;=N115),"X",IF(J115&gt;=N115,"Y","Z"))</x:f>
        <x:v>Z</x:v>
      </x:c>
      <x:c r="X115" s="61" t="n">
        <x:f>ABS(MOD(K115-O115+180,360)-180)</x:f>
        <x:v>64.97</x:v>
      </x:c>
      <x:c r="Y115" s="61" t="n">
        <x:v>325.00494</x:v>
      </x:c>
      <x:c r="Z115" s="61" t="n">
        <x:v>324.99851</x:v>
      </x:c>
      <x:c r="AA115" s="61" t="n">
        <x:v>324.99997</x:v>
      </x:c>
      <x:c r="AB115" s="61" t="n">
        <x:v>41.47</x:v>
      </x:c>
      <x:c r="AC115" s="60" t="n">
        <x:v>1</x:v>
      </x:c>
    </x:row>
    <x:row r="116">
      <x:c r="A116" s="60" t="n">
        <x:v>12</x:v>
      </x:c>
      <x:c r="B116" s="61" t="n">
        <x:v>325</x:v>
      </x:c>
      <x:c r="C116" s="61" t="n">
        <x:v>15</x:v>
      </x:c>
      <x:c r="D116" s="61" t="n">
        <x:v>324.99833</x:v>
      </x:c>
      <x:c r="E116" s="61" t="n">
        <x:v>-0.00167</x:v>
      </x:c>
      <x:c r="F116" s="61" t="n">
        <x:v>0.4734</x:v>
      </x:c>
      <x:c r="G116" s="61" t="n">
        <x:v>14.28</x:v>
      </x:c>
      <x:c r="H116" s="61" t="n">
        <x:v>0.434</x:v>
      </x:c>
      <x:c r="I116" s="61" t="n">
        <x:v>7.25</x:v>
      </x:c>
      <x:c r="J116" s="61" t="n">
        <x:v>2.47814</x:v>
      </x:c>
      <x:c r="K116" s="61" t="n">
        <x:v>-86.56</x:v>
      </x:c>
      <x:c r="L116" s="61" t="n">
        <x:v>0.833</x:v>
      </x:c>
      <x:c r="M116" s="61" t="n">
        <x:v>1.27</x:v>
      </x:c>
      <x:c r="N116" s="61" t="n">
        <x:v>4.45633</x:v>
      </x:c>
      <x:c r="O116" s="61" t="n">
        <x:v>-23.09</x:v>
      </x:c>
      <x:c r="P116" s="61" t="n">
        <x:v>0.921</x:v>
      </x:c>
      <x:c r="Q116" s="61" t="n">
        <x:v>0.79</x:v>
      </x:c>
      <x:c r="R116" s="61" t="n">
        <x:v>5.12114</x:v>
      </x:c>
      <x:c r="S116" s="61" t="n">
        <x:v>0.58</x:v>
      </x:c>
      <x:c r="T116" s="62" t="n">
        <x:f>IF(R116=0,0,100*F116^2/R116^2)</x:f>
        <x:v>0.8545219246796939</x:v>
      </x:c>
      <x:c r="U116" s="62" t="n">
        <x:f>IF(R116=0,0,100*J116^2/R116^2)</x:f>
        <x:v>23.416305654239036</x:v>
      </x:c>
      <x:c r="V116" s="62" t="n">
        <x:f>IF(R116=0,0,100*N116^2/R116^2)</x:f>
        <x:v>75.72188039927734</x:v>
      </x:c>
      <x:c r="W116" s="60" t="str">
        <x:f>IF(AND(F116&gt;=J116,F116&gt;=N116),"X",IF(J116&gt;=N116,"Y","Z"))</x:f>
        <x:v>Z</x:v>
      </x:c>
      <x:c r="X116" s="61" t="n">
        <x:f>ABS(MOD(K116-O116+180,360)-180)</x:f>
        <x:v>63.47</x:v>
      </x:c>
      <x:c r="Y116" s="61" t="n">
        <x:v>325.00227</x:v>
      </x:c>
      <x:c r="Z116" s="61" t="n">
        <x:v>324.99687</x:v>
      </x:c>
      <x:c r="AA116" s="61" t="n">
        <x:v>324.99872</x:v>
      </x:c>
      <x:c r="AB116" s="61" t="n">
        <x:v>43.25</x:v>
      </x:c>
      <x:c r="AC116" s="60" t="n">
        <x:v>1</x:v>
      </x:c>
    </x:row>
    <x:row r="117">
      <x:c r="A117" s="60" t="n">
        <x:v>12</x:v>
      </x:c>
      <x:c r="B117" s="61" t="n">
        <x:v>325</x:v>
      </x:c>
      <x:c r="C117" s="61" t="n">
        <x:v>16</x:v>
      </x:c>
      <x:c r="D117" s="61" t="n">
        <x:v>324.99956</x:v>
      </x:c>
      <x:c r="E117" s="61" t="n">
        <x:v>-0.00044</x:v>
      </x:c>
      <x:c r="F117" s="61" t="n">
        <x:v>0.51286</x:v>
      </x:c>
      <x:c r="G117" s="61" t="n">
        <x:v>12.7</x:v>
      </x:c>
      <x:c r="H117" s="61" t="n">
        <x:v>0.455</x:v>
      </x:c>
      <x:c r="I117" s="61" t="n">
        <x:v>4.92</x:v>
      </x:c>
      <x:c r="J117" s="61" t="n">
        <x:v>2.44835</x:v>
      </x:c>
      <x:c r="K117" s="61" t="n">
        <x:v>-85.23</x:v>
      </x:c>
      <x:c r="L117" s="61" t="n">
        <x:v>0.831</x:v>
      </x:c>
      <x:c r="M117" s="61" t="n">
        <x:v>1.04</x:v>
      </x:c>
      <x:c r="N117" s="61" t="n">
        <x:v>5.11324</x:v>
      </x:c>
      <x:c r="O117" s="61" t="n">
        <x:v>-23.5</x:v>
      </x:c>
      <x:c r="P117" s="61" t="n">
        <x:v>0.922</x:v>
      </x:c>
      <x:c r="Q117" s="61" t="n">
        <x:v>0.3</x:v>
      </x:c>
      <x:c r="R117" s="61" t="n">
        <x:v>5.69242</x:v>
      </x:c>
      <x:c r="S117" s="61" t="n">
        <x:v>0.3</x:v>
      </x:c>
      <x:c r="T117" s="62" t="n">
        <x:f>IF(R117=0,0,100*F117^2/R117^2)</x:f>
        <x:v>0.8117153977440837</x:v>
      </x:c>
      <x:c r="U117" s="62" t="n">
        <x:f>IF(R117=0,0,100*J117^2/R117^2)</x:f>
        <x:v>18.499207845505083</x:v>
      </x:c>
      <x:c r="V117" s="62" t="n">
        <x:f>IF(R117=0,0,100*N117^2/R117^2)</x:f>
        <x:v>80.68605531676712</x:v>
      </x:c>
      <x:c r="W117" s="60" t="str">
        <x:f>IF(AND(F117&gt;=J117,F117&gt;=N117),"X",IF(J117&gt;=N117,"Y","Z"))</x:f>
        <x:v>Z</x:v>
      </x:c>
      <x:c r="X117" s="61" t="n">
        <x:f>ABS(MOD(K117-O117+180,360)-180)</x:f>
        <x:v>61.730000000000004</x:v>
      </x:c>
      <x:c r="Y117" s="61" t="n">
        <x:v>325.00348</x:v>
      </x:c>
      <x:c r="Z117" s="61" t="n">
        <x:v>325.00073</x:v>
      </x:c>
      <x:c r="AA117" s="61" t="n">
        <x:v>324.99926</x:v>
      </x:c>
      <x:c r="AB117" s="61" t="n">
        <x:v>41.55</x:v>
      </x:c>
      <x:c r="AC117" s="60" t="n">
        <x:v>1</x:v>
      </x:c>
    </x:row>
    <x:row r="118">
      <x:c r="A118" s="60" t="n">
        <x:v>12</x:v>
      </x:c>
      <x:c r="B118" s="61" t="n">
        <x:v>325</x:v>
      </x:c>
      <x:c r="C118" s="61" t="n">
        <x:v>17</x:v>
      </x:c>
      <x:c r="D118" s="61" t="n">
        <x:v>325.0014</x:v>
      </x:c>
      <x:c r="E118" s="61" t="n">
        <x:v>0.0014</x:v>
      </x:c>
      <x:c r="F118" s="61" t="n">
        <x:v>0.54061</x:v>
      </x:c>
      <x:c r="G118" s="61" t="n">
        <x:v>9.21</x:v>
      </x:c>
      <x:c r="H118" s="61" t="n">
        <x:v>0.44</x:v>
      </x:c>
      <x:c r="I118" s="61" t="n">
        <x:v>2.27</x:v>
      </x:c>
      <x:c r="J118" s="61" t="n">
        <x:v>2.42512</x:v>
      </x:c>
      <x:c r="K118" s="61" t="n">
        <x:v>-84.03</x:v>
      </x:c>
      <x:c r="L118" s="61" t="n">
        <x:v>0.81</x:v>
      </x:c>
      <x:c r="M118" s="61" t="n">
        <x:v>1.13</x:v>
      </x:c>
      <x:c r="N118" s="61" t="n">
        <x:v>5.70187</x:v>
      </x:c>
      <x:c r="O118" s="61" t="n">
        <x:v>-23.45</x:v>
      </x:c>
      <x:c r="P118" s="61" t="n">
        <x:v>0.925</x:v>
      </x:c>
      <x:c r="Q118" s="61" t="n">
        <x:v>0.43</x:v>
      </x:c>
      <x:c r="R118" s="61" t="n">
        <x:v>6.21978</x:v>
      </x:c>
      <x:c r="S118" s="61" t="n">
        <x:v>0.34</x:v>
      </x:c>
      <x:c r="T118" s="62" t="n">
        <x:f>IF(R118=0,0,100*F118^2/R118^2)</x:f>
        <x:v>0.7554715301723244</x:v>
      </x:c>
      <x:c r="U118" s="62" t="n">
        <x:f>IF(R118=0,0,100*J118^2/R118^2)</x:f>
        <x:v>15.20254926647339</x:v>
      </x:c>
      <x:c r="V118" s="62" t="n">
        <x:f>IF(R118=0,0,100*N118^2/R118^2)</x:f>
        <x:v>84.03971592304194</x:v>
      </x:c>
      <x:c r="W118" s="60" t="str">
        <x:f>IF(AND(F118&gt;=J118,F118&gt;=N118),"X",IF(J118&gt;=N118,"Y","Z"))</x:f>
        <x:v>Z</x:v>
      </x:c>
      <x:c r="X118" s="61" t="n">
        <x:f>ABS(MOD(K118-O118+180,360)-180)</x:f>
        <x:v>60.58</x:v>
      </x:c>
      <x:c r="Y118" s="61" t="n">
        <x:v>324.99917</x:v>
      </x:c>
      <x:c r="Z118" s="61" t="n">
        <x:v>325.00671</x:v>
      </x:c>
      <x:c r="AA118" s="61" t="n">
        <x:v>325.00048</x:v>
      </x:c>
      <x:c r="AB118" s="61" t="n">
        <x:v>38.75</x:v>
      </x:c>
      <x:c r="AC118" s="60" t="n">
        <x:v>1</x:v>
      </x:c>
    </x:row>
    <x:row r="119">
      <x:c r="A119" s="60" t="n">
        <x:v>12</x:v>
      </x:c>
      <x:c r="B119" s="61" t="n">
        <x:v>325</x:v>
      </x:c>
      <x:c r="C119" s="61" t="n">
        <x:v>18</x:v>
      </x:c>
      <x:c r="D119" s="61" t="n">
        <x:v>325.00173</x:v>
      </x:c>
      <x:c r="E119" s="61" t="n">
        <x:v>0.00173</x:v>
      </x:c>
      <x:c r="F119" s="61" t="n">
        <x:v>0.58345</x:v>
      </x:c>
      <x:c r="G119" s="61" t="n">
        <x:v>9.51</x:v>
      </x:c>
      <x:c r="H119" s="61" t="n">
        <x:v>0.503</x:v>
      </x:c>
      <x:c r="I119" s="61" t="n">
        <x:v>3.79</x:v>
      </x:c>
      <x:c r="J119" s="61" t="n">
        <x:v>2.35548</x:v>
      </x:c>
      <x:c r="K119" s="61" t="n">
        <x:v>-83.43</x:v>
      </x:c>
      <x:c r="L119" s="61" t="n">
        <x:v>0.809</x:v>
      </x:c>
      <x:c r="M119" s="61" t="n">
        <x:v>1.09</x:v>
      </x:c>
      <x:c r="N119" s="61" t="n">
        <x:v>6.35304</x:v>
      </x:c>
      <x:c r="O119" s="61" t="n">
        <x:v>-22.93</x:v>
      </x:c>
      <x:c r="P119" s="61" t="n">
        <x:v>0.925</x:v>
      </x:c>
      <x:c r="Q119" s="61" t="n">
        <x:v>0.25</x:v>
      </x:c>
      <x:c r="R119" s="61" t="n">
        <x:v>6.80078</x:v>
      </x:c>
      <x:c r="S119" s="61" t="n">
        <x:v>0.3</x:v>
      </x:c>
      <x:c r="T119" s="62" t="n">
        <x:f>IF(R119=0,0,100*F119^2/R119^2)</x:f>
        <x:v>0.7360203740933571</x:v>
      </x:c>
      <x:c r="U119" s="62" t="n">
        <x:f>IF(R119=0,0,100*J119^2/R119^2)</x:f>
        <x:v>11.996136261420622</x:v>
      </x:c>
      <x:c r="V119" s="62" t="n">
        <x:f>IF(R119=0,0,100*N119^2/R119^2)</x:f>
        <x:v>87.26613217857127</x:v>
      </x:c>
      <x:c r="W119" s="60" t="str">
        <x:f>IF(AND(F119&gt;=J119,F119&gt;=N119),"X",IF(J119&gt;=N119,"Y","Z"))</x:f>
        <x:v>Z</x:v>
      </x:c>
      <x:c r="X119" s="61" t="n">
        <x:f>ABS(MOD(K119-O119+180,360)-180)</x:f>
        <x:v>60.5</x:v>
      </x:c>
      <x:c r="Y119" s="61" t="n">
        <x:v>325.00224</x:v>
      </x:c>
      <x:c r="Z119" s="61" t="n">
        <x:v>324.99964</x:v>
      </x:c>
      <x:c r="AA119" s="61" t="n">
        <x:v>325.00202</x:v>
      </x:c>
      <x:c r="AB119" s="61" t="n">
        <x:v>40.93</x:v>
      </x:c>
      <x:c r="AC119" s="60" t="n">
        <x:v>1</x:v>
      </x:c>
    </x:row>
    <x:row r="120">
      <x:c r="A120" s="60" t="n">
        <x:v>12</x:v>
      </x:c>
      <x:c r="B120" s="61" t="n">
        <x:v>325</x:v>
      </x:c>
      <x:c r="C120" s="61" t="n">
        <x:v>19</x:v>
      </x:c>
      <x:c r="D120" s="61" t="n">
        <x:v>324.99964</x:v>
      </x:c>
      <x:c r="E120" s="61" t="n">
        <x:v>-0.00036</x:v>
      </x:c>
      <x:c r="F120" s="61" t="n">
        <x:v>0.63702</x:v>
      </x:c>
      <x:c r="G120" s="61" t="n">
        <x:v>7.14</x:v>
      </x:c>
      <x:c r="H120" s="61" t="n">
        <x:v>0.482</x:v>
      </x:c>
      <x:c r="I120" s="61" t="n">
        <x:v>3.9</x:v>
      </x:c>
      <x:c r="J120" s="61" t="n">
        <x:v>2.25758</x:v>
      </x:c>
      <x:c r="K120" s="61" t="n">
        <x:v>-80.84</x:v>
      </x:c>
      <x:c r="L120" s="61" t="n">
        <x:v>0.805</x:v>
      </x:c>
      <x:c r="M120" s="61" t="n">
        <x:v>1.16</x:v>
      </x:c>
      <x:c r="N120" s="61" t="n">
        <x:v>7.22021</x:v>
      </x:c>
      <x:c r="O120" s="61" t="n">
        <x:v>-22.84</x:v>
      </x:c>
      <x:c r="P120" s="61" t="n">
        <x:v>0.923</x:v>
      </x:c>
      <x:c r="Q120" s="61" t="n">
        <x:v>0.87</x:v>
      </x:c>
      <x:c r="R120" s="61" t="n">
        <x:v>7.59181</x:v>
      </x:c>
      <x:c r="S120" s="61" t="n">
        <x:v>0.75</x:v>
      </x:c>
      <x:c r="T120" s="62" t="n">
        <x:f>IF(R120=0,0,100*F120^2/R120^2)</x:f>
        <x:v>0.7040694080026563</x:v>
      </x:c>
      <x:c r="U120" s="62" t="n">
        <x:f>IF(R120=0,0,100*J120^2/R120^2)</x:f>
        <x:v>8.842918797901795</x:v>
      </x:c>
      <x:c r="V120" s="62" t="n">
        <x:f>IF(R120=0,0,100*N120^2/R120^2)</x:f>
        <x:v>90.45008878156231</x:v>
      </x:c>
      <x:c r="W120" s="60" t="str">
        <x:f>IF(AND(F120&gt;=J120,F120&gt;=N120),"X",IF(J120&gt;=N120,"Y","Z"))</x:f>
        <x:v>Z</x:v>
      </x:c>
      <x:c r="X120" s="61" t="n">
        <x:f>ABS(MOD(K120-O120+180,360)-180)</x:f>
        <x:v>58</x:v>
      </x:c>
      <x:c r="Y120" s="61" t="n">
        <x:v>324.99586</x:v>
      </x:c>
      <x:c r="Z120" s="61" t="n">
        <x:v>324.9994</x:v>
      </x:c>
      <x:c r="AA120" s="61" t="n">
        <x:v>324.9997</x:v>
      </x:c>
      <x:c r="AB120" s="61" t="n">
        <x:v>42.62</x:v>
      </x:c>
      <x:c r="AC120" s="60" t="n">
        <x:v>1</x:v>
      </x:c>
    </x:row>
    <x:row r="121">
      <x:c r="A121" s="60" t="n">
        <x:v>12</x:v>
      </x:c>
      <x:c r="B121" s="61" t="n">
        <x:v>325</x:v>
      </x:c>
      <x:c r="C121" s="61" t="n">
        <x:v>20</x:v>
      </x:c>
      <x:c r="D121" s="61" t="n">
        <x:v>325.0001</x:v>
      </x:c>
      <x:c r="E121" s="61" t="n">
        <x:v>0.0001</x:v>
      </x:c>
      <x:c r="F121" s="61" t="n">
        <x:v>0.68272</x:v>
      </x:c>
      <x:c r="G121" s="61" t="n">
        <x:v>7.14</x:v>
      </x:c>
      <x:c r="H121" s="61" t="n">
        <x:v>0.455</x:v>
      </x:c>
      <x:c r="I121" s="61" t="n">
        <x:v>3.27</x:v>
      </x:c>
      <x:c r="J121" s="61" t="n">
        <x:v>2.15969</x:v>
      </x:c>
      <x:c r="K121" s="61" t="n">
        <x:v>-78.91</x:v>
      </x:c>
      <x:c r="L121" s="61" t="n">
        <x:v>0.775</x:v>
      </x:c>
      <x:c r="M121" s="61" t="n">
        <x:v>0.84</x:v>
      </x:c>
      <x:c r="N121" s="61" t="n">
        <x:v>8.09895</x:v>
      </x:c>
      <x:c r="O121" s="61" t="n">
        <x:v>-23.02</x:v>
      </x:c>
      <x:c r="P121" s="61" t="n">
        <x:v>0.926</x:v>
      </x:c>
      <x:c r="Q121" s="61" t="n">
        <x:v>0.79</x:v>
      </x:c>
      <x:c r="R121" s="61" t="n">
        <x:v>8.40979</x:v>
      </x:c>
      <x:c r="S121" s="61" t="n">
        <x:v>0.71</x:v>
      </x:c>
      <x:c r="T121" s="62" t="n">
        <x:f>IF(R121=0,0,100*F121^2/R121^2)</x:f>
        <x:v>0.6590448165444447</x:v>
      </x:c>
      <x:c r="U121" s="62" t="n">
        <x:f>IF(R121=0,0,100*J121^2/R121^2)</x:f>
        <x:v>6.594965566112121</x:v>
      </x:c>
      <x:c r="V121" s="62" t="n">
        <x:f>IF(R121=0,0,100*N121^2/R121^2)</x:f>
        <x:v>92.74427981955063</x:v>
      </x:c>
      <x:c r="W121" s="60" t="str">
        <x:f>IF(AND(F121&gt;=J121,F121&gt;=N121),"X",IF(J121&gt;=N121,"Y","Z"))</x:f>
        <x:v>Z</x:v>
      </x:c>
      <x:c r="X121" s="61" t="n">
        <x:f>ABS(MOD(K121-O121+180,360)-180)</x:f>
        <x:v>55.89</x:v>
      </x:c>
      <x:c r="Y121" s="61" t="n">
        <x:v>324.99073</x:v>
      </x:c>
      <x:c r="Z121" s="61" t="n">
        <x:v>325.00387</x:v>
      </x:c>
      <x:c r="AA121" s="61" t="n">
        <x:v>324.99988</x:v>
      </x:c>
      <x:c r="AB121" s="61" t="n">
        <x:v>44.19</x:v>
      </x:c>
      <x:c r="AC121" s="60" t="n">
        <x:v>1</x:v>
      </x:c>
    </x:row>
    <x:row r="122">
      <x:c r="A122" s="60" t="n">
        <x:v>13</x:v>
      </x:c>
      <x:c r="B122" s="61" t="n">
        <x:v>225</x:v>
      </x:c>
      <x:c r="C122" s="61" t="n">
        <x:v>11</x:v>
      </x:c>
      <x:c r="D122" s="61" t="n">
        <x:v>224.9913</x:v>
      </x:c>
      <x:c r="E122" s="61" t="n">
        <x:v>-0.0087</x:v>
      </x:c>
      <x:c r="F122" s="61" t="n">
        <x:v>0.05128</x:v>
      </x:c>
      <x:c r="G122" s="61" t="n">
        <x:v>32.84</x:v>
      </x:c>
      <x:c r="H122" s="61" t="n">
        <x:v>0.067</x:v>
      </x:c>
      <x:c r="I122" s="61" t="n">
        <x:v>12.94</x:v>
      </x:c>
      <x:c r="J122" s="61" t="n">
        <x:v>0.47313</x:v>
      </x:c>
      <x:c r="K122" s="61" t="n">
        <x:v>20.38</x:v>
      </x:c>
      <x:c r="L122" s="61" t="n">
        <x:v>0.441</x:v>
      </x:c>
      <x:c r="M122" s="61" t="n">
        <x:v>4.24</x:v>
      </x:c>
      <x:c r="N122" s="61" t="n">
        <x:v>0.4885</x:v>
      </x:c>
      <x:c r="O122" s="61" t="n">
        <x:v>24.35</x:v>
      </x:c>
      <x:c r="P122" s="61" t="n">
        <x:v>0.726</x:v>
      </x:c>
      <x:c r="Q122" s="61" t="n">
        <x:v>5.21</x:v>
      </x:c>
      <x:c r="R122" s="61" t="n">
        <x:v>0.6823</x:v>
      </x:c>
      <x:c r="S122" s="61" t="n">
        <x:v>3.48</x:v>
      </x:c>
      <x:c r="T122" s="62" t="n">
        <x:f>IF(R122=0,0,100*F122^2/R122^2)</x:f>
        <x:v>0.5648658122816522</x:v>
      </x:c>
      <x:c r="U122" s="62" t="n">
        <x:f>IF(R122=0,0,100*J122^2/R122^2)</x:f>
        <x:v>48.08506753620133</x:v>
      </x:c>
      <x:c r="V122" s="62" t="n">
        <x:f>IF(R122=0,0,100*N122^2/R122^2)</x:f>
        <x:v>51.259975414432766</x:v>
      </x:c>
      <x:c r="W122" s="60" t="str">
        <x:f>IF(AND(F122&gt;=J122,F122&gt;=N122),"X",IF(J122&gt;=N122,"Y","Z"))</x:f>
        <x:v>Z</x:v>
      </x:c>
      <x:c r="X122" s="61" t="n">
        <x:f>ABS(MOD(K122-O122+180,360)-180)</x:f>
        <x:v>3.969999999999999</x:v>
      </x:c>
      <x:c r="Y122" s="61" t="n">
        <x:v>232.03125</x:v>
      </x:c>
      <x:c r="Z122" s="61" t="n">
        <x:v>224.98331</x:v>
      </x:c>
      <x:c r="AA122" s="61" t="n">
        <x:v>224.99866</x:v>
      </x:c>
      <x:c r="AB122" s="61" t="n">
        <x:v>18.52</x:v>
      </x:c>
      <x:c r="AC122" s="60" t="n">
        <x:v>1</x:v>
      </x:c>
    </x:row>
    <x:row r="123">
      <x:c r="A123" s="60" t="n">
        <x:v>13</x:v>
      </x:c>
      <x:c r="B123" s="61" t="n">
        <x:v>225</x:v>
      </x:c>
      <x:c r="C123" s="61" t="n">
        <x:v>12</x:v>
      </x:c>
      <x:c r="D123" s="61" t="n">
        <x:v>224.99987</x:v>
      </x:c>
      <x:c r="E123" s="61" t="n">
        <x:v>-0.00013</x:v>
      </x:c>
      <x:c r="F123" s="61" t="n">
        <x:v>0.04904</x:v>
      </x:c>
      <x:c r="G123" s="61" t="n">
        <x:v>24.21</x:v>
      </x:c>
      <x:c r="H123" s="61" t="n">
        <x:v>0.064</x:v>
      </x:c>
      <x:c r="I123" s="61" t="n">
        <x:v>21.68</x:v>
      </x:c>
      <x:c r="J123" s="61" t="n">
        <x:v>0.52446</x:v>
      </x:c>
      <x:c r="K123" s="61" t="n">
        <x:v>18.9</x:v>
      </x:c>
      <x:c r="L123" s="61" t="n">
        <x:v>0.484</x:v>
      </x:c>
      <x:c r="M123" s="61" t="n">
        <x:v>3.94</x:v>
      </x:c>
      <x:c r="N123" s="61" t="n">
        <x:v>0.53412</x:v>
      </x:c>
      <x:c r="O123" s="61" t="n">
        <x:v>22.17</x:v>
      </x:c>
      <x:c r="P123" s="61" t="n">
        <x:v>0.746</x:v>
      </x:c>
      <x:c r="Q123" s="61" t="n">
        <x:v>3.08</x:v>
      </x:c>
      <x:c r="R123" s="61" t="n">
        <x:v>0.75047</x:v>
      </x:c>
      <x:c r="S123" s="61" t="n">
        <x:v>2.13</x:v>
      </x:c>
      <x:c r="T123" s="62" t="n">
        <x:f>IF(R123=0,0,100*F123^2/R123^2)</x:f>
        <x:v>0.42700626889732024</x:v>
      </x:c>
      <x:c r="U123" s="62" t="n">
        <x:f>IF(R123=0,0,100*J123^2/R123^2)</x:f>
        <x:v>48.838022339433905</x:v>
      </x:c>
      <x:c r="V123" s="62" t="n">
        <x:f>IF(R123=0,0,100*N123^2/R123^2)</x:f>
        <x:v>50.65368072123283</x:v>
      </x:c>
      <x:c r="W123" s="60" t="str">
        <x:f>IF(AND(F123&gt;=J123,F123&gt;=N123),"X",IF(J123&gt;=N123,"Y","Z"))</x:f>
        <x:v>Z</x:v>
      </x:c>
      <x:c r="X123" s="61" t="n">
        <x:f>ABS(MOD(K123-O123+180,360)-180)</x:f>
        <x:v>3.2700000000000102</x:v>
      </x:c>
      <x:c r="Y123" s="61" t="n">
        <x:v>233.59375</x:v>
      </x:c>
      <x:c r="Z123" s="61" t="n">
        <x:v>224.99181</x:v>
      </x:c>
      <x:c r="AA123" s="61" t="n">
        <x:v>225.0065</x:v>
      </x:c>
      <x:c r="AB123" s="61" t="n">
        <x:v>18.03</x:v>
      </x:c>
      <x:c r="AC123" s="60" t="n">
        <x:v>1</x:v>
      </x:c>
    </x:row>
    <x:row r="124">
      <x:c r="A124" s="60" t="n">
        <x:v>13</x:v>
      </x:c>
      <x:c r="B124" s="61" t="n">
        <x:v>225</x:v>
      </x:c>
      <x:c r="C124" s="61" t="n">
        <x:v>13</x:v>
      </x:c>
      <x:c r="D124" s="61" t="n">
        <x:v>224.99217</x:v>
      </x:c>
      <x:c r="E124" s="61" t="n">
        <x:v>-0.00783</x:v>
      </x:c>
      <x:c r="F124" s="61" t="n">
        <x:v>0.05631</x:v>
      </x:c>
      <x:c r="G124" s="61" t="n">
        <x:v>18.66</x:v>
      </x:c>
      <x:c r="H124" s="61" t="n">
        <x:v>0.07</x:v>
      </x:c>
      <x:c r="I124" s="61" t="n">
        <x:v>14.34</x:v>
      </x:c>
      <x:c r="J124" s="61" t="n">
        <x:v>0.56105</x:v>
      </x:c>
      <x:c r="K124" s="61" t="n">
        <x:v>20.93</x:v>
      </x:c>
      <x:c r="L124" s="61" t="n">
        <x:v>0.509</x:v>
      </x:c>
      <x:c r="M124" s="61" t="n">
        <x:v>1.88</x:v>
      </x:c>
      <x:c r="N124" s="61" t="n">
        <x:v>0.58327</x:v>
      </x:c>
      <x:c r="O124" s="61" t="n">
        <x:v>25.03</x:v>
      </x:c>
      <x:c r="P124" s="61" t="n">
        <x:v>0.781</x:v>
      </x:c>
      <x:c r="Q124" s="61" t="n">
        <x:v>3.88</x:v>
      </x:c>
      <x:c r="R124" s="61" t="n">
        <x:v>0.81141</x:v>
      </x:c>
      <x:c r="S124" s="61" t="n">
        <x:v>2.43</x:v>
      </x:c>
      <x:c r="T124" s="62" t="n">
        <x:f>IF(R124=0,0,100*F124^2/R124^2)</x:f>
        <x:v>0.48160428595115</x:v>
      </x:c>
      <x:c r="U124" s="62" t="n">
        <x:f>IF(R124=0,0,100*J124^2/R124^2)</x:f>
        <x:v>47.81040492486603</x:v>
      </x:c>
      <x:c r="V124" s="62" t="n">
        <x:f>IF(R124=0,0,100*N124^2/R124^2)</x:f>
        <x:v>51.67239213838545</x:v>
      </x:c>
      <x:c r="W124" s="60" t="str">
        <x:f>IF(AND(F124&gt;=J124,F124&gt;=N124),"X",IF(J124&gt;=N124,"Y","Z"))</x:f>
        <x:v>Z</x:v>
      </x:c>
      <x:c r="X124" s="61" t="n">
        <x:f>ABS(MOD(K124-O124+180,360)-180)</x:f>
        <x:v>4.099999999999994</x:v>
      </x:c>
      <x:c r="Y124" s="61" t="n">
        <x:v>233.59375</x:v>
      </x:c>
      <x:c r="Z124" s="61" t="n">
        <x:v>225.00342</x:v>
      </x:c>
      <x:c r="AA124" s="61" t="n">
        <x:v>224.98047</x:v>
      </x:c>
      <x:c r="AB124" s="61" t="n">
        <x:v>19.07</x:v>
      </x:c>
      <x:c r="AC124" s="60" t="n">
        <x:v>1</x:v>
      </x:c>
    </x:row>
    <x:row r="125">
      <x:c r="A125" s="60" t="n">
        <x:v>13</x:v>
      </x:c>
      <x:c r="B125" s="61" t="n">
        <x:v>225</x:v>
      </x:c>
      <x:c r="C125" s="61" t="n">
        <x:v>14</x:v>
      </x:c>
      <x:c r="D125" s="61" t="n">
        <x:v>224.99854</x:v>
      </x:c>
      <x:c r="E125" s="61" t="n">
        <x:v>-0.00146</x:v>
      </x:c>
      <x:c r="F125" s="61" t="n">
        <x:v>0.06809</x:v>
      </x:c>
      <x:c r="G125" s="61" t="n">
        <x:v>22.97</x:v>
      </x:c>
      <x:c r="H125" s="61" t="n">
        <x:v>0.089</x:v>
      </x:c>
      <x:c r="I125" s="61" t="n">
        <x:v>16.12</x:v>
      </x:c>
      <x:c r="J125" s="61" t="n">
        <x:v>0.62062</x:v>
      </x:c>
      <x:c r="K125" s="61" t="n">
        <x:v>18.28</x:v>
      </x:c>
      <x:c r="L125" s="61" t="n">
        <x:v>0.572</x:v>
      </x:c>
      <x:c r="M125" s="61" t="n">
        <x:v>1.06</x:v>
      </x:c>
      <x:c r="N125" s="61" t="n">
        <x:v>0.64721</x:v>
      </x:c>
      <x:c r="O125" s="61" t="n">
        <x:v>24.23</x:v>
      </x:c>
      <x:c r="P125" s="61" t="n">
        <x:v>0.817</x:v>
      </x:c>
      <x:c r="Q125" s="61" t="n">
        <x:v>3.23</x:v>
      </x:c>
      <x:c r="R125" s="61" t="n">
        <x:v>0.89941</x:v>
      </x:c>
      <x:c r="S125" s="61" t="n">
        <x:v>1.93</x:v>
      </x:c>
      <x:c r="T125" s="62" t="n">
        <x:f>IF(R125=0,0,100*F125^2/R125^2)</x:f>
        <x:v>0.5731274961669726</x:v>
      </x:c>
      <x:c r="U125" s="62" t="n">
        <x:f>IF(R125=0,0,100*J125^2/R125^2)</x:f>
        <x:v>47.614158149959</x:v>
      </x:c>
      <x:c r="V125" s="62" t="n">
        <x:f>IF(R125=0,0,100*N125^2/R125^2)</x:f>
        <x:v>51.78154615661988</x:v>
      </x:c>
      <x:c r="W125" s="60" t="str">
        <x:f>IF(AND(F125&gt;=J125,F125&gt;=N125),"X",IF(J125&gt;=N125,"Y","Z"))</x:f>
        <x:v>Z</x:v>
      </x:c>
      <x:c r="X125" s="61" t="n">
        <x:f>ABS(MOD(K125-O125+180,360)-180)</x:f>
        <x:v>5.949999999999989</x:v>
      </x:c>
      <x:c r="Y125" s="61" t="n">
        <x:v>233.59375</x:v>
      </x:c>
      <x:c r="Z125" s="61" t="n">
        <x:v>225.00136</x:v>
      </x:c>
      <x:c r="AA125" s="61" t="n">
        <x:v>224.99703</x:v>
      </x:c>
      <x:c r="AB125" s="61" t="n">
        <x:v>20.55</x:v>
      </x:c>
      <x:c r="AC125" s="60" t="n">
        <x:v>1</x:v>
      </x:c>
    </x:row>
    <x:row r="126">
      <x:c r="A126" s="60" t="n">
        <x:v>13</x:v>
      </x:c>
      <x:c r="B126" s="61" t="n">
        <x:v>225</x:v>
      </x:c>
      <x:c r="C126" s="61" t="n">
        <x:v>15</x:v>
      </x:c>
      <x:c r="D126" s="61" t="n">
        <x:v>224.99623</x:v>
      </x:c>
      <x:c r="E126" s="61" t="n">
        <x:v>-0.00377</x:v>
      </x:c>
      <x:c r="F126" s="61" t="n">
        <x:v>0.06403</x:v>
      </x:c>
      <x:c r="G126" s="61" t="n">
        <x:v>9.28</x:v>
      </x:c>
      <x:c r="H126" s="61" t="n">
        <x:v>0.082</x:v>
      </x:c>
      <x:c r="I126" s="61" t="n">
        <x:v>27.94</x:v>
      </x:c>
      <x:c r="J126" s="61" t="n">
        <x:v>0.66622</x:v>
      </x:c>
      <x:c r="K126" s="61" t="n">
        <x:v>18.18</x:v>
      </x:c>
      <x:c r="L126" s="61" t="n">
        <x:v>0.586</x:v>
      </x:c>
      <x:c r="M126" s="61" t="n">
        <x:v>4.37</x:v>
      </x:c>
      <x:c r="N126" s="61" t="n">
        <x:v>0.69821</x:v>
      </x:c>
      <x:c r="O126" s="61" t="n">
        <x:v>23.94</x:v>
      </x:c>
      <x:c r="P126" s="61" t="n">
        <x:v>0.828</x:v>
      </x:c>
      <x:c r="Q126" s="61" t="n">
        <x:v>1.66</x:v>
      </x:c>
      <x:c r="R126" s="61" t="n">
        <x:v>0.96743</x:v>
      </x:c>
      <x:c r="S126" s="61" t="n">
        <x:v>2.71</x:v>
      </x:c>
      <x:c r="T126" s="62" t="n">
        <x:f>IF(R126=0,0,100*F126^2/R126^2)</x:f>
        <x:v>0.43805425400689263</x:v>
      </x:c>
      <x:c r="U126" s="62" t="n">
        <x:f>IF(R126=0,0,100*J126^2/R126^2)</x:f>
        <x:v>47.42378693541531</x:v>
      </x:c>
      <x:c r="V126" s="62" t="n">
        <x:f>IF(R126=0,0,100*N126^2/R126^2)</x:f>
        <x:v>52.087441752305885</x:v>
      </x:c>
      <x:c r="W126" s="60" t="str">
        <x:f>IF(AND(F126&gt;=J126,F126&gt;=N126),"X",IF(J126&gt;=N126,"Y","Z"))</x:f>
        <x:v>Z</x:v>
      </x:c>
      <x:c r="X126" s="61" t="n">
        <x:f>ABS(MOD(K126-O126+180,360)-180)</x:f>
        <x:v>5.759999999999991</x:v>
      </x:c>
      <x:c r="Y126" s="61" t="n">
        <x:v>233.59375</x:v>
      </x:c>
      <x:c r="Z126" s="61" t="n">
        <x:v>225.00027</x:v>
      </x:c>
      <x:c r="AA126" s="61" t="n">
        <x:v>224.99302</x:v>
      </x:c>
      <x:c r="AB126" s="61" t="n">
        <x:v>19.47</x:v>
      </x:c>
      <x:c r="AC126" s="60" t="n">
        <x:v>1</x:v>
      </x:c>
    </x:row>
    <x:row r="127">
      <x:c r="A127" s="60" t="n">
        <x:v>13</x:v>
      </x:c>
      <x:c r="B127" s="61" t="n">
        <x:v>225</x:v>
      </x:c>
      <x:c r="C127" s="61" t="n">
        <x:v>16</x:v>
      </x:c>
      <x:c r="D127" s="61" t="n">
        <x:v>225.00412</x:v>
      </x:c>
      <x:c r="E127" s="61" t="n">
        <x:v>0.00412</x:v>
      </x:c>
      <x:c r="F127" s="61" t="n">
        <x:v>0.07815</x:v>
      </x:c>
      <x:c r="G127" s="61" t="n">
        <x:v>29</x:v>
      </x:c>
      <x:c r="H127" s="61" t="n">
        <x:v>0.106</x:v>
      </x:c>
      <x:c r="I127" s="61" t="n">
        <x:v>18.82</x:v>
      </x:c>
      <x:c r="J127" s="61" t="n">
        <x:v>0.70314</x:v>
      </x:c>
      <x:c r="K127" s="61" t="n">
        <x:v>19.21</x:v>
      </x:c>
      <x:c r="L127" s="61" t="n">
        <x:v>0.61</x:v>
      </x:c>
      <x:c r="M127" s="61" t="n">
        <x:v>1.8</x:v>
      </x:c>
      <x:c r="N127" s="61" t="n">
        <x:v>0.75357</x:v>
      </x:c>
      <x:c r="O127" s="61" t="n">
        <x:v>25.85</x:v>
      </x:c>
      <x:c r="P127" s="61" t="n">
        <x:v>0.847</x:v>
      </x:c>
      <x:c r="Q127" s="61" t="n">
        <x:v>1.75</x:v>
      </x:c>
      <x:c r="R127" s="61" t="n">
        <x:v>1.03373</x:v>
      </x:c>
      <x:c r="S127" s="61" t="n">
        <x:v>1.61</x:v>
      </x:c>
      <x:c r="T127" s="62" t="n">
        <x:f>IF(R127=0,0,100*F127^2/R127^2)</x:f>
        <x:v>0.5715361755197331</x:v>
      </x:c>
      <x:c r="U127" s="62" t="n">
        <x:f>IF(R127=0,0,100*J127^2/R127^2)</x:f>
        <x:v>46.26678998388112</x:v>
      </x:c>
      <x:c r="V127" s="62" t="n">
        <x:f>IF(R127=0,0,100*N127^2/R127^2)</x:f>
        <x:v>53.141396247133954</x:v>
      </x:c>
      <x:c r="W127" s="60" t="str">
        <x:f>IF(AND(F127&gt;=J127,F127&gt;=N127),"X",IF(J127&gt;=N127,"Y","Z"))</x:f>
        <x:v>Z</x:v>
      </x:c>
      <x:c r="X127" s="61" t="n">
        <x:f>ABS(MOD(K127-O127+180,360)-180)</x:f>
        <x:v>6.639999999999986</x:v>
      </x:c>
      <x:c r="Y127" s="61" t="n">
        <x:v>233.59375</x:v>
      </x:c>
      <x:c r="Z127" s="61" t="n">
        <x:v>225.01267</x:v>
      </x:c>
      <x:c r="AA127" s="61" t="n">
        <x:v>224.99645</x:v>
      </x:c>
      <x:c r="AB127" s="61" t="n">
        <x:v>22.25</x:v>
      </x:c>
      <x:c r="AC127" s="60" t="n">
        <x:v>1</x:v>
      </x:c>
    </x:row>
    <x:row r="128">
      <x:c r="A128" s="60" t="n">
        <x:v>13</x:v>
      </x:c>
      <x:c r="B128" s="61" t="n">
        <x:v>225</x:v>
      </x:c>
      <x:c r="C128" s="61" t="n">
        <x:v>17</x:v>
      </x:c>
      <x:c r="D128" s="61" t="n">
        <x:v>225.00254</x:v>
      </x:c>
      <x:c r="E128" s="61" t="n">
        <x:v>0.00254</x:v>
      </x:c>
      <x:c r="F128" s="61" t="n">
        <x:v>0.06954</x:v>
      </x:c>
      <x:c r="G128" s="61" t="n">
        <x:v>14.47</x:v>
      </x:c>
      <x:c r="H128" s="61" t="n">
        <x:v>0.085</x:v>
      </x:c>
      <x:c r="I128" s="61" t="n">
        <x:v>19.54</x:v>
      </x:c>
      <x:c r="J128" s="61" t="n">
        <x:v>0.73137</x:v>
      </x:c>
      <x:c r="K128" s="61" t="n">
        <x:v>18.8</x:v>
      </x:c>
      <x:c r="L128" s="61" t="n">
        <x:v>0.615</x:v>
      </x:c>
      <x:c r="M128" s="61" t="n">
        <x:v>2.14</x:v>
      </x:c>
      <x:c r="N128" s="61" t="n">
        <x:v>0.79487</x:v>
      </x:c>
      <x:c r="O128" s="61" t="n">
        <x:v>24.2</x:v>
      </x:c>
      <x:c r="P128" s="61" t="n">
        <x:v>0.84</x:v>
      </x:c>
      <x:c r="Q128" s="61" t="n">
        <x:v>2.16</x:v>
      </x:c>
      <x:c r="R128" s="61" t="n">
        <x:v>1.08253</x:v>
      </x:c>
      <x:c r="S128" s="61" t="n">
        <x:v>1.75</x:v>
      </x:c>
      <x:c r="T128" s="62" t="n">
        <x:f>IF(R128=0,0,100*F128^2/R128^2)</x:f>
        <x:v>0.41265726099302424</x:v>
      </x:c>
      <x:c r="U128" s="62" t="n">
        <x:f>IF(R128=0,0,100*J128^2/R128^2)</x:f>
        <x:v>45.64512520567053</x:v>
      </x:c>
      <x:c r="V128" s="62" t="n">
        <x:f>IF(R128=0,0,100*N128^2/R128^2)</x:f>
        <x:v>53.91533783019514</x:v>
      </x:c>
      <x:c r="W128" s="60" t="str">
        <x:f>IF(AND(F128&gt;=J128,F128&gt;=N128),"X",IF(J128&gt;=N128,"Y","Z"))</x:f>
        <x:v>Z</x:v>
      </x:c>
      <x:c r="X128" s="61" t="n">
        <x:f>ABS(MOD(K128-O128+180,360)-180)</x:f>
        <x:v>5.400000000000006</x:v>
      </x:c>
      <x:c r="Y128" s="61" t="n">
        <x:v>220.0701</x:v>
      </x:c>
      <x:c r="Z128" s="61" t="n">
        <x:v>225.00875</x:v>
      </x:c>
      <x:c r="AA128" s="61" t="n">
        <x:v>224.99776</x:v>
      </x:c>
      <x:c r="AB128" s="61" t="n">
        <x:v>26.85</x:v>
      </x:c>
      <x:c r="AC128" s="60" t="n">
        <x:v>1</x:v>
      </x:c>
    </x:row>
    <x:row r="129">
      <x:c r="A129" s="60" t="n">
        <x:v>13</x:v>
      </x:c>
      <x:c r="B129" s="61" t="n">
        <x:v>225</x:v>
      </x:c>
      <x:c r="C129" s="61" t="n">
        <x:v>18</x:v>
      </x:c>
      <x:c r="D129" s="61" t="n">
        <x:v>225.00591</x:v>
      </x:c>
      <x:c r="E129" s="61" t="n">
        <x:v>0.00591</x:v>
      </x:c>
      <x:c r="F129" s="61" t="n">
        <x:v>0.08561</x:v>
      </x:c>
      <x:c r="G129" s="61" t="n">
        <x:v>24.77</x:v>
      </x:c>
      <x:c r="H129" s="61" t="n">
        <x:v>0.113</x:v>
      </x:c>
      <x:c r="I129" s="61" t="n">
        <x:v>9.11</x:v>
      </x:c>
      <x:c r="J129" s="61" t="n">
        <x:v>0.77576</x:v>
      </x:c>
      <x:c r="K129" s="61" t="n">
        <x:v>18.51</x:v>
      </x:c>
      <x:c r="L129" s="61" t="n">
        <x:v>0.63</x:v>
      </x:c>
      <x:c r="M129" s="61" t="n">
        <x:v>2.67</x:v>
      </x:c>
      <x:c r="N129" s="61" t="n">
        <x:v>0.85749</x:v>
      </x:c>
      <x:c r="O129" s="61" t="n">
        <x:v>23.86</x:v>
      </x:c>
      <x:c r="P129" s="61" t="n">
        <x:v>0.857</x:v>
      </x:c>
      <x:c r="Q129" s="61" t="n">
        <x:v>1.97</x:v>
      </x:c>
      <x:c r="R129" s="61" t="n">
        <x:v>1.15958</x:v>
      </x:c>
      <x:c r="S129" s="61" t="n">
        <x:v>1.94</x:v>
      </x:c>
      <x:c r="T129" s="62" t="n">
        <x:f>IF(R129=0,0,100*F129^2/R129^2)</x:f>
        <x:v>0.5450640786927577</x:v>
      </x:c>
      <x:c r="U129" s="62" t="n">
        <x:f>IF(R129=0,0,100*J129^2/R129^2)</x:f>
        <x:v>44.75621307894481</x:v>
      </x:c>
      <x:c r="V129" s="62" t="n">
        <x:f>IF(R129=0,0,100*N129^2/R129^2)</x:f>
        <x:v>54.68354935665503</x:v>
      </x:c>
      <x:c r="W129" s="60" t="str">
        <x:f>IF(AND(F129&gt;=J129,F129&gt;=N129),"X",IF(J129&gt;=N129,"Y","Z"))</x:f>
        <x:v>Z</x:v>
      </x:c>
      <x:c r="X129" s="61" t="n">
        <x:f>ABS(MOD(K129-O129+180,360)-180)</x:f>
        <x:v>5.349999999999994</x:v>
      </x:c>
      <x:c r="Y129" s="61" t="n">
        <x:v>233.59375</x:v>
      </x:c>
      <x:c r="Z129" s="61" t="n">
        <x:v>225.00771</x:v>
      </x:c>
      <x:c r="AA129" s="61" t="n">
        <x:v>225.00504</x:v>
      </x:c>
      <x:c r="AB129" s="61" t="n">
        <x:v>23.67</x:v>
      </x:c>
      <x:c r="AC129" s="60" t="n">
        <x:v>1</x:v>
      </x:c>
    </x:row>
    <x:row r="130">
      <x:c r="A130" s="60" t="n">
        <x:v>13</x:v>
      </x:c>
      <x:c r="B130" s="61" t="n">
        <x:v>225</x:v>
      </x:c>
      <x:c r="C130" s="61" t="n">
        <x:v>19</x:v>
      </x:c>
      <x:c r="D130" s="61" t="n">
        <x:v>224.99592</x:v>
      </x:c>
      <x:c r="E130" s="61" t="n">
        <x:v>-0.00408</x:v>
      </x:c>
      <x:c r="F130" s="61" t="n">
        <x:v>0.07838</x:v>
      </x:c>
      <x:c r="G130" s="61" t="n">
        <x:v>22.11</x:v>
      </x:c>
      <x:c r="H130" s="61" t="n">
        <x:v>0.108</x:v>
      </x:c>
      <x:c r="I130" s="61" t="n">
        <x:v>24.42</x:v>
      </x:c>
      <x:c r="J130" s="61" t="n">
        <x:v>0.80547</x:v>
      </x:c>
      <x:c r="K130" s="61" t="n">
        <x:v>18.69</x:v>
      </x:c>
      <x:c r="L130" s="61" t="n">
        <x:v>0.62</x:v>
      </x:c>
      <x:c r="M130" s="61" t="n">
        <x:v>2.42</x:v>
      </x:c>
      <x:c r="N130" s="61" t="n">
        <x:v>0.89703</x:v>
      </x:c>
      <x:c r="O130" s="61" t="n">
        <x:v>25.4</x:v>
      </x:c>
      <x:c r="P130" s="61" t="n">
        <x:v>0.876</x:v>
      </x:c>
      <x:c r="Q130" s="61" t="n">
        <x:v>2.66</x:v>
      </x:c>
      <x:c r="R130" s="61" t="n">
        <x:v>1.20831</x:v>
      </x:c>
      <x:c r="S130" s="61" t="n">
        <x:v>2.34</x:v>
      </x:c>
      <x:c r="T130" s="62" t="n">
        <x:f>IF(R130=0,0,100*F130^2/R130^2)</x:f>
        <x:v>0.4207787303224788</x:v>
      </x:c>
      <x:c r="U130" s="62" t="n">
        <x:f>IF(R130=0,0,100*J130^2/R130^2)</x:f>
        <x:v>44.436720492968206</x:v>
      </x:c>
      <x:c r="V130" s="62" t="n">
        <x:f>IF(R130=0,0,100*N130^2/R130^2)</x:f>
        <x:v>55.11339898900785</x:v>
      </x:c>
      <x:c r="W130" s="60" t="str">
        <x:f>IF(AND(F130&gt;=J130,F130&gt;=N130),"X",IF(J130&gt;=N130,"Y","Z"))</x:f>
        <x:v>Z</x:v>
      </x:c>
      <x:c r="X130" s="61" t="n">
        <x:f>ABS(MOD(K130-O130+180,360)-180)</x:f>
        <x:v>6.710000000000008</x:v>
      </x:c>
      <x:c r="Y130" s="61" t="n">
        <x:v>232.03125</x:v>
      </x:c>
      <x:c r="Z130" s="61" t="n">
        <x:v>224.98952</x:v>
      </x:c>
      <x:c r="AA130" s="61" t="n">
        <x:v>225.00069</x:v>
      </x:c>
      <x:c r="AB130" s="61" t="n">
        <x:v>23.71</x:v>
      </x:c>
      <x:c r="AC130" s="60" t="n">
        <x:v>1</x:v>
      </x:c>
    </x:row>
    <x:row r="131">
      <x:c r="A131" s="60" t="n">
        <x:v>13</x:v>
      </x:c>
      <x:c r="B131" s="61" t="n">
        <x:v>225</x:v>
      </x:c>
      <x:c r="C131" s="61" t="n">
        <x:v>20</x:v>
      </x:c>
      <x:c r="D131" s="61" t="n">
        <x:v>225.00036</x:v>
      </x:c>
      <x:c r="E131" s="61" t="n">
        <x:v>0.00036</x:v>
      </x:c>
      <x:c r="F131" s="61" t="n">
        <x:v>0.099</x:v>
      </x:c>
      <x:c r="G131" s="61" t="n">
        <x:v>23.24</x:v>
      </x:c>
      <x:c r="H131" s="61" t="n">
        <x:v>0.114</x:v>
      </x:c>
      <x:c r="I131" s="61" t="n">
        <x:v>9.86</x:v>
      </x:c>
      <x:c r="J131" s="61" t="n">
        <x:v>0.85695</x:v>
      </x:c>
      <x:c r="K131" s="61" t="n">
        <x:v>20.58</x:v>
      </x:c>
      <x:c r="L131" s="61" t="n">
        <x:v>0.66</x:v>
      </x:c>
      <x:c r="M131" s="61" t="n">
        <x:v>1.59</x:v>
      </x:c>
      <x:c r="N131" s="61" t="n">
        <x:v>0.96383</x:v>
      </x:c>
      <x:c r="O131" s="61" t="n">
        <x:v>25.34</x:v>
      </x:c>
      <x:c r="P131" s="61" t="n">
        <x:v>0.877</x:v>
      </x:c>
      <x:c r="Q131" s="61" t="n">
        <x:v>2.76</x:v>
      </x:c>
      <x:c r="R131" s="61" t="n">
        <x:v>1.29371</x:v>
      </x:c>
      <x:c r="S131" s="61" t="n">
        <x:v>1.32</x:v>
      </x:c>
      <x:c r="T131" s="62" t="n">
        <x:f>IF(R131=0,0,100*F131^2/R131^2)</x:f>
        <x:v>0.5855938660300477</x:v>
      </x:c>
      <x:c r="U131" s="62" t="n">
        <x:f>IF(R131=0,0,100*J131^2/R131^2)</x:f>
        <x:v>43.87701718003962</x:v>
      </x:c>
      <x:c r="V131" s="62" t="n">
        <x:f>IF(R131=0,0,100*N131^2/R131^2)</x:f>
        <x:v>55.504348536311795</x:v>
      </x:c>
      <x:c r="W131" s="60" t="str">
        <x:f>IF(AND(F131&gt;=J131,F131&gt;=N131),"X",IF(J131&gt;=N131,"Y","Z"))</x:f>
        <x:v>Z</x:v>
      </x:c>
      <x:c r="X131" s="61" t="n">
        <x:f>ABS(MOD(K131-O131+180,360)-180)</x:f>
        <x:v>4.759999999999991</x:v>
      </x:c>
      <x:c r="Y131" s="61" t="n">
        <x:v>233.59375</x:v>
      </x:c>
      <x:c r="Z131" s="61" t="n">
        <x:v>224.99734</x:v>
      </x:c>
      <x:c r="AA131" s="61" t="n">
        <x:v>225.00304</x:v>
      </x:c>
      <x:c r="AB131" s="61" t="n">
        <x:v>20.83</x:v>
      </x:c>
      <x:c r="AC131" s="60" t="n">
        <x:v>1</x:v>
      </x:c>
    </x:row>
  </x:sheetData>
  <x:pageMargins left="0.7" right="0.7" top="0.75" bottom="0.75" header="0.3" footer="0.3"/>
  <x:tableParts count="1">
    <x:tablePart xmlns:r="http://schemas.openxmlformats.org/officeDocument/2006/relationships" r:id="Rc1ab6d1060524163"/>
  </x:tableParts>
</x:worksheet>
</file>

<file path=xl/worksheets/sheet11.xml><?xml version="1.0" encoding="utf-8"?>
<x:worksheet xmlns:x="http://schemas.openxmlformats.org/spreadsheetml/2006/main">
  <x:sheetFormatPr defaultRowHeight="15"/>
  <x:cols>
    <x:col min="1" max="1" width="9" hidden="0" customWidth="1"/>
    <x:col min="2" max="2" width="6"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9" hidden="0" customWidth="1"/>
    <x:col min="11" max="11" width="9" hidden="0" customWidth="1"/>
    <x:col min="12" max="12" width="9"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4" hidden="0" customWidth="1"/>
    <x:col min="23" max="23" width="12" hidden="0" customWidth="1"/>
    <x:col min="24" max="24" width="9" hidden="0" customWidth="1"/>
    <x:col min="25" max="25" width="12" hidden="0" customWidth="1"/>
    <x:col min="26" max="26" width="12" hidden="0" customWidth="1"/>
    <x:col min="27" max="27" width="48" hidden="0" customWidth="1"/>
    <x:col min="28" max="28" width="18" hidden="0" customWidth="1"/>
  </x:cols>
  <x:sheetData>
    <x:row r="1">
      <x:c r="A1" s="65" t="str">
        <x:v>INCLINED FREQUENCY-DEPENDENT CONTROL MAP — VISATON EX 45 S INSTALLED ASSEMBLY</x:v>
      </x:c>
      <x:c r="B1" s="65"/>
      <x:c r="C1" s="65"/>
      <x:c r="D1" s="65"/>
      <x:c r="E1" s="65"/>
      <x:c r="F1" s="65"/>
      <x:c r="G1" s="65"/>
      <x:c r="H1" s="65"/>
      <x:c r="I1" s="65"/>
      <x:c r="J1" s="65"/>
      <x:c r="K1" s="65"/>
      <x:c r="L1" s="65"/>
      <x:c r="M1" s="65"/>
      <x:c r="N1" s="65"/>
      <x:c r="O1" s="65"/>
      <x:c r="P1" s="65"/>
      <x:c r="Q1" s="65"/>
      <x:c r="R1" s="65"/>
      <x:c r="S1" s="65"/>
      <x:c r="T1" s="65"/>
      <x:c r="U1" s="65"/>
      <x:c r="V1" s="65"/>
      <x:c r="W1" s="65"/>
      <x:c r="X1" s="65"/>
      <x:c r="Y1" s="65"/>
      <x:c r="Z1" s="65"/>
      <x:c r="AA1" s="65"/>
      <x:c r="AB1" s="65"/>
    </x:row>
    <x:row r="2">
      <x:c r="A2" s="68" t="str">
        <x:v>Primary sweeps use DAC 11–20. Values summarize exact-command-frequency quadrature results. Run 13 is the repeated 225 Hz sweep and is analyzed separately.</x:v>
      </x:c>
      <x:c r="B2" s="68"/>
      <x:c r="C2" s="68"/>
      <x:c r="D2" s="68"/>
      <x:c r="E2" s="68"/>
      <x:c r="F2" s="68"/>
      <x:c r="G2" s="68"/>
      <x:c r="H2" s="68"/>
      <x:c r="I2" s="68"/>
      <x:c r="J2" s="68"/>
      <x:c r="K2" s="68"/>
      <x:c r="L2" s="68"/>
      <x:c r="M2" s="68"/>
      <x:c r="N2" s="68"/>
      <x:c r="O2" s="68"/>
      <x:c r="P2" s="68"/>
      <x:c r="Q2" s="68"/>
      <x:c r="R2" s="68"/>
      <x:c r="S2" s="68"/>
      <x:c r="T2" s="68"/>
      <x:c r="U2" s="68"/>
      <x:c r="V2" s="68"/>
      <x:c r="W2" s="68"/>
      <x:c r="X2" s="68"/>
      <x:c r="Y2" s="68"/>
      <x:c r="Z2" s="68"/>
      <x:c r="AA2" s="68"/>
      <x:c r="AB2" s="68"/>
    </x:row>
    <x:row r="4">
      <x:c r="A4" s="71" t="str">
        <x:v>Freq_Hz</x:v>
      </x:c>
      <x:c r="B4" s="71" t="str">
        <x:v>Run</x:v>
      </x:c>
      <x:c r="C4" s="71" t="str">
        <x:v>Dominance</x:v>
      </x:c>
      <x:c r="D4" s="71" t="str">
        <x:v>Mean X energy %</x:v>
      </x:c>
      <x:c r="E4" s="71" t="str">
        <x:v>Mean Y energy %</x:v>
      </x:c>
      <x:c r="F4" s="71" t="str">
        <x:v>Mean Z energy %</x:v>
      </x:c>
      <x:c r="G4" s="71" t="str">
        <x:v>X amp slope/DAC</x:v>
      </x:c>
      <x:c r="H4" s="71" t="str">
        <x:v>Y amp slope/DAC</x:v>
      </x:c>
      <x:c r="I4" s="71" t="str">
        <x:v>Z amp slope/DAC</x:v>
      </x:c>
      <x:c r="J4" s="71" t="str">
        <x:v>X R²</x:v>
      </x:c>
      <x:c r="K4" s="71" t="str">
        <x:v>Y R²</x:v>
      </x:c>
      <x:c r="L4" s="71" t="str">
        <x:v>Z R²</x:v>
      </x:c>
      <x:c r="M4" s="71" t="str">
        <x:v>Median X sync</x:v>
      </x:c>
      <x:c r="N4" s="71" t="str">
        <x:v>Median Y sync</x:v>
      </x:c>
      <x:c r="O4" s="71" t="str">
        <x:v>Median Z sync</x:v>
      </x:c>
      <x:c r="P4" s="71" t="str">
        <x:v>Median X CV %</x:v>
      </x:c>
      <x:c r="Q4" s="71" t="str">
        <x:v>Median Y CV %</x:v>
      </x:c>
      <x:c r="R4" s="71" t="str">
        <x:v>Median Z CV %</x:v>
      </x:c>
      <x:c r="S4" s="71" t="str">
        <x:v>X phase span °</x:v>
      </x:c>
      <x:c r="T4" s="71" t="str">
        <x:v>Y phase span °</x:v>
      </x:c>
      <x:c r="U4" s="71" t="str">
        <x:v>Z phase span °</x:v>
      </x:c>
      <x:c r="V4" s="71" t="str">
        <x:v>Median |Y-Z phase| °</x:v>
      </x:c>
      <x:c r="W4" s="71" t="str">
        <x:v>Total slope/DAC</x:v>
      </x:c>
      <x:c r="X4" s="71" t="str">
        <x:v>Total R²</x:v>
      </x:c>
      <x:c r="Y4" s="71" t="str">
        <x:v>Total/DAC CV %</x:v>
      </x:c>
      <x:c r="Z4" s="71" t="str">
        <x:v>Max |freq err| Hz</x:v>
      </x:c>
      <x:c r="AA4" s="71" t="str">
        <x:v>Control interpretation</x:v>
      </x:c>
      <x:c r="AB4" s="71" t="str">
        <x:v>Recommended phase axis</x:v>
      </x:c>
    </x:row>
    <x:row r="5">
      <x:c r="A5" t="n">
        <x:v>100</x:v>
      </x:c>
      <x:c r="B5" t="n">
        <x:v>1</x:v>
      </x:c>
      <x:c r="C5" t="str">
        <x:v>Z:10</x:v>
      </x:c>
      <x:c r="D5" s="44" t="n">
        <x:v>6.057489972283511</x:v>
      </x:c>
      <x:c r="E5" s="44" t="n">
        <x:v>2.297283017700596</x:v>
      </x:c>
      <x:c r="F5" s="44" t="n">
        <x:v>91.6452270100159</x:v>
      </x:c>
      <x:c r="G5" s="34" t="n">
        <x:v>0.006449515151515152</x:v>
      </x:c>
      <x:c r="H5" s="34" t="n">
        <x:v>0.0010454545454545454</x:v>
      </x:c>
      <x:c r="I5" s="34" t="n">
        <x:v>0.04715090909090909</x:v>
      </x:c>
      <x:c r="J5" s="34" t="n">
        <x:v>0.9404756353138772</x:v>
      </x:c>
      <x:c r="K5" s="34" t="n">
        <x:v>0.15300766820518796</x:v>
      </x:c>
      <x:c r="L5" s="34" t="n">
        <x:v>0.9888303480887135</x:v>
      </x:c>
      <x:c r="M5" s="34" t="n">
        <x:v>0.0885</x:v>
      </x:c>
      <x:c r="N5" s="34" t="n">
        <x:v>0.0385</x:v>
      </x:c>
      <x:c r="O5" s="34" t="n">
        <x:v>0.436</x:v>
      </x:c>
      <x:c r="P5" s="44" t="n">
        <x:v>21.335</x:v>
      </x:c>
      <x:c r="Q5" s="44" t="n">
        <x:v>40.51</x:v>
      </x:c>
      <x:c r="R5" s="44" t="n">
        <x:v>5.755</x:v>
      </x:c>
      <x:c r="S5" s="44" t="n">
        <x:v>26.45</x:v>
      </x:c>
      <x:c r="T5" s="44" t="n">
        <x:v>187.85</x:v>
      </x:c>
      <x:c r="U5" s="44" t="n">
        <x:v>10.920000000000002</x:v>
      </x:c>
      <x:c r="V5" s="44" t="n">
        <x:v>89.33</x:v>
      </x:c>
      <x:c r="W5" s="34" t="n">
        <x:v>0.04696769696969697</x:v>
      </x:c>
      <x:c r="X5" s="34" t="n">
        <x:v>0.9870205476732842</x:v>
      </x:c>
      <x:c r="Y5" s="34" t="n">
        <x:v>32.97341087890208</x:v>
      </x:c>
      <x:c r="Z5" s="34" t="n">
        <x:v>0.07725</x:v>
      </x:c>
      <x:c r="AA5" s="26" t="str">
        <x:v>Z dominant, but low synchronous content; characterization useful, not preferred for final phase cancellation.</x:v>
      </x:c>
      <x:c r="AB5" s="26" t="str">
        <x:v>Z (conditional)</x:v>
      </x:c>
    </x:row>
    <x:row r="6">
      <x:c r="A6" t="n">
        <x:v>125</x:v>
      </x:c>
      <x:c r="B6" t="n">
        <x:v>2</x:v>
      </x:c>
      <x:c r="C6" t="str">
        <x:v>Z:10</x:v>
      </x:c>
      <x:c r="D6" s="44" t="n">
        <x:v>4.959721862453395</x:v>
      </x:c>
      <x:c r="E6" s="44" t="n">
        <x:v>6.819336194040873</x:v>
      </x:c>
      <x:c r="F6" s="44" t="n">
        <x:v>88.22094194350572</x:v>
      </x:c>
      <x:c r="G6" s="34" t="n">
        <x:v>0.006125696969696969</x:v>
      </x:c>
      <x:c r="H6" s="34" t="n">
        <x:v>-0.0010633333333333334</x:v>
      </x:c>
      <x:c r="I6" s="34" t="n">
        <x:v>0.03697933333333334</x:v>
      </x:c>
      <x:c r="J6" s="34" t="n">
        <x:v>0.8921687587286198</x:v>
      </x:c>
      <x:c r="K6" s="34" t="n">
        <x:v>0.177968920778235</x:v>
      </x:c>
      <x:c r="L6" s="34" t="n">
        <x:v>0.9567361395814901</x:v>
      </x:c>
      <x:c r="M6" s="34" t="n">
        <x:v>0.081</x:v>
      </x:c>
      <x:c r="N6" s="34" t="n">
        <x:v>0.063</x:v>
      </x:c>
      <x:c r="O6" s="34" t="n">
        <x:v>0.41900000000000004</x:v>
      </x:c>
      <x:c r="P6" s="44" t="n">
        <x:v>18.46</x:v>
      </x:c>
      <x:c r="Q6" s="44" t="n">
        <x:v>22.4</x:v>
      </x:c>
      <x:c r="R6" s="44" t="n">
        <x:v>5.9350000000000005</x:v>
      </x:c>
      <x:c r="S6" s="44" t="n">
        <x:v>18.880000000000003</x:v>
      </x:c>
      <x:c r="T6" s="44" t="n">
        <x:v>67.78</x:v>
      </x:c>
      <x:c r="U6" s="44" t="n">
        <x:v>30.20999999999999</x:v>
      </x:c>
      <x:c r="V6" s="44" t="n">
        <x:v>5.700000000000003</x:v>
      </x:c>
      <x:c r="W6" s="34" t="n">
        <x:v>0.03634309090909091</x:v>
      </x:c>
      <x:c r="X6" s="34" t="n">
        <x:v>0.9548418274979592</x:v>
      </x:c>
      <x:c r="Y6" s="34" t="n">
        <x:v>26.879804063439405</x:v>
      </x:c>
      <x:c r="Z6" s="34" t="n">
        <x:v>0.0617</x:v>
      </x:c>
      <x:c r="AA6" s="26" t="str">
        <x:v>Z dominant, but low synchronous content; characterization useful, not preferred for final phase cancellation.</x:v>
      </x:c>
      <x:c r="AB6" s="26" t="str">
        <x:v>Z (conditional)</x:v>
      </x:c>
    </x:row>
    <x:row r="7">
      <x:c r="A7" t="n">
        <x:v>150</x:v>
      </x:c>
      <x:c r="B7" t="n">
        <x:v>3</x:v>
      </x:c>
      <x:c r="C7" t="str">
        <x:v>Z:10</x:v>
      </x:c>
      <x:c r="D7" s="44" t="n">
        <x:v>2.1259019189383537</x:v>
      </x:c>
      <x:c r="E7" s="44" t="n">
        <x:v>7.886326302714261</x:v>
      </x:c>
      <x:c r="F7" s="44" t="n">
        <x:v>89.9877717783474</x:v>
      </x:c>
      <x:c r="G7" s="34" t="n">
        <x:v>0.005940909090909092</x:v>
      </x:c>
      <x:c r="H7" s="34" t="n">
        <x:v>0.00037236363636363644</x:v>
      </x:c>
      <x:c r="I7" s="34" t="n">
        <x:v>0.045416363636363644</x:v>
      </x:c>
      <x:c r="J7" s="34" t="n">
        <x:v>0.9421966790404079</x:v>
      </x:c>
      <x:c r="K7" s="34" t="n">
        <x:v>0.040146876250629515</x:v>
      </x:c>
      <x:c r="L7" s="34" t="n">
        <x:v>0.9519976943160562</x:v>
      </x:c>
      <x:c r="M7" s="34" t="n">
        <x:v>0.0885</x:v>
      </x:c>
      <x:c r="N7" s="34" t="n">
        <x:v>0.1225</x:v>
      </x:c>
      <x:c r="O7" s="34" t="n">
        <x:v>0.5655</x:v>
      </x:c>
      <x:c r="P7" s="44" t="n">
        <x:v>17.75</x:v>
      </x:c>
      <x:c r="Q7" s="44" t="n">
        <x:v>14.515</x:v>
      </x:c>
      <x:c r="R7" s="44" t="n">
        <x:v>3.29</x:v>
      </x:c>
      <x:c r="S7" s="44" t="n">
        <x:v>37.85</x:v>
      </x:c>
      <x:c r="T7" s="44" t="n">
        <x:v>47.37</x:v>
      </x:c>
      <x:c r="U7" s="44" t="n">
        <x:v>15.720000000000002</x:v>
      </x:c>
      <x:c r="V7" s="44" t="n">
        <x:v>13.010000000000005</x:v>
      </x:c>
      <x:c r="W7" s="34" t="n">
        <x:v>0.04433212121212121</x:v>
      </x:c>
      <x:c r="X7" s="34" t="n">
        <x:v>0.9526301966416699</x:v>
      </x:c>
      <x:c r="Y7" s="34" t="n">
        <x:v>13.552111089337311</x:v>
      </x:c>
      <x:c r="Z7" s="34" t="n">
        <x:v>0.03207</x:v>
      </x:c>
      <x:c r="AA7" s="26" t="str">
        <x:v>Z dominant, but low synchronous content; characterization useful, not preferred for final phase cancellation.</x:v>
      </x:c>
      <x:c r="AB7" s="26" t="str">
        <x:v>Z (conditional)</x:v>
      </x:c>
    </x:row>
    <x:row r="8">
      <x:c r="A8" t="n">
        <x:v>175</x:v>
      </x:c>
      <x:c r="B8" t="n">
        <x:v>4</x:v>
      </x:c>
      <x:c r="C8" t="str">
        <x:v>Z:10</x:v>
      </x:c>
      <x:c r="D8" s="44" t="n">
        <x:v>2.25032557188291</x:v>
      </x:c>
      <x:c r="E8" s="44" t="n">
        <x:v>18.44020976118813</x:v>
      </x:c>
      <x:c r="F8" s="44" t="n">
        <x:v>79.30946466692896</x:v>
      </x:c>
      <x:c r="G8" s="34" t="n">
        <x:v>0.006412242424242425</x:v>
      </x:c>
      <x:c r="H8" s="34" t="n">
        <x:v>0.00702078787878788</x:v>
      </x:c>
      <x:c r="I8" s="34" t="n">
        <x:v>0.057409454545454555</x:v>
      </x:c>
      <x:c r="J8" s="34" t="n">
        <x:v>0.8756371893871393</x:v>
      </x:c>
      <x:c r="K8" s="34" t="n">
        <x:v>0.7639212817256539</x:v>
      </x:c>
      <x:c r="L8" s="34" t="n">
        <x:v>0.7876465846186546</x:v>
      </x:c>
      <x:c r="M8" s="34" t="n">
        <x:v>0.11</x:v>
      </x:c>
      <x:c r="N8" s="34" t="n">
        <x:v>0.23249999999999998</x:v>
      </x:c>
      <x:c r="O8" s="34" t="n">
        <x:v>0.637</x:v>
      </x:c>
      <x:c r="P8" s="44" t="n">
        <x:v>18.975</x:v>
      </x:c>
      <x:c r="Q8" s="44" t="n">
        <x:v>8.205</x:v>
      </x:c>
      <x:c r="R8" s="44" t="n">
        <x:v>4.695</x:v>
      </x:c>
      <x:c r="S8" s="44" t="n">
        <x:v>15.289999999999997</x:v>
      </x:c>
      <x:c r="T8" s="44" t="n">
        <x:v>38.269999999999996</x:v>
      </x:c>
      <x:c r="U8" s="44" t="n">
        <x:v>20.30999999999999</x:v>
      </x:c>
      <x:c r="V8" s="44" t="n">
        <x:v>2.7450000000000045</x:v>
      </x:c>
      <x:c r="W8" s="34" t="n">
        <x:v>0.05654115151515152</x:v>
      </x:c>
      <x:c r="X8" s="34" t="n">
        <x:v>0.8074423711603717</x:v>
      </x:c>
      <x:c r="Y8" s="34" t="n">
        <x:v>20.662559318841137</x:v>
      </x:c>
      <x:c r="Z8" s="34" t="n">
        <x:v>0.05206</x:v>
      </x:c>
      <x:c r="AA8" s="26" t="str">
        <x:v>Z dominant; Z quality improves, but authority/sync still below high-frequency region.</x:v>
      </x:c>
      <x:c r="AB8" s="26" t="str">
        <x:v>Z</x:v>
      </x:c>
    </x:row>
    <x:row r="9">
      <x:c r="A9" t="n">
        <x:v>200</x:v>
      </x:c>
      <x:c r="B9" t="n">
        <x:v>5</x:v>
      </x:c>
      <x:c r="C9" t="str">
        <x:v>Z:10</x:v>
      </x:c>
      <x:c r="D9" s="44" t="n">
        <x:v>1.6201521673051307</x:v>
      </x:c>
      <x:c r="E9" s="44" t="n">
        <x:v>24.336774093921047</x:v>
      </x:c>
      <x:c r="F9" s="44" t="n">
        <x:v>74.04307373877383</x:v>
      </x:c>
      <x:c r="G9" s="34" t="n">
        <x:v>0.0062214545454545465</x:v>
      </x:c>
      <x:c r="H9" s="34" t="n">
        <x:v>0.023979454545454547</x:v>
      </x:c>
      <x:c r="I9" s="34" t="n">
        <x:v>0.07894218181818183</x:v>
      </x:c>
      <x:c r="J9" s="34" t="n">
        <x:v>0.8231103253501242</x:v>
      </x:c>
      <x:c r="K9" s="34" t="n">
        <x:v>0.9399814236717372</x:v>
      </x:c>
      <x:c r="L9" s="34" t="n">
        <x:v>0.9780119047961631</x:v>
      </x:c>
      <x:c r="M9" s="34" t="n">
        <x:v>0.11699999999999999</x:v>
      </x:c>
      <x:c r="N9" s="34" t="n">
        <x:v>0.3295</x:v>
      </x:c>
      <x:c r="O9" s="34" t="n">
        <x:v>0.7625</x:v>
      </x:c>
      <x:c r="P9" s="44" t="n">
        <x:v>44.400000000000006</x:v>
      </x:c>
      <x:c r="Q9" s="44" t="n">
        <x:v>7.17</x:v>
      </x:c>
      <x:c r="R9" s="44" t="n">
        <x:v>2.93</x:v>
      </x:c>
      <x:c r="S9" s="44" t="n">
        <x:v>32.51</x:v>
      </x:c>
      <x:c r="T9" s="44" t="n">
        <x:v>4.759999999999996</x:v>
      </x:c>
      <x:c r="U9" s="44" t="n">
        <x:v>10.34</x:v>
      </x:c>
      <x:c r="V9" s="44" t="n">
        <x:v>4.950000000000003</x:v>
      </x:c>
      <x:c r="W9" s="34" t="n">
        <x:v>0.0812789090909091</x:v>
      </x:c>
      <x:c r="X9" s="34" t="n">
        <x:v>0.983986009522758</x:v>
      </x:c>
      <x:c r="Y9" s="34" t="n">
        <x:v>21.029986296910202</x:v>
      </x:c>
      <x:c r="Z9" s="34" t="n">
        <x:v>0.01315</x:v>
      </x:c>
      <x:c r="AA9" s="26" t="str">
        <x:v>Z dominant; Z quality improves, but authority/sync still below high-frequency region.</x:v>
      </x:c>
      <x:c r="AB9" s="26" t="str">
        <x:v>Z</x:v>
      </x:c>
    </x:row>
    <x:row r="10">
      <x:c r="A10" t="n">
        <x:v>225</x:v>
      </x:c>
      <x:c r="B10" t="n">
        <x:v>6</x:v>
      </x:c>
      <x:c r="C10" t="str">
        <x:v>Z:10</x:v>
      </x:c>
      <x:c r="D10" s="44" t="n">
        <x:v>1.072618150981192</x:v>
      </x:c>
      <x:c r="E10" s="44" t="n">
        <x:v>32.02816455009991</x:v>
      </x:c>
      <x:c r="F10" s="44" t="n">
        <x:v>66.89921729891888</x:v>
      </x:c>
      <x:c r="G10" s="34" t="n">
        <x:v>0.00655369696969697</x:v>
      </x:c>
      <x:c r="H10" s="34" t="n">
        <x:v>0.027971575757575758</x:v>
      </x:c>
      <x:c r="I10" s="34" t="n">
        <x:v>0.06538012121212122</x:v>
      </x:c>
      <x:c r="J10" s="34" t="n">
        <x:v>0.8962620097356969</x:v>
      </x:c>
      <x:c r="K10" s="34" t="n">
        <x:v>0.9900096355796928</x:v>
      </x:c>
      <x:c r="L10" s="34" t="n">
        <x:v>0.998614805967727</x:v>
      </x:c>
      <x:c r="M10" s="34" t="n">
        <x:v>0.14550000000000002</x:v>
      </x:c>
      <x:c r="N10" s="34" t="n">
        <x:v>0.5515000000000001</x:v>
      </x:c>
      <x:c r="O10" s="34" t="n">
        <x:v>0.862</x:v>
      </x:c>
      <x:c r="P10" s="44" t="n">
        <x:v>15.545</x:v>
      </x:c>
      <x:c r="Q10" s="44" t="n">
        <x:v>2.335</x:v>
      </x:c>
      <x:c r="R10" s="44" t="n">
        <x:v>1.63</x:v>
      </x:c>
      <x:c r="S10" s="44" t="n">
        <x:v>11.680000000000005</x:v>
      </x:c>
      <x:c r="T10" s="44" t="n">
        <x:v>3.339999999999999</x:v>
      </x:c>
      <x:c r="U10" s="44" t="n">
        <x:v>4.03</x:v>
      </x:c>
      <x:c r="V10" s="44" t="n">
        <x:v>7.469999999999999</x:v>
      </x:c>
      <x:c r="W10" s="34" t="n">
        <x:v>0.0700899393939394</x:v>
      </x:c>
      <x:c r="X10" s="34" t="n">
        <x:v>0.9995994878124492</x:v>
      </x:c>
      <x:c r="Y10" s="34" t="n">
        <x:v>0.7276558650630279</x:v>
      </x:c>
      <x:c r="Z10" s="34" t="n">
        <x:v>0.00868</x:v>
      </x:c>
      <x:c r="AA10" s="26" t="str">
        <x:v>Strong Z-dominant region with excellent total linearity and stable Y/Z phase.</x:v>
      </x:c>
      <x:c r="AB10" s="26" t="str">
        <x:v>Z</x:v>
      </x:c>
    </x:row>
    <x:row r="11">
      <x:c r="A11" t="n">
        <x:v>250</x:v>
      </x:c>
      <x:c r="B11" t="n">
        <x:v>7</x:v>
      </x:c>
      <x:c r="C11" t="str">
        <x:v>Z:10</x:v>
      </x:c>
      <x:c r="D11" s="44" t="n">
        <x:v>0.6949202181494053</x:v>
      </x:c>
      <x:c r="E11" s="44" t="n">
        <x:v>45.66328817893671</x:v>
      </x:c>
      <x:c r="F11" s="44" t="n">
        <x:v>53.64179160291388</x:v>
      </x:c>
      <x:c r="G11" s="34" t="n">
        <x:v>0.008642303030303028</x:v>
      </x:c>
      <x:c r="H11" s="34" t="n">
        <x:v>0.06106721212121213</x:v>
      </x:c>
      <x:c r="I11" s="34" t="n">
        <x:v>0.08445648484848485</x:v>
      </x:c>
      <x:c r="J11" s="34" t="n">
        <x:v>0.9794683580025982</x:v>
      </x:c>
      <x:c r="K11" s="34" t="n">
        <x:v>0.9968357304610247</x:v>
      </x:c>
      <x:c r="L11" s="34" t="n">
        <x:v>0.9981724588133687</x:v>
      </x:c>
      <x:c r="M11" s="34" t="n">
        <x:v>0.1515</x:v>
      </x:c>
      <x:c r="N11" s="34" t="n">
        <x:v>0.776</x:v>
      </x:c>
      <x:c r="O11" s="34" t="n">
        <x:v>0.897</x:v>
      </x:c>
      <x:c r="P11" s="44" t="n">
        <x:v>11.985</x:v>
      </x:c>
      <x:c r="Q11" s="44" t="n">
        <x:v>1.22</x:v>
      </x:c>
      <x:c r="R11" s="44" t="n">
        <x:v>1.585</x:v>
      </x:c>
      <x:c r="S11" s="44" t="n">
        <x:v>10.610000000000001</x:v>
      </x:c>
      <x:c r="T11" s="44" t="n">
        <x:v>2.7199999999999993</x:v>
      </x:c>
      <x:c r="U11" s="44" t="n">
        <x:v>1.8900000000000032</x:v>
      </x:c>
      <x:c r="V11" s="44" t="n">
        <x:v>12.745000000000005</x:v>
      </x:c>
      <x:c r="W11" s="34" t="n">
        <x:v>0.10390024242424244</x:v>
      </x:c>
      <x:c r="X11" s="34" t="n">
        <x:v>0.9991456495197185</x:v>
      </x:c>
      <x:c r="Y11" s="34" t="n">
        <x:v>0.7785562643410379</x:v>
      </x:c>
      <x:c r="Z11" s="34" t="n">
        <x:v>0.00704</x:v>
      </x:c>
      <x:c r="AA11" s="26" t="str">
        <x:v>Balanced Y-Z response; Z retains higher sync and phase stability.</x:v>
      </x:c>
      <x:c r="AB11" s="26" t="str">
        <x:v>Z</x:v>
      </x:c>
    </x:row>
    <x:row r="12">
      <x:c r="A12" t="n">
        <x:v>268</x:v>
      </x:c>
      <x:c r="B12" t="n">
        <x:v>8</x:v>
      </x:c>
      <x:c r="C12" t="str">
        <x:v>Y:8/Z:2</x:v>
      </x:c>
      <x:c r="D12" s="44" t="n">
        <x:v>0.4880429419272593</x:v>
      </x:c>
      <x:c r="E12" s="44" t="n">
        <x:v>52.95338770378483</x:v>
      </x:c>
      <x:c r="F12" s="44" t="n">
        <x:v>46.55856935428792</x:v>
      </x:c>
      <x:c r="G12" s="34" t="n">
        <x:v>0.012210969696969696</x:v>
      </x:c>
      <x:c r="H12" s="34" t="n">
        <x:v>0.09090387878787878</x:v>
      </x:c>
      <x:c r="I12" s="34" t="n">
        <x:v>0.11887975757575758</x:v>
      </x:c>
      <x:c r="J12" s="34" t="n">
        <x:v>0.9558805248438661</x:v>
      </x:c>
      <x:c r="K12" s="34" t="n">
        <x:v>0.9967392609308523</x:v>
      </x:c>
      <x:c r="L12" s="34" t="n">
        <x:v>0.9869660431161758</x:v>
      </x:c>
      <x:c r="M12" s="34" t="n">
        <x:v>0.17149999999999999</x:v>
      </x:c>
      <x:c r="N12" s="34" t="n">
        <x:v>0.823</x:v>
      </x:c>
      <x:c r="O12" s="34" t="n">
        <x:v>0.905</x:v>
      </x:c>
      <x:c r="P12" s="44" t="n">
        <x:v>8.535</x:v>
      </x:c>
      <x:c r="Q12" s="44" t="n">
        <x:v>3.4699999999999998</x:v>
      </x:c>
      <x:c r="R12" s="44" t="n">
        <x:v>2.085</x:v>
      </x:c>
      <x:c r="S12" s="44" t="n">
        <x:v>12.099999999999998</x:v>
      </x:c>
      <x:c r="T12" s="44" t="n">
        <x:v>4.88</x:v>
      </x:c>
      <x:c r="U12" s="44" t="n">
        <x:v>3.04</x:v>
      </x:c>
      <x:c r="V12" s="44" t="n">
        <x:v>19.14</x:v>
      </x:c>
      <x:c r="W12" s="34" t="n">
        <x:v>0.14846393939393943</x:v>
      </x:c>
      <x:c r="X12" s="34" t="n">
        <x:v>0.9976391719686252</x:v>
      </x:c>
      <x:c r="Y12" s="34" t="n">
        <x:v>1.019600747049196</x:v>
      </x:c>
      <x:c r="Z12" s="34" t="n">
        <x:v>0.03503</x:v>
      </x:c>
      <x:c r="AA12" s="26" t="str">
        <x:v>Tool-relevant Y-Z crossover region. Y often larger, but Z is more synchronized and phase-stable.</x:v>
      </x:c>
      <x:c r="AB12" s="26" t="str">
        <x:v>Z</x:v>
      </x:c>
    </x:row>
    <x:row r="13">
      <x:c r="A13" t="n">
        <x:v>270</x:v>
      </x:c>
      <x:c r="B13" t="n">
        <x:v>9</x:v>
      </x:c>
      <x:c r="C13" t="str">
        <x:v>Y:8/Z:2</x:v>
      </x:c>
      <x:c r="D13" s="44" t="n">
        <x:v>0.5188225538671899</x:v>
      </x:c>
      <x:c r="E13" s="44" t="n">
        <x:v>53.784688694811464</x:v>
      </x:c>
      <x:c r="F13" s="44" t="n">
        <x:v>45.696488751321326</x:v>
      </x:c>
      <x:c r="G13" s="34" t="n">
        <x:v>0.012561515151515148</x:v>
      </x:c>
      <x:c r="H13" s="34" t="n">
        <x:v>0.08939612121212123</x:v>
      </x:c>
      <x:c r="I13" s="34" t="n">
        <x:v>0.12382200000000003</x:v>
      </x:c>
      <x:c r="J13" s="34" t="n">
        <x:v>0.837392721260728</x:v>
      </x:c>
      <x:c r="K13" s="34" t="n">
        <x:v>0.9918708875656111</x:v>
      </x:c>
      <x:c r="L13" s="34" t="n">
        <x:v>0.9877580889442441</x:v>
      </x:c>
      <x:c r="M13" s="34" t="n">
        <x:v>0.1835</x:v>
      </x:c>
      <x:c r="N13" s="34" t="n">
        <x:v>0.827</x:v>
      </x:c>
      <x:c r="O13" s="34" t="n">
        <x:v>0.898</x:v>
      </x:c>
      <x:c r="P13" s="44" t="n">
        <x:v>27.189999999999998</x:v>
      </x:c>
      <x:c r="Q13" s="44" t="n">
        <x:v>1.56</x:v>
      </x:c>
      <x:c r="R13" s="44" t="n">
        <x:v>1.49</x:v>
      </x:c>
      <x:c r="S13" s="44" t="n">
        <x:v>19.150000000000002</x:v>
      </x:c>
      <x:c r="T13" s="44" t="n">
        <x:v>6.3500000000000005</x:v>
      </x:c>
      <x:c r="U13" s="44" t="n">
        <x:v>1.2500000000000002</x:v>
      </x:c>
      <x:c r="V13" s="44" t="n">
        <x:v>19.14999999999999</x:v>
      </x:c>
      <x:c r="W13" s="34" t="n">
        <x:v>0.15058969696969698</x:v>
      </x:c>
      <x:c r="X13" s="34" t="n">
        <x:v>0.9967885777647911</x:v>
      </x:c>
      <x:c r="Y13" s="34" t="n">
        <x:v>1.0855357152753764</x:v>
      </x:c>
      <x:c r="Z13" s="34" t="n">
        <x:v>0.1009</x:v>
      </x:c>
      <x:c r="AA13" s="26" t="str">
        <x:v>Tool-relevant Y-Z crossover region. Y often larger, but Z is more synchronized and phase-stable.</x:v>
      </x:c>
      <x:c r="AB13" s="26" t="str">
        <x:v>Z</x:v>
      </x:c>
    </x:row>
    <x:row r="14">
      <x:c r="A14" t="n">
        <x:v>275</x:v>
      </x:c>
      <x:c r="B14" t="n">
        <x:v>10</x:v>
      </x:c>
      <x:c r="C14" t="str">
        <x:v>Y:7/Z:3</x:v>
      </x:c>
      <x:c r="D14" s="44" t="n">
        <x:v>0.4144841689635396</x:v>
      </x:c>
      <x:c r="E14" s="44" t="n">
        <x:v>53.93006313515938</x:v>
      </x:c>
      <x:c r="F14" s="44" t="n">
        <x:v>45.65545269587709</x:v>
      </x:c>
      <x:c r="G14" s="34" t="n">
        <x:v>0.012895030303030302</x:v>
      </x:c>
      <x:c r="H14" s="34" t="n">
        <x:v>0.09263121212121213</x:v>
      </x:c>
      <x:c r="I14" s="34" t="n">
        <x:v>0.13826454545454547</x:v>
      </x:c>
      <x:c r="J14" s="34" t="n">
        <x:v>0.955830203210617</x:v>
      </x:c>
      <x:c r="K14" s="34" t="n">
        <x:v>0.854478376941748</x:v>
      </x:c>
      <x:c r="L14" s="34" t="n">
        <x:v>0.9486563310664808</x:v>
      </x:c>
      <x:c r="M14" s="34" t="n">
        <x:v>0.2025</x:v>
      </x:c>
      <x:c r="N14" s="34" t="n">
        <x:v>0.8434999999999999</x:v>
      </x:c>
      <x:c r="O14" s="34" t="n">
        <x:v>0.897</x:v>
      </x:c>
      <x:c r="P14" s="44" t="n">
        <x:v>11.239999999999998</x:v>
      </x:c>
      <x:c r="Q14" s="44" t="n">
        <x:v>1.19</x:v>
      </x:c>
      <x:c r="R14" s="44" t="n">
        <x:v>1.1600000000000001</x:v>
      </x:c>
      <x:c r="S14" s="44" t="n">
        <x:v>49.71000000000001</x:v>
      </x:c>
      <x:c r="T14" s="44" t="n">
        <x:v>13.149999999999999</x:v>
      </x:c>
      <x:c r="U14" s="44" t="n">
        <x:v>6.550000000000002</x:v>
      </x:c>
      <x:c r="V14" s="44" t="n">
        <x:v>23.174999999999997</x:v>
      </x:c>
      <x:c r="W14" s="34" t="n">
        <x:v>0.1620228484848485</x:v>
      </x:c>
      <x:c r="X14" s="34" t="n">
        <x:v>0.9985494318128987</x:v>
      </x:c>
      <x:c r="Y14" s="34" t="n">
        <x:v>0.7356530924632875</x:v>
      </x:c>
      <x:c r="Z14" s="34" t="n">
        <x:v>0.0053</x:v>
      </x:c>
      <x:c r="AA14" s="26" t="str">
        <x:v>Tool-relevant Y-Z crossover region. Y often larger, but Z is more synchronized and phase-stable.</x:v>
      </x:c>
      <x:c r="AB14" s="26" t="str">
        <x:v>Z</x:v>
      </x:c>
    </x:row>
    <x:row r="15">
      <x:c r="A15" t="n">
        <x:v>300</x:v>
      </x:c>
      <x:c r="B15" t="n">
        <x:v>11</x:v>
      </x:c>
      <x:c r="C15" t="str">
        <x:v>Y:2/Z:8</x:v>
      </x:c>
      <x:c r="D15" s="44" t="n">
        <x:v>0.5659242860285739</x:v>
      </x:c>
      <x:c r="E15" s="44" t="n">
        <x:v>40.96157800037923</x:v>
      </x:c>
      <x:c r="F15" s="44" t="n">
        <x:v>58.47249771359221</x:v>
      </x:c>
      <x:c r="G15" s="34" t="n">
        <x:v>0.026019393939393946</x:v>
      </x:c>
      <x:c r="H15" s="34" t="n">
        <x:v>0.052963333333333334</x:v>
      </x:c>
      <x:c r="I15" s="34" t="n">
        <x:v>0.3246769696969697</x:v>
      </x:c>
      <x:c r="J15" s="34" t="n">
        <x:v>0.9356602832355916</x:v>
      </x:c>
      <x:c r="K15" s="34" t="n">
        <x:v>0.9595013398869987</x:v>
      </x:c>
      <x:c r="L15" s="34" t="n">
        <x:v>0.939939279801919</x:v>
      </x:c>
      <x:c r="M15" s="34" t="n">
        <x:v>0.3265</x:v>
      </x:c>
      <x:c r="N15" s="34" t="n">
        <x:v>0.886</x:v>
      </x:c>
      <x:c r="O15" s="34" t="n">
        <x:v>0.911</x:v>
      </x:c>
      <x:c r="P15" s="44" t="n">
        <x:v>9.05</x:v>
      </x:c>
      <x:c r="Q15" s="44" t="n">
        <x:v>0.99</x:v>
      </x:c>
      <x:c r="R15" s="44" t="n">
        <x:v>1.17</x:v>
      </x:c>
      <x:c r="S15" s="44" t="n">
        <x:v>19.570000000000004</x:v>
      </x:c>
      <x:c r="T15" s="44" t="n">
        <x:v>3.5500000000000083</x:v>
      </x:c>
      <x:c r="U15" s="44" t="n">
        <x:v>3.84</x:v>
      </x:c>
      <x:c r="V15" s="44" t="n">
        <x:v>49.125</x:v>
      </x:c>
      <x:c r="W15" s="34" t="n">
        <x:v>0.28885636363636363</x:v>
      </x:c>
      <x:c r="X15" s="34" t="n">
        <x:v>0.9436455590314382</x:v>
      </x:c>
      <x:c r="Y15" s="34" t="n">
        <x:v>5.011197449319107</x:v>
      </x:c>
      <x:c r="Z15" s="34" t="n">
        <x:v>0.00245</x:v>
      </x:c>
      <x:c r="AA15" s="26" t="str">
        <x:v>High-frequency Z mode strengthens rapidly; X remains a weak projection despite improving sync.</x:v>
      </x:c>
      <x:c r="AB15" s="26" t="str">
        <x:v>Z</x:v>
      </x:c>
    </x:row>
    <x:row r="16">
      <x:c r="A16" t="n">
        <x:v>325</x:v>
      </x:c>
      <x:c r="B16" t="n">
        <x:v>12</x:v>
      </x:c>
      <x:c r="C16" t="str">
        <x:v>Z:10</x:v>
      </x:c>
      <x:c r="D16" s="44" t="n">
        <x:v>0.8007365606870303</x:v>
      </x:c>
      <x:c r="E16" s="44" t="n">
        <x:v>23.534627534839085</x:v>
      </x:c>
      <x:c r="F16" s="44" t="n">
        <x:v>75.66463590447387</x:v>
      </x:c>
      <x:c r="G16" s="34" t="n">
        <x:v>0.03958654545454546</x:v>
      </x:c>
      <x:c r="H16" s="34" t="n">
        <x:v>-0.02430345454545455</x:v>
      </x:c>
      <x:c r="I16" s="34" t="n">
        <x:v>0.6166389090909092</x:v>
      </x:c>
      <x:c r="J16" s="34" t="n">
        <x:v>0.996249521716551</x:v>
      </x:c>
      <x:c r="K16" s="34" t="n">
        <x:v>0.5297795243738381</x:v>
      </x:c>
      <x:c r="L16" s="34" t="n">
        <x:v>0.9893702481944067</x:v>
      </x:c>
      <x:c r="M16" s="34" t="n">
        <x:v>0.437</x:v>
      </x:c>
      <x:c r="N16" s="34" t="n">
        <x:v>0.832</x:v>
      </x:c>
      <x:c r="O16" s="34" t="n">
        <x:v>0.9215</x:v>
      </x:c>
      <x:c r="P16" s="44" t="n">
        <x:v>3.8449999999999998</x:v>
      </x:c>
      <x:c r="Q16" s="44" t="n">
        <x:v>1.065</x:v>
      </x:c>
      <x:c r="R16" s="44" t="n">
        <x:v>0.74</x:v>
      </x:c>
      <x:c r="S16" s="44" t="n">
        <x:v>10.439999999999998</x:v>
      </x:c>
      <x:c r="T16" s="44" t="n">
        <x:v>10.760000000000005</x:v>
      </x:c>
      <x:c r="U16" s="44" t="n">
        <x:v>4.899999999999998</x:v>
      </x:c>
      <x:c r="V16" s="44" t="n">
        <x:v>61.830000000000005</x:v>
      </x:c>
      <x:c r="W16" s="34" t="n">
        <x:v>0.5413440606060606</x:v>
      </x:c>
      <x:c r="X16" s="34" t="n">
        <x:v>0.9843619989235164</x:v>
      </x:c>
      <x:c r="Y16" s="34" t="n">
        <x:v>10.145834423830651</x:v>
      </x:c>
      <x:c r="Z16" s="34" t="n">
        <x:v>0.00176</x:v>
      </x:c>
      <x:c r="AA16" s="26" t="str">
        <x:v>High-frequency Z mode strengthens rapidly; X remains a weak projection despite improving sync.</x:v>
      </x:c>
      <x:c r="AB16" s="26" t="str">
        <x:v>Z</x:v>
      </x:c>
    </x:row>
  </x:sheetData>
  <x:mergeCells>
    <x:mergeCell ref="A1:Z1"/>
    <x:mergeCell ref="A2:Z2"/>
  </x:mergeCells>
  <x:conditionalFormatting sqref="O5:O16">
    <x:cfRule type="dataBar" priority="1">
      <x:dataBar>
        <x:cfvo type="min"/>
        <x:cfvo type="max"/>
        <x:color rgb="FFA02B93"/>
      </x:dataBar>
      <x:extLst>
        <x:ext xmlns:x14="http://schemas.microsoft.com/office/spreadsheetml/2009/9/main" uri="{B025F937-C7B1-47D3-B67F-A62EFF666E3E}">
          <x14:id>{8B946713-366C-23C1-04E7-2A9FEB834AF5}</x14:id>
        </x:ext>
      </x:extLst>
    </x:cfRule>
  </x:conditionalFormatting>
  <x:conditionalFormatting sqref="R5:R16">
    <x:cfRule type="colorScale" priority="2">
      <x:colorScale>
        <x:cfvo type="min"/>
        <x:cfvo type="percentile" val="50"/>
        <x:cfvo type="max"/>
        <x:color rgb="FFF8696B"/>
        <x:color rgb="FFFFEB84"/>
        <x:color rgb="FF63BE7B"/>
      </x:colorScale>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B946713-366C-23C1-04E7-2A9FEB834AF5}">
            <x14:dataBar gradient="1">
              <x14:cfvo type="min"/>
              <x14:cfvo type="max"/>
              <x14:fillColor rgb="FFA02B93"/>
            </x14:dataBar>
          </x14:cfRule>
          <xm:sqref>O5:O16</xm:sqref>
        </x14:conditionalFormatting>
      </x14:conditionalFormattings>
    </x:ext>
  </x:extLst>
</x:worksheet>
</file>

<file path=xl/worksheets/sheet12.xml><?xml version="1.0" encoding="utf-8"?>
<x:worksheet xmlns:x="http://schemas.openxmlformats.org/spreadsheetml/2006/main">
  <x:sheetFormatPr defaultRowHeight="15"/>
  <x:cols>
    <x:col min="1" max="1" width="9" hidden="0" customWidth="1"/>
    <x:col min="2" max="2" width="14" hidden="0" customWidth="1"/>
    <x:col min="3" max="3" width="14"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4" hidden="0" customWidth="1"/>
    <x:col min="17" max="17" width="52" hidden="0" customWidth="1"/>
  </x:cols>
  <x:sheetData>
    <x:row r="1">
      <x:c r="A1" s="64" t="str">
        <x:v>HORIZONTAL vs INCLINED — COMMON DAC 15 DIRECTIONAL COMPARISON</x:v>
      </x:c>
      <x:c r="B1" s="64"/>
      <x:c r="C1" s="64"/>
      <x:c r="D1" s="64"/>
      <x:c r="E1" s="64"/>
      <x:c r="F1" s="64"/>
      <x:c r="G1" s="64"/>
      <x:c r="H1" s="64"/>
      <x:c r="I1" s="64"/>
      <x:c r="J1" s="64"/>
      <x:c r="K1" s="64"/>
      <x:c r="L1" s="64"/>
      <x:c r="M1" s="64"/>
      <x:c r="N1" s="64"/>
      <x:c r="O1" s="64"/>
      <x:c r="P1" s="64"/>
      <x:c r="Q1" s="64"/>
    </x:row>
    <x:row r="2">
      <x:c r="A2" s="74" t="str">
        <x:v>Absolute amplitude comparison is secondary because amplifier gain and boundary conditions differ. Dominant axis, energy distribution and synchronous quality are the primary comparison.</x:v>
      </x:c>
      <x:c r="B2" s="74"/>
      <x:c r="C2" s="74"/>
      <x:c r="D2" s="74"/>
      <x:c r="E2" s="74"/>
      <x:c r="F2" s="74"/>
      <x:c r="G2" s="74"/>
      <x:c r="H2" s="74"/>
      <x:c r="I2" s="74"/>
      <x:c r="J2" s="74"/>
      <x:c r="K2" s="74"/>
      <x:c r="L2" s="74"/>
      <x:c r="M2" s="74"/>
      <x:c r="N2" s="74"/>
      <x:c r="O2" s="74"/>
      <x:c r="P2" s="74"/>
      <x:c r="Q2" s="74"/>
    </x:row>
    <x:row r="4">
      <x:c r="A4" s="71" t="str">
        <x:v>Freq_Hz</x:v>
      </x:c>
      <x:c r="B4" s="71" t="str">
        <x:v>Horizontal dominant</x:v>
      </x:c>
      <x:c r="C4" s="71" t="str">
        <x:v>Inclined dominant</x:v>
      </x:c>
      <x:c r="D4" s="71" t="str">
        <x:v>H X</x:v>
      </x:c>
      <x:c r="E4" s="71" t="str">
        <x:v>H Y</x:v>
      </x:c>
      <x:c r="F4" s="71" t="str">
        <x:v>H Z</x:v>
      </x:c>
      <x:c r="G4" s="71" t="str">
        <x:v>I X</x:v>
      </x:c>
      <x:c r="H4" s="71" t="str">
        <x:v>I Y</x:v>
      </x:c>
      <x:c r="I4" s="71" t="str">
        <x:v>I Z</x:v>
      </x:c>
      <x:c r="J4" s="71" t="str">
        <x:v>H X energy %</x:v>
      </x:c>
      <x:c r="K4" s="71" t="str">
        <x:v>H Y energy %</x:v>
      </x:c>
      <x:c r="L4" s="71" t="str">
        <x:v>H Z energy %</x:v>
      </x:c>
      <x:c r="M4" s="71" t="str">
        <x:v>I X energy %</x:v>
      </x:c>
      <x:c r="N4" s="71" t="str">
        <x:v>I Y energy %</x:v>
      </x:c>
      <x:c r="O4" s="71" t="str">
        <x:v>I Z energy %</x:v>
      </x:c>
      <x:c r="P4" s="71" t="str">
        <x:v>Directional change</x:v>
      </x:c>
      <x:c r="Q4" s="71" t="str">
        <x:v>Interpretation</x:v>
      </x:c>
    </x:row>
    <x:row r="5">
      <x:c r="A5" t="n">
        <x:v>100</x:v>
      </x:c>
      <x:c r="B5" t="str">
        <x:v>X</x:v>
      </x:c>
      <x:c r="C5" t="str">
        <x:v>Z</x:v>
      </x:c>
      <x:c r="D5" s="34" t="n">
        <x:v>2.31402</x:v>
      </x:c>
      <x:c r="E5" s="34" t="n">
        <x:v>2.05378</x:v>
      </x:c>
      <x:c r="F5" s="34" t="n">
        <x:v>1.57215</x:v>
      </x:c>
      <x:c r="G5" s="34" t="n">
        <x:v>0.05338</x:v>
      </x:c>
      <x:c r="H5" s="34" t="n">
        <x:v>0.02795</x:v>
      </x:c>
      <x:c r="I5" s="34" t="n">
        <x:v>0.24307</x:v>
      </x:c>
      <x:c r="J5" s="44" t="n">
        <x:v>44.458071073863245</x:v>
      </x:c>
      <x:c r="K5" s="44" t="n">
        <x:v>35.020653020781374</x:v>
      </x:c>
      <x:c r="L5" s="44" t="n">
        <x:v>20.52127590535539</x:v>
      </x:c>
      <x:c r="M5" s="44" t="n">
        <x:v>4.543547247235887</x:v>
      </x:c>
      <x:c r="N5" s="44" t="n">
        <x:v>1.2456657802217155</x:v>
      </x:c>
      <x:c r="O5" s="44" t="n">
        <x:v>94.2107869725424</x:v>
      </x:c>
      <x:c r="P5" s="26" t="str">
        <x:v>X→Z</x:v>
      </x:c>
      <x:c r="Q5" s="26" t="str">
        <x:v>Inclination removes the low-frequency X/Y-dominant horizontal regimes and concentrates the response into Z.</x:v>
      </x:c>
    </x:row>
    <x:row r="6">
      <x:c r="A6" t="n">
        <x:v>125</x:v>
      </x:c>
      <x:c r="B6" t="str">
        <x:v>Y</x:v>
      </x:c>
      <x:c r="C6" t="str">
        <x:v>Z</x:v>
      </x:c>
      <x:c r="D6" s="34" t="n">
        <x:v>0.79395</x:v>
      </x:c>
      <x:c r="E6" s="34" t="n">
        <x:v>2.26703</x:v>
      </x:c>
      <x:c r="F6" s="34" t="n">
        <x:v>0.70313</x:v>
      </x:c>
      <x:c r="G6" s="34" t="n">
        <x:v>0.03971</x:v>
      </x:c>
      <x:c r="H6" s="34" t="n">
        <x:v>0.06011</x:v>
      </x:c>
      <x:c r="I6" s="34" t="n">
        <x:v>0.20952</x:v>
      </x:c>
      <x:c r="J6" s="44" t="n">
        <x:v>10.062885558966716</x:v>
      </x:c>
      <x:c r="K6" s="44" t="n">
        <x:v>82.04474359290433</x:v>
      </x:c>
      <x:c r="L6" s="44" t="n">
        <x:v>7.89237084812896</x:v>
      </x:c>
      <x:c r="M6" s="44" t="n">
        <x:v>3.212314128352231</x:v>
      </x:c>
      <x:c r="N6" s="44" t="n">
        <x:v>7.360574107864511</x:v>
      </x:c>
      <x:c r="O6" s="44" t="n">
        <x:v>89.42711176378326</x:v>
      </x:c>
      <x:c r="P6" s="26" t="str">
        <x:v>Y→Z</x:v>
      </x:c>
      <x:c r="Q6" s="26" t="str">
        <x:v>Inclination removes the low-frequency X/Y-dominant horizontal regimes and concentrates the response into Z.</x:v>
      </x:c>
    </x:row>
    <x:row r="7">
      <x:c r="A7" t="n">
        <x:v>150</x:v>
      </x:c>
      <x:c r="B7" t="str">
        <x:v>Y</x:v>
      </x:c>
      <x:c r="C7" t="str">
        <x:v>Z</x:v>
      </x:c>
      <x:c r="D7" s="34" t="n">
        <x:v>0.30715</x:v>
      </x:c>
      <x:c r="E7" s="34" t="n">
        <x:v>0.92824</x:v>
      </x:c>
      <x:c r="F7" s="34" t="n">
        <x:v>0.80842</x:v>
      </x:c>
      <x:c r="G7" s="34" t="n">
        <x:v>0.05076</x:v>
      </x:c>
      <x:c r="H7" s="34" t="n">
        <x:v>0.10497</x:v>
      </x:c>
      <x:c r="I7" s="34" t="n">
        <x:v>0.3536</x:v>
      </x:c>
      <x:c r="J7" s="44" t="n">
        <x:v>5.861468172392324</x:v>
      </x:c>
      <x:c r="K7" s="44" t="n">
        <x:v>53.533535988792046</x:v>
      </x:c>
      <x:c r="L7" s="44" t="n">
        <x:v>40.604995838815626</x:v>
      </x:c>
      <x:c r="M7" s="44" t="n">
        <x:v>1.8586239195414713</x:v>
      </x:c>
      <x:c r="N7" s="44" t="n">
        <x:v>7.948381238357867</x:v>
      </x:c>
      <x:c r="O7" s="44" t="n">
        <x:v>90.19299484210065</x:v>
      </x:c>
      <x:c r="P7" s="26" t="str">
        <x:v>Y→Z</x:v>
      </x:c>
      <x:c r="Q7" s="26" t="str">
        <x:v>Inclination removes the low-frequency X/Y-dominant horizontal regimes and concentrates the response into Z.</x:v>
      </x:c>
    </x:row>
    <x:row r="8">
      <x:c r="A8" t="n">
        <x:v>175</x:v>
      </x:c>
      <x:c r="B8" t="str">
        <x:v>Z</x:v>
      </x:c>
      <x:c r="C8" t="str">
        <x:v>Z</x:v>
      </x:c>
      <x:c r="D8" s="34" t="n">
        <x:v>0.02367</x:v>
      </x:c>
      <x:c r="E8" s="34" t="n">
        <x:v>0.19369</x:v>
      </x:c>
      <x:c r="F8" s="34" t="n">
        <x:v>0.48801</x:v>
      </x:c>
      <x:c r="G8" s="34" t="n">
        <x:v>0.07024</x:v>
      </x:c>
      <x:c r="H8" s="34" t="n">
        <x:v>0.18806</x:v>
      </x:c>
      <x:c r="I8" s="34" t="n">
        <x:v>0.36519</x:v>
      </x:c>
      <x:c r="J8" s="44" t="n">
        <x:v>0.20282706953594135</x:v>
      </x:c>
      <x:c r="K8" s="44" t="n">
        <x:v>13.581376801054436</x:v>
      </x:c>
      <x:c r="L8" s="44" t="n">
        <x:v>86.21579612940964</x:v>
      </x:c>
      <x:c r="M8" s="44" t="n">
        <x:v>2.8409220178469345</x:v>
      </x:c>
      <x:c r="N8" s="44" t="n">
        <x:v>20.36494166656883</x:v>
      </x:c>
      <x:c r="O8" s="44" t="n">
        <x:v>76.79413631558423</x:v>
      </x:c>
      <x:c r="P8" s="26" t="str">
        <x:v>Z retained</x:v>
      </x:c>
      <x:c r="Q8" s="26" t="str">
        <x:v>Both geometries are Z-led, but inclined geometry progressively increases Y participation approaching the tool band.</x:v>
      </x:c>
    </x:row>
    <x:row r="9">
      <x:c r="A9" t="n">
        <x:v>200</x:v>
      </x:c>
      <x:c r="B9" t="str">
        <x:v>Z</x:v>
      </x:c>
      <x:c r="C9" t="str">
        <x:v>Z</x:v>
      </x:c>
      <x:c r="D9" s="34" t="n">
        <x:v>0.02327</x:v>
      </x:c>
      <x:c r="E9" s="34" t="n">
        <x:v>0.20091</x:v>
      </x:c>
      <x:c r="F9" s="34" t="n">
        <x:v>0.58172</x:v>
      </x:c>
      <x:c r="G9" s="34" t="n">
        <x:v>0.05981</x:v>
      </x:c>
      <x:c r="H9" s="34" t="n">
        <x:v>0.26353</x:v>
      </x:c>
      <x:c r="I9" s="34" t="n">
        <x:v>0.4591</x:v>
      </x:c>
      <x:c r="J9" s="44" t="n">
        <x:v>0.14275942663702693</x:v>
      </x:c>
      <x:c r="K9" s="44" t="n">
        <x:v>10.641801057517382</x:v>
      </x:c>
      <x:c r="L9" s="44" t="n">
        <x:v>89.21543951584557</x:v>
      </x:c>
      <x:c r="M9" s="44" t="n">
        <x:v>1.2604862441876683</x:v>
      </x:c>
      <x:c r="N9" s="44" t="n">
        <x:v>24.47093873674076</x:v>
      </x:c>
      <x:c r="O9" s="44" t="n">
        <x:v>74.26857501907158</x:v>
      </x:c>
      <x:c r="P9" s="26" t="str">
        <x:v>Z retained</x:v>
      </x:c>
      <x:c r="Q9" s="26" t="str">
        <x:v>Both geometries are Z-led, but inclined geometry progressively increases Y participation approaching the tool band.</x:v>
      </x:c>
    </x:row>
    <x:row r="10">
      <x:c r="A10" t="n">
        <x:v>225</x:v>
      </x:c>
      <x:c r="B10" t="str">
        <x:v>Z</x:v>
      </x:c>
      <x:c r="C10" t="str">
        <x:v>Z</x:v>
      </x:c>
      <x:c r="D10" s="34" t="n">
        <x:v>0.03635</x:v>
      </x:c>
      <x:c r="E10" s="34" t="n">
        <x:v>0.28218</x:v>
      </x:c>
      <x:c r="F10" s="34" t="n">
        <x:v>0.43474</x:v>
      </x:c>
      <x:c r="G10" s="34" t="n">
        <x:v>0.10997</x:v>
      </x:c>
      <x:c r="H10" s="34" t="n">
        <x:v>0.58928</x:v>
      </x:c>
      <x:c r="I10" s="34" t="n">
        <x:v>0.82178</x:v>
      </x:c>
      <x:c r="J10" s="44" t="n">
        <x:v>0.4894770659329809</x:v>
      </x:c>
      <x:c r="K10" s="44" t="n">
        <x:v>29.49687283917804</x:v>
      </x:c>
      <x:c r="L10" s="44" t="n">
        <x:v>70.01365009488897</x:v>
      </x:c>
      <x:c r="M10" s="44" t="n">
        <x:v>1.168820939512693</x:v>
      </x:c>
      <x:c r="N10" s="44" t="n">
        <x:v>33.56162158578019</x:v>
      </x:c>
      <x:c r="O10" s="44" t="n">
        <x:v>65.26955747470713</x:v>
      </x:c>
      <x:c r="P10" s="26" t="str">
        <x:v>Z retained</x:v>
      </x:c>
      <x:c r="Q10" s="26" t="str">
        <x:v>Both geometries are Z-led, but inclined geometry progressively increases Y participation approaching the tool band.</x:v>
      </x:c>
    </x:row>
    <x:row r="11">
      <x:c r="A11" t="n">
        <x:v>250</x:v>
      </x:c>
      <x:c r="B11" t="str">
        <x:v>Z</x:v>
      </x:c>
      <x:c r="C11" t="str">
        <x:v>Z</x:v>
      </x:c>
      <x:c r="D11" s="34" t="n">
        <x:v>0.0975</x:v>
      </x:c>
      <x:c r="E11" s="34" t="n">
        <x:v>0.40939</x:v>
      </x:c>
      <x:c r="F11" s="34" t="n">
        <x:v>0.7997</x:v>
      </x:c>
      <x:c r="G11" s="34" t="n">
        <x:v>0.132</x:v>
      </x:c>
      <x:c r="H11" s="34" t="n">
        <x:v>1.03026</x:v>
      </x:c>
      <x:c r="I11" s="34" t="n">
        <x:v>1.10499</x:v>
      </x:c>
      <x:c r="J11" s="44" t="n">
        <x:v>1.164087849114053</x:v>
      </x:c>
      <x:c r="K11" s="44" t="n">
        <x:v>20.523479169076563</x:v>
      </x:c>
      <x:c r="L11" s="44" t="n">
        <x:v>78.3124329818094</x:v>
      </x:c>
      <x:c r="M11" s="44" t="n">
        <x:v>0.7576104870224938</x:v>
      </x:c>
      <x:c r="N11" s="44" t="n">
        <x:v>46.152134588698445</x:v>
      </x:c>
      <x:c r="O11" s="44" t="n">
        <x:v>53.09025492427905</x:v>
      </x:c>
      <x:c r="P11" s="26" t="str">
        <x:v>Z retained</x:v>
      </x:c>
      <x:c r="Q11" s="26" t="str">
        <x:v>Both geometries are Z-led, but inclined geometry progressively increases Y participation approaching the tool band.</x:v>
      </x:c>
    </x:row>
    <x:row r="12">
      <x:c r="A12" t="n">
        <x:v>275</x:v>
      </x:c>
      <x:c r="B12" t="str">
        <x:v>Z</x:v>
      </x:c>
      <x:c r="C12" t="str">
        <x:v>Z</x:v>
      </x:c>
      <x:c r="D12" s="34" t="n">
        <x:v>0.1935</x:v>
      </x:c>
      <x:c r="E12" s="34" t="n">
        <x:v>0.50459</x:v>
      </x:c>
      <x:c r="F12" s="34" t="n">
        <x:v>1.0661</x:v>
      </x:c>
      <x:c r="G12" s="34" t="n">
        <x:v>0.17726</x:v>
      </x:c>
      <x:c r="H12" s="34" t="n">
        <x:v>1.5062</x:v>
      </x:c>
      <x:c r="I12" s="34" t="n">
        <x:v>1.92496</x:v>
      </x:c>
      <x:c r="J12" s="44" t="n">
        <x:v>2.620863752568456</x:v>
      </x:c>
      <x:c r="K12" s="44" t="n">
        <x:v>17.822137275030975</x:v>
      </x:c>
      <x:c r="L12" s="44" t="n">
        <x:v>79.55699897240058</x:v>
      </x:c>
      <x:c r="M12" s="44" t="n">
        <x:v>0.5232028601400691</x:v>
      </x:c>
      <x:c r="N12" s="44" t="n">
        <x:v>37.77582049436426</x:v>
      </x:c>
      <x:c r="O12" s="44" t="n">
        <x:v>61.70097664549568</x:v>
      </x:c>
      <x:c r="P12" s="26" t="str">
        <x:v>Z retained</x:v>
      </x:c>
      <x:c r="Q12" s="26" t="str">
        <x:v>Inclined geometry rotates the response into the Y-Z crossover region; X remains negligible.</x:v>
      </x:c>
    </x:row>
    <x:row r="13">
      <x:c r="A13" t="n">
        <x:v>300</x:v>
      </x:c>
      <x:c r="B13" t="str">
        <x:v>Z</x:v>
      </x:c>
      <x:c r="C13" t="str">
        <x:v>Z</x:v>
      </x:c>
      <x:c r="D13" s="34" t="n">
        <x:v>0.37804</x:v>
      </x:c>
      <x:c r="E13" s="34" t="n">
        <x:v>0.63158</x:v>
      </x:c>
      <x:c r="F13" s="34" t="n">
        <x:v>0.87515</x:v>
      </x:c>
      <x:c r="G13" s="34" t="n">
        <x:v>0.29125</x:v>
      </x:c>
      <x:c r="H13" s="34" t="n">
        <x:v>2.34385</x:v>
      </x:c>
      <x:c r="I13" s="34" t="n">
        <x:v>2.93343</x:v>
      </x:c>
      <x:c r="J13" s="44" t="n">
        <x:v>10.928713116447533</x:v>
      </x:c>
      <x:c r="K13" s="44" t="n">
        <x:v>30.503540806178645</x:v>
      </x:c>
      <x:c r="L13" s="44" t="n">
        <x:v>58.567746077373826</x:v>
      </x:c>
      <x:c r="M13" s="44" t="n">
        <x:v>0.5980663181786123</x:v>
      </x:c>
      <x:c r="N13" s="44" t="n">
        <x:v>38.73264056382992</x:v>
      </x:c>
      <x:c r="O13" s="44" t="n">
        <x:v>60.669293117991465</x:v>
      </x:c>
      <x:c r="P13" s="26" t="str">
        <x:v>Z retained</x:v>
      </x:c>
      <x:c r="Q13" s="26" t="str">
        <x:v>Inclined geometry strongly reinforces Z at higher frequency while X remains a minor projection.</x:v>
      </x:c>
    </x:row>
    <x:row r="14">
      <x:c r="A14" t="n">
        <x:v>325</x:v>
      </x:c>
      <x:c r="B14" t="str">
        <x:v>Y</x:v>
      </x:c>
      <x:c r="C14" t="str">
        <x:v>Z</x:v>
      </x:c>
      <x:c r="D14" s="34" t="n">
        <x:v>0.4409</x:v>
      </x:c>
      <x:c r="E14" s="34" t="n">
        <x:v>0.7119</x:v>
      </x:c>
      <x:c r="F14" s="34" t="n">
        <x:v>0.21045</x:v>
      </x:c>
      <x:c r="G14" s="34" t="n">
        <x:v>0.4734</x:v>
      </x:c>
      <x:c r="H14" s="34" t="n">
        <x:v>2.47814</x:v>
      </x:c>
      <x:c r="I14" s="34" t="n">
        <x:v>4.45633</x:v>
      </x:c>
      <x:c r="J14" s="44" t="n">
        <x:v>26.07606715062342</x:v>
      </x:c>
      <x:c r="K14" s="44" t="n">
        <x:v>67.98293010119079</x:v>
      </x:c>
      <x:c r="L14" s="44" t="n">
        <x:v>5.9410027481857925</x:v>
      </x:c>
      <x:c r="M14" s="44" t="n">
        <x:v>0.8545842411488914</x:v>
      </x:c>
      <x:c r="N14" s="44" t="n">
        <x:v>23.418013300874982</x:v>
      </x:c>
      <x:c r="O14" s="44" t="n">
        <x:v>75.72740245797613</x:v>
      </x:c>
      <x:c r="P14" s="26" t="str">
        <x:v>Y→Z</x:v>
      </x:c>
      <x:c r="Q14" s="26" t="str">
        <x:v>Inclined geometry strongly reinforces Z at higher frequency while X remains a minor projection.</x:v>
      </x:c>
    </x:row>
  </x:sheetData>
  <x:mergeCells>
    <x:mergeCell ref="A1:Q1"/>
    <x:mergeCell ref="A2:Q2"/>
  </x:mergeCells>
  <x:pageMargins left="0.7" right="0.7" top="0.75" bottom="0.75" header="0.3" footer="0.3"/>
</x:worksheet>
</file>

<file path=xl/worksheets/sheet13.xml><?xml version="1.0" encoding="utf-8"?>
<x:worksheet xmlns:x="http://schemas.openxmlformats.org/spreadsheetml/2006/main">
  <x:sheetFormatPr defaultRowHeight="15"/>
  <x:cols>
    <x:col min="1" max="1" width="9" hidden="0" customWidth="1"/>
    <x:col min="2" max="2" width="11" hidden="0" customWidth="1"/>
    <x:col min="3" max="3" width="11" hidden="0" customWidth="1"/>
    <x:col min="4" max="4" width="11" hidden="0" customWidth="1"/>
    <x:col min="5" max="5" width="11" hidden="0" customWidth="1"/>
    <x:col min="6" max="6" width="9" hidden="0" customWidth="1"/>
    <x:col min="7" max="7" width="9"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2" hidden="0" customWidth="1"/>
    <x:col min="15" max="15" width="10" hidden="0" customWidth="1"/>
    <x:col min="16" max="16" width="10" hidden="0" customWidth="1"/>
    <x:col min="17" max="17" width="12" hidden="0" customWidth="1"/>
    <x:col min="18" max="18" width="52" hidden="0" customWidth="1"/>
  </x:cols>
  <x:sheetData>
    <x:row r="1">
      <x:c r="A1" s="64" t="str">
        <x:v>FINAL PHASE-SWEEP AXIS DECISION — TOOL-RELEVANT REGION</x:v>
      </x:c>
      <x:c r="B1" s="64"/>
      <x:c r="C1" s="64"/>
      <x:c r="D1" s="64"/>
      <x:c r="E1" s="64"/>
      <x:c r="F1" s="64"/>
      <x:c r="G1" s="64"/>
      <x:c r="H1" s="64"/>
      <x:c r="I1" s="64"/>
      <x:c r="J1" s="64"/>
      <x:c r="K1" s="64"/>
      <x:c r="L1" s="64"/>
      <x:c r="M1" s="64"/>
      <x:c r="N1" s="64"/>
      <x:c r="O1" s="64"/>
      <x:c r="P1" s="64"/>
      <x:c r="Q1" s="64"/>
      <x:c r="R1" s="64"/>
    </x:row>
    <x:row r="2">
      <x:c r="A2" s="68" t="str">
        <x:v>Decision is based on actuator authority + synchronization + within-record stability + phase stability, not amplitude dominance alone.</x:v>
      </x:c>
      <x:c r="B2" s="68"/>
      <x:c r="C2" s="68"/>
      <x:c r="D2" s="68"/>
      <x:c r="E2" s="68"/>
      <x:c r="F2" s="68"/>
      <x:c r="G2" s="68"/>
      <x:c r="H2" s="68"/>
      <x:c r="I2" s="68"/>
      <x:c r="J2" s="68"/>
      <x:c r="K2" s="68"/>
      <x:c r="L2" s="68"/>
      <x:c r="M2" s="68"/>
      <x:c r="N2" s="68"/>
      <x:c r="O2" s="68"/>
      <x:c r="P2" s="68"/>
      <x:c r="Q2" s="68"/>
      <x:c r="R2" s="68"/>
    </x:row>
    <x:row r="4">
      <x:c r="A4" s="71" t="str">
        <x:v>Freq_Hz</x:v>
      </x:c>
      <x:c r="B4" s="71" t="str">
        <x:v>Y mean amp</x:v>
      </x:c>
      <x:c r="C4" s="71" t="str">
        <x:v>Z mean amp</x:v>
      </x:c>
      <x:c r="D4" s="71" t="str">
        <x:v>Y slope/DAC</x:v>
      </x:c>
      <x:c r="E4" s="71" t="str">
        <x:v>Z slope/DAC</x:v>
      </x:c>
      <x:c r="F4" s="71" t="str">
        <x:v>Y R²</x:v>
      </x:c>
      <x:c r="G4" s="71" t="str">
        <x:v>Z R²</x:v>
      </x:c>
      <x:c r="H4" s="71" t="str">
        <x:v>Y median sync</x:v>
      </x:c>
      <x:c r="I4" s="71" t="str">
        <x:v>Z median sync</x:v>
      </x:c>
      <x:c r="J4" s="71" t="str">
        <x:v>Y median CV %</x:v>
      </x:c>
      <x:c r="K4" s="71" t="str">
        <x:v>Z median CV %</x:v>
      </x:c>
      <x:c r="L4" s="71" t="str">
        <x:v>Y phase span °</x:v>
      </x:c>
      <x:c r="M4" s="71" t="str">
        <x:v>Z phase span °</x:v>
      </x:c>
      <x:c r="N4" s="71" t="str">
        <x:v>Median |Y-Z| °</x:v>
      </x:c>
      <x:c r="O4" s="71" t="str">
        <x:v>Y energy %</x:v>
      </x:c>
      <x:c r="P4" s="71" t="str">
        <x:v>Z energy %</x:v>
      </x:c>
      <x:c r="Q4" s="71" t="str">
        <x:v>Preferred axis</x:v>
      </x:c>
      <x:c r="R4" s="71" t="str">
        <x:v>Reason</x:v>
      </x:c>
    </x:row>
    <x:row r="5">
      <x:c r="A5" t="n">
        <x:v>250</x:v>
      </x:c>
      <x:c r="B5" s="34" t="n">
        <x:v>1.0572190000000001</x:v>
      </x:c>
      <x:c r="C5" s="34" t="n">
        <x:v>1.155722</x:v>
      </x:c>
      <x:c r="D5" s="34" t="n">
        <x:v>0.06106721212121213</x:v>
      </x:c>
      <x:c r="E5" s="34" t="n">
        <x:v>0.08445648484848485</x:v>
      </x:c>
      <x:c r="F5" s="34" t="n">
        <x:v>0.9968357304610247</x:v>
      </x:c>
      <x:c r="G5" s="34" t="n">
        <x:v>0.9981724588133687</x:v>
      </x:c>
      <x:c r="H5" s="34" t="n">
        <x:v>0.776</x:v>
      </x:c>
      <x:c r="I5" s="34" t="n">
        <x:v>0.897</x:v>
      </x:c>
      <x:c r="J5" s="34" t="n">
        <x:v>1.22</x:v>
      </x:c>
      <x:c r="K5" s="34" t="n">
        <x:v>1.585</x:v>
      </x:c>
      <x:c r="L5" s="34" t="n">
        <x:v>2.7199999999999993</x:v>
      </x:c>
      <x:c r="M5" s="34" t="n">
        <x:v>1.8900000000000032</x:v>
      </x:c>
      <x:c r="N5" s="34" t="n">
        <x:v>12.745000000000005</x:v>
      </x:c>
      <x:c r="O5" s="34" t="n">
        <x:v>45.66328817893671</x:v>
      </x:c>
      <x:c r="P5" s="34" t="n">
        <x:v>53.64179160291388</x:v>
      </x:c>
      <x:c r="Q5" t="str">
        <x:v>Z</x:v>
      </x:c>
      <x:c r="R5" s="26" t="str">
        <x:v>Z: higher synchronous ratio and smaller/equal phase/CV variability; sufficient amplitude authority. At 268–275 Hz Y may be larger, but Z is the more deterministic single-axis secondary path.</x:v>
      </x:c>
    </x:row>
    <x:row r="6">
      <x:c r="A6" t="n">
        <x:v>268</x:v>
      </x:c>
      <x:c r="B6" s="34" t="n">
        <x:v>1.6142880000000002</x:v>
      </x:c>
      <x:c r="C6" s="34" t="n">
        <x:v>1.5313560000000002</x:v>
      </x:c>
      <x:c r="D6" s="34" t="n">
        <x:v>0.09090387878787878</x:v>
      </x:c>
      <x:c r="E6" s="34" t="n">
        <x:v>0.11887975757575758</x:v>
      </x:c>
      <x:c r="F6" s="34" t="n">
        <x:v>0.9967392609308523</x:v>
      </x:c>
      <x:c r="G6" s="34" t="n">
        <x:v>0.9869660431161758</x:v>
      </x:c>
      <x:c r="H6" s="34" t="n">
        <x:v>0.823</x:v>
      </x:c>
      <x:c r="I6" s="34" t="n">
        <x:v>0.905</x:v>
      </x:c>
      <x:c r="J6" s="34" t="n">
        <x:v>3.4699999999999998</x:v>
      </x:c>
      <x:c r="K6" s="34" t="n">
        <x:v>2.085</x:v>
      </x:c>
      <x:c r="L6" s="34" t="n">
        <x:v>4.88</x:v>
      </x:c>
      <x:c r="M6" s="34" t="n">
        <x:v>3.04</x:v>
      </x:c>
      <x:c r="N6" s="34" t="n">
        <x:v>19.14</x:v>
      </x:c>
      <x:c r="O6" s="34" t="n">
        <x:v>52.95338770378483</x:v>
      </x:c>
      <x:c r="P6" s="34" t="n">
        <x:v>46.55856935428792</x:v>
      </x:c>
      <x:c r="Q6" t="str">
        <x:v>Z</x:v>
      </x:c>
      <x:c r="R6" s="26" t="str">
        <x:v>Z: higher synchronous ratio and smaller/equal phase/CV variability; sufficient amplitude authority. At 268–275 Hz Y may be larger, but Z is the more deterministic single-axis secondary path.</x:v>
      </x:c>
    </x:row>
    <x:row r="7">
      <x:c r="A7" t="n">
        <x:v>270</x:v>
      </x:c>
      <x:c r="B7" s="34" t="n">
        <x:v>1.676024</x:v>
      </x:c>
      <x:c r="C7" s="34" t="n">
        <x:v>1.5660710000000002</x:v>
      </x:c>
      <x:c r="D7" s="34" t="n">
        <x:v>0.08939612121212123</x:v>
      </x:c>
      <x:c r="E7" s="34" t="n">
        <x:v>0.12382200000000003</x:v>
      </x:c>
      <x:c r="F7" s="34" t="n">
        <x:v>0.9918708875656111</x:v>
      </x:c>
      <x:c r="G7" s="34" t="n">
        <x:v>0.9877580889442441</x:v>
      </x:c>
      <x:c r="H7" s="34" t="n">
        <x:v>0.827</x:v>
      </x:c>
      <x:c r="I7" s="34" t="n">
        <x:v>0.898</x:v>
      </x:c>
      <x:c r="J7" s="34" t="n">
        <x:v>1.56</x:v>
      </x:c>
      <x:c r="K7" s="34" t="n">
        <x:v>1.49</x:v>
      </x:c>
      <x:c r="L7" s="34" t="n">
        <x:v>6.3500000000000005</x:v>
      </x:c>
      <x:c r="M7" s="34" t="n">
        <x:v>1.2500000000000002</x:v>
      </x:c>
      <x:c r="N7" s="34" t="n">
        <x:v>19.14999999999999</x:v>
      </x:c>
      <x:c r="O7" s="34" t="n">
        <x:v>53.784688694811464</x:v>
      </x:c>
      <x:c r="P7" s="34" t="n">
        <x:v>45.696488751321326</x:v>
      </x:c>
      <x:c r="Q7" t="str">
        <x:v>Z</x:v>
      </x:c>
      <x:c r="R7" s="26" t="str">
        <x:v>Z: higher synchronous ratio and smaller/equal phase/CV variability; sufficient amplitude authority. At 268–275 Hz Y may be larger, but Z is the more deterministic single-axis secondary path.</x:v>
      </x:c>
    </x:row>
    <x:row r="8">
      <x:c r="A8" t="n">
        <x:v>275</x:v>
      </x:c>
      <x:c r="B8" s="34" t="n">
        <x:v>1.851365</x:v>
      </x:c>
      <x:c r="C8" s="34" t="n">
        <x:v>1.731033</x:v>
      </x:c>
      <x:c r="D8" s="34" t="n">
        <x:v>0.09263121212121213</x:v>
      </x:c>
      <x:c r="E8" s="34" t="n">
        <x:v>0.13826454545454547</x:v>
      </x:c>
      <x:c r="F8" s="34" t="n">
        <x:v>0.854478376941748</x:v>
      </x:c>
      <x:c r="G8" s="34" t="n">
        <x:v>0.9486563310664808</x:v>
      </x:c>
      <x:c r="H8" s="34" t="n">
        <x:v>0.8434999999999999</x:v>
      </x:c>
      <x:c r="I8" s="34" t="n">
        <x:v>0.897</x:v>
      </x:c>
      <x:c r="J8" s="34" t="n">
        <x:v>1.19</x:v>
      </x:c>
      <x:c r="K8" s="34" t="n">
        <x:v>1.1600000000000001</x:v>
      </x:c>
      <x:c r="L8" s="34" t="n">
        <x:v>13.149999999999999</x:v>
      </x:c>
      <x:c r="M8" s="34" t="n">
        <x:v>6.550000000000002</x:v>
      </x:c>
      <x:c r="N8" s="34" t="n">
        <x:v>23.174999999999997</x:v>
      </x:c>
      <x:c r="O8" s="34" t="n">
        <x:v>53.93006313515938</x:v>
      </x:c>
      <x:c r="P8" s="34" t="n">
        <x:v>45.65545269587709</x:v>
      </x:c>
      <x:c r="Q8" t="str">
        <x:v>Z</x:v>
      </x:c>
      <x:c r="R8" s="26" t="str">
        <x:v>Z: higher synchronous ratio and smaller/equal phase/CV variability; sufficient amplitude authority. At 268–275 Hz Y may be larger, but Z is the more deterministic single-axis secondary path.</x:v>
      </x:c>
    </x:row>
    <x:row r="9">
      <x:c r="A9" t="n">
        <x:v>300</x:v>
      </x:c>
      <x:c r="B9" s="34" t="n">
        <x:v>2.408359</x:v>
      </x:c>
      <x:c r="C9" s="34" t="n">
        <x:v>3.0505359999999997</x:v>
      </x:c>
      <x:c r="D9" s="34" t="n">
        <x:v>0.052963333333333334</x:v>
      </x:c>
      <x:c r="E9" s="34" t="n">
        <x:v>0.3246769696969697</x:v>
      </x:c>
      <x:c r="F9" s="34" t="n">
        <x:v>0.9595013398869987</x:v>
      </x:c>
      <x:c r="G9" s="34" t="n">
        <x:v>0.939939279801919</x:v>
      </x:c>
      <x:c r="H9" s="34" t="n">
        <x:v>0.886</x:v>
      </x:c>
      <x:c r="I9" s="34" t="n">
        <x:v>0.911</x:v>
      </x:c>
      <x:c r="J9" s="34" t="n">
        <x:v>0.99</x:v>
      </x:c>
      <x:c r="K9" s="34" t="n">
        <x:v>1.17</x:v>
      </x:c>
      <x:c r="L9" s="34" t="n">
        <x:v>3.5500000000000083</x:v>
      </x:c>
      <x:c r="M9" s="34" t="n">
        <x:v>3.84</x:v>
      </x:c>
      <x:c r="N9" s="34" t="n">
        <x:v>49.125</x:v>
      </x:c>
      <x:c r="O9" s="34" t="n">
        <x:v>40.96157800037923</x:v>
      </x:c>
      <x:c r="P9" s="34" t="n">
        <x:v>58.47249771359221</x:v>
      </x:c>
      <x:c r="Q9" t="str">
        <x:v>Z</x:v>
      </x:c>
      <x:c r="R9" s="26" t="str">
        <x:v>Z: higher synchronous ratio and smaller/equal phase/CV variability; sufficient amplitude authority. At 268–275 Hz Y may be larger, but Z is the more deterministic single-axis secondary path.</x:v>
      </x:c>
    </x:row>
    <x:row r="10">
      <x:c r="R10" s="26"/>
    </x:row>
    <x:row r="11">
      <x:c r="R11" s="26"/>
    </x:row>
    <x:row r="12">
      <x:c r="A12" s="76" t="str">
        <x:v>268 Hz detailed DAC-by-DAC control evidence</x:v>
      </x:c>
      <x:c r="B12" s="76"/>
      <x:c r="C12" s="76"/>
      <x:c r="D12" s="76"/>
      <x:c r="E12" s="76"/>
      <x:c r="F12" s="76"/>
      <x:c r="G12" s="76"/>
      <x:c r="H12" s="76"/>
      <x:c r="I12" s="76"/>
      <x:c r="J12" s="76"/>
      <x:c r="K12" s="76"/>
      <x:c r="L12" s="76"/>
      <x:c r="M12" s="76"/>
      <x:c r="N12" s="76"/>
      <x:c r="O12" s="76"/>
      <x:c r="P12" s="76"/>
      <x:c r="Q12" s="76"/>
      <x:c r="R12" s="79"/>
    </x:row>
    <x:row r="13">
      <x:c r="A13" s="78" t="str">
        <x:v>DAC</x:v>
      </x:c>
      <x:c r="B13" s="78" t="str">
        <x:v>X A</x:v>
      </x:c>
      <x:c r="C13" s="78" t="str">
        <x:v>Y A</x:v>
      </x:c>
      <x:c r="D13" s="78" t="str">
        <x:v>Z A</x:v>
      </x:c>
      <x:c r="E13" s="78" t="str">
        <x:v>X sync</x:v>
      </x:c>
      <x:c r="F13" s="78" t="str">
        <x:v>Y sync</x:v>
      </x:c>
      <x:c r="G13" s="78" t="str">
        <x:v>Z sync</x:v>
      </x:c>
      <x:c r="H13" s="78" t="str">
        <x:v>X CV %</x:v>
      </x:c>
      <x:c r="I13" s="78" t="str">
        <x:v>Y CV %</x:v>
      </x:c>
      <x:c r="J13" s="78" t="str">
        <x:v>Z CV %</x:v>
      </x:c>
      <x:c r="K13" s="78" t="str">
        <x:v>X phase</x:v>
      </x:c>
      <x:c r="L13" s="78" t="str">
        <x:v>Y phase</x:v>
      </x:c>
      <x:c r="M13" s="78" t="str">
        <x:v>Z phase</x:v>
      </x:c>
      <x:c r="N13" s="78" t="str">
        <x:v>|Y-Z|</x:v>
      </x:c>
      <x:c r="O13" s="78" t="str">
        <x:v>Y/Z amp</x:v>
      </x:c>
      <x:c r="P13" s="78" t="str">
        <x:v>Z/X amp</x:v>
      </x:c>
      <x:c r="Q13" s="78" t="str">
        <x:v>Dominant</x:v>
      </x:c>
      <x:c r="R13" s="78" t="str">
        <x:v>Control note</x:v>
      </x:c>
    </x:row>
    <x:row r="14">
      <x:c r="A14" t="n">
        <x:v>11</x:v>
      </x:c>
      <x:c r="B14" s="34" t="n">
        <x:v>0.10609</x:v>
      </x:c>
      <x:c r="C14" s="34" t="n">
        <x:v>1.19524</x:v>
      </x:c>
      <x:c r="D14" s="34" t="n">
        <x:v>1.03241</x:v>
      </x:c>
      <x:c r="E14" s="34" t="n">
        <x:v>0.121</x:v>
      </x:c>
      <x:c r="F14" s="34" t="n">
        <x:v>0.722</x:v>
      </x:c>
      <x:c r="G14" s="34" t="n">
        <x:v>0.865</x:v>
      </x:c>
      <x:c r="H14" s="34" t="n">
        <x:v>27</x:v>
      </x:c>
      <x:c r="I14" s="34" t="n">
        <x:v>4.54</x:v>
      </x:c>
      <x:c r="J14" s="34" t="n">
        <x:v>2.67</x:v>
      </x:c>
      <x:c r="K14" s="34" t="n">
        <x:v>44.41</x:v>
      </x:c>
      <x:c r="L14" s="34" t="n">
        <x:v>-3.07</x:v>
      </x:c>
      <x:c r="M14" s="34" t="n">
        <x:v>11.48</x:v>
      </x:c>
      <x:c r="N14" s="34" t="n">
        <x:v>14.550000000000011</x:v>
      </x:c>
      <x:c r="O14" s="34" t="n">
        <x:v>1.157718348330605</x:v>
      </x:c>
      <x:c r="P14" s="34" t="n">
        <x:v>9.731454425487794</x:v>
      </x:c>
      <x:c r="Q14" t="str">
        <x:v>Y</x:v>
      </x:c>
      <x:c r="R14" s="26" t="str">
        <x:v>Z preferred: stronger sync/stability</x:v>
      </x:c>
    </x:row>
    <x:row r="15">
      <x:c r="A15" t="n">
        <x:v>12</x:v>
      </x:c>
      <x:c r="B15" s="34" t="n">
        <x:v>0.10666</x:v>
      </x:c>
      <x:c r="C15" s="34" t="n">
        <x:v>1.27703</x:v>
      </x:c>
      <x:c r="D15" s="34" t="n">
        <x:v>1.12218</x:v>
      </x:c>
      <x:c r="E15" s="34" t="n">
        <x:v>0.119</x:v>
      </x:c>
      <x:c r="F15" s="34" t="n">
        <x:v>0.766</x:v>
      </x:c>
      <x:c r="G15" s="34" t="n">
        <x:v>0.884</x:v>
      </x:c>
      <x:c r="H15" s="34" t="n">
        <x:v>16.15</x:v>
      </x:c>
      <x:c r="I15" s="34" t="n">
        <x:v>4.61</x:v>
      </x:c>
      <x:c r="J15" s="34" t="n">
        <x:v>0.82</x:v>
      </x:c>
      <x:c r="K15" s="34" t="n">
        <x:v>37.85</x:v>
      </x:c>
      <x:c r="L15" s="34" t="n">
        <x:v>-3.75</x:v>
      </x:c>
      <x:c r="M15" s="34" t="n">
        <x:v>12.3</x:v>
      </x:c>
      <x:c r="N15" s="34" t="n">
        <x:v>16.05000000000001</x:v>
      </x:c>
      <x:c r="O15" s="34" t="n">
        <x:v>1.1379903402306226</x:v>
      </x:c>
      <x:c r="P15" s="34" t="n">
        <x:v>10.521095068441777</x:v>
      </x:c>
      <x:c r="Q15" t="str">
        <x:v>Y</x:v>
      </x:c>
      <x:c r="R15" s="26" t="str">
        <x:v>Z preferred: stronger sync/stability</x:v>
      </x:c>
    </x:row>
    <x:row r="16">
      <x:c r="A16" t="n">
        <x:v>13</x:v>
      </x:c>
      <x:c r="B16" s="34" t="n">
        <x:v>0.12939</x:v>
      </x:c>
      <x:c r="C16" s="34" t="n">
        <x:v>1.39187</x:v>
      </x:c>
      <x:c r="D16" s="34" t="n">
        <x:v>1.26215</x:v>
      </x:c>
      <x:c r="E16" s="34" t="n">
        <x:v>0.161</x:v>
      </x:c>
      <x:c r="F16" s="34" t="n">
        <x:v>0.801</x:v>
      </x:c>
      <x:c r="G16" s="34" t="n">
        <x:v>0.905</x:v>
      </x:c>
      <x:c r="H16" s="34" t="n">
        <x:v>8.4</x:v>
      </x:c>
      <x:c r="I16" s="34" t="n">
        <x:v>4.08</x:v>
      </x:c>
      <x:c r="J16" s="34" t="n">
        <x:v>1.96</x:v>
      </x:c>
      <x:c r="K16" s="34" t="n">
        <x:v>33.07</x:v>
      </x:c>
      <x:c r="L16" s="34" t="n">
        <x:v>-4.26</x:v>
      </x:c>
      <x:c r="M16" s="34" t="n">
        <x:v>12.43</x:v>
      </x:c>
      <x:c r="N16" s="34" t="n">
        <x:v>16.689999999999998</x:v>
      </x:c>
      <x:c r="O16" s="34" t="n">
        <x:v>1.102777007487224</x:v>
      </x:c>
      <x:c r="P16" s="34" t="n">
        <x:v>9.75461782208826</x:v>
      </x:c>
      <x:c r="Q16" t="str">
        <x:v>Y</x:v>
      </x:c>
      <x:c r="R16" s="26" t="str">
        <x:v>Z preferred: stronger sync/stability</x:v>
      </x:c>
    </x:row>
    <x:row r="17">
      <x:c r="A17" t="n">
        <x:v>14</x:v>
      </x:c>
      <x:c r="B17" s="34" t="n">
        <x:v>0.1524</x:v>
      </x:c>
      <x:c r="C17" s="34" t="n">
        <x:v>1.49063</x:v>
      </x:c>
      <x:c r="D17" s="34" t="n">
        <x:v>1.33652</x:v>
      </x:c>
      <x:c r="E17" s="34" t="n">
        <x:v>0.17</x:v>
      </x:c>
      <x:c r="F17" s="34" t="n">
        <x:v>0.805</x:v>
      </x:c>
      <x:c r="G17" s="34" t="n">
        <x:v>0.899</x:v>
      </x:c>
      <x:c r="H17" s="34" t="n">
        <x:v>10.66</x:v>
      </x:c>
      <x:c r="I17" s="34" t="n">
        <x:v>3.9</x:v>
      </x:c>
      <x:c r="J17" s="34" t="n">
        <x:v>1.26</x:v>
      </x:c>
      <x:c r="K17" s="34" t="n">
        <x:v>34.92</x:v>
      </x:c>
      <x:c r="L17" s="34" t="n">
        <x:v>-4.1</x:v>
      </x:c>
      <x:c r="M17" s="34" t="n">
        <x:v>13.47</x:v>
      </x:c>
      <x:c r="N17" s="34" t="n">
        <x:v>17.569999999999993</x:v>
      </x:c>
      <x:c r="O17" s="34" t="n">
        <x:v>1.1153069164696376</x:v>
      </x:c>
      <x:c r="P17" s="34" t="n">
        <x:v>8.769816272965878</x:v>
      </x:c>
      <x:c r="Q17" t="str">
        <x:v>Y</x:v>
      </x:c>
      <x:c r="R17" s="26" t="str">
        <x:v>Z preferred: stronger sync/stability</x:v>
      </x:c>
    </x:row>
    <x:row r="18">
      <x:c r="A18" t="n">
        <x:v>15</x:v>
      </x:c>
      <x:c r="B18" s="34" t="n">
        <x:v>0.14019</x:v>
      </x:c>
      <x:c r="C18" s="34" t="n">
        <x:v>1.58098</x:v>
      </x:c>
      <x:c r="D18" s="34" t="n">
        <x:v>1.43423</x:v>
      </x:c>
      <x:c r="E18" s="34" t="n">
        <x:v>0.17</x:v>
      </x:c>
      <x:c r="F18" s="34" t="n">
        <x:v>0.815</x:v>
      </x:c>
      <x:c r="G18" s="34" t="n">
        <x:v>0.905</x:v>
      </x:c>
      <x:c r="H18" s="34" t="n">
        <x:v>12.86</x:v>
      </x:c>
      <x:c r="I18" s="34" t="n">
        <x:v>3.36</x:v>
      </x:c>
      <x:c r="J18" s="34" t="n">
        <x:v>2.55</x:v>
      </x:c>
      <x:c r="K18" s="34" t="n">
        <x:v>34.06</x:v>
      </x:c>
      <x:c r="L18" s="34" t="n">
        <x:v>-5.33</x:v>
      </x:c>
      <x:c r="M18" s="34" t="n">
        <x:v>13.85</x:v>
      </x:c>
      <x:c r="N18" s="34" t="n">
        <x:v>19.180000000000007</x:v>
      </x:c>
      <x:c r="O18" s="34" t="n">
        <x:v>1.1023197116222643</x:v>
      </x:c>
      <x:c r="P18" s="34" t="n">
        <x:v>10.230615593123616</x:v>
      </x:c>
      <x:c r="Q18" t="str">
        <x:v>Y</x:v>
      </x:c>
      <x:c r="R18" s="26" t="str">
        <x:v>Z preferred: stronger sync/stability</x:v>
      </x:c>
    </x:row>
    <x:row r="19">
      <x:c r="A19" t="n">
        <x:v>16</x:v>
      </x:c>
      <x:c r="B19" s="34" t="n">
        <x:v>0.16247</x:v>
      </x:c>
      <x:c r="C19" s="34" t="n">
        <x:v>1.66189</x:v>
      </x:c>
      <x:c r="D19" s="34" t="n">
        <x:v>1.56766</x:v>
      </x:c>
      <x:c r="E19" s="34" t="n">
        <x:v>0.202</x:v>
      </x:c>
      <x:c r="F19" s="34" t="n">
        <x:v>0.836</x:v>
      </x:c>
      <x:c r="G19" s="34" t="n">
        <x:v>0.912</x:v>
      </x:c>
      <x:c r="H19" s="34" t="n">
        <x:v>7.87</x:v>
      </x:c>
      <x:c r="I19" s="34" t="n">
        <x:v>3.58</x:v>
      </x:c>
      <x:c r="J19" s="34" t="n">
        <x:v>1.7</x:v>
      </x:c>
      <x:c r="K19" s="34" t="n">
        <x:v>39.48</x:v>
      </x:c>
      <x:c r="L19" s="34" t="n">
        <x:v>-5.17</x:v>
      </x:c>
      <x:c r="M19" s="34" t="n">
        <x:v>13.93</x:v>
      </x:c>
      <x:c r="N19" s="34" t="n">
        <x:v>19.099999999999994</x:v>
      </x:c>
      <x:c r="O19" s="34" t="n">
        <x:v>1.0601086970388987</x:v>
      </x:c>
      <x:c r="P19" s="34" t="n">
        <x:v>9.648919800578568</x:v>
      </x:c>
      <x:c r="Q19" t="str">
        <x:v>Y</x:v>
      </x:c>
      <x:c r="R19" s="26" t="str">
        <x:v>Z preferred: stronger sync/stability</x:v>
      </x:c>
    </x:row>
    <x:row r="20">
      <x:c r="A20" t="n">
        <x:v>17</x:v>
      </x:c>
      <x:c r="B20" s="34" t="n">
        <x:v>0.16467</x:v>
      </x:c>
      <x:c r="C20" s="34" t="n">
        <x:v>1.76352</x:v>
      </x:c>
      <x:c r="D20" s="34" t="n">
        <x:v>1.67556</x:v>
      </x:c>
      <x:c r="E20" s="34" t="n">
        <x:v>0.173</x:v>
      </x:c>
      <x:c r="F20" s="34" t="n">
        <x:v>0.831</x:v>
      </x:c>
      <x:c r="G20" s="34" t="n">
        <x:v>0.911</x:v>
      </x:c>
      <x:c r="H20" s="34" t="n">
        <x:v>7.06</x:v>
      </x:c>
      <x:c r="I20" s="34" t="n">
        <x:v>3.12</x:v>
      </x:c>
      <x:c r="J20" s="34" t="n">
        <x:v>2.69</x:v>
      </x:c>
      <x:c r="K20" s="34" t="n">
        <x:v>39.65</x:v>
      </x:c>
      <x:c r="L20" s="34" t="n">
        <x:v>-5.85</x:v>
      </x:c>
      <x:c r="M20" s="34" t="n">
        <x:v>13.83</x:v>
      </x:c>
      <x:c r="N20" s="34" t="n">
        <x:v>19.680000000000007</x:v>
      </x:c>
      <x:c r="O20" s="34" t="n">
        <x:v>1.052495881973788</x:v>
      </x:c>
      <x:c r="P20" s="34" t="n">
        <x:v>10.175259610129348</x:v>
      </x:c>
      <x:c r="Q20" t="str">
        <x:v>Y</x:v>
      </x:c>
      <x:c r="R20" s="26" t="str">
        <x:v>Z preferred: stronger sync/stability</x:v>
      </x:c>
    </x:row>
    <x:row r="21">
      <x:c r="A21" t="n">
        <x:v>18</x:v>
      </x:c>
      <x:c r="B21" s="34" t="n">
        <x:v>0.18329</x:v>
      </x:c>
      <x:c r="C21" s="34" t="n">
        <x:v>1.84853</x:v>
      </x:c>
      <x:c r="D21" s="34" t="n">
        <x:v>1.78381</x:v>
      </x:c>
      <x:c r="E21" s="34" t="n">
        <x:v>0.225</x:v>
      </x:c>
      <x:c r="F21" s="34" t="n">
        <x:v>0.867</x:v>
      </x:c>
      <x:c r="G21" s="34" t="n">
        <x:v>0.906</x:v>
      </x:c>
      <x:c r="H21" s="34" t="n">
        <x:v>8.67</x:v>
      </x:c>
      <x:c r="I21" s="34" t="n">
        <x:v>2.73</x:v>
      </x:c>
      <x:c r="J21" s="34" t="n">
        <x:v>2.21</x:v>
      </x:c>
      <x:c r="K21" s="34" t="n">
        <x:v>39.06</x:v>
      </x:c>
      <x:c r="L21" s="34" t="n">
        <x:v>-5.98</x:v>
      </x:c>
      <x:c r="M21" s="34" t="n">
        <x:v>13.87</x:v>
      </x:c>
      <x:c r="N21" s="34" t="n">
        <x:v>19.849999999999994</x:v>
      </x:c>
      <x:c r="O21" s="34" t="n">
        <x:v>1.0362818910085716</x:v>
      </x:c>
      <x:c r="P21" s="34" t="n">
        <x:v>9.732173059086692</x:v>
      </x:c>
      <x:c r="Q21" t="str">
        <x:v>Y</x:v>
      </x:c>
      <x:c r="R21" s="26" t="str">
        <x:v>Z preferred: stronger sync/stability</x:v>
      </x:c>
    </x:row>
    <x:row r="22">
      <x:c r="A22" t="n">
        <x:v>19</x:v>
      </x:c>
      <x:c r="B22" s="34" t="n">
        <x:v>0.20396</x:v>
      </x:c>
      <x:c r="C22" s="34" t="n">
        <x:v>1.94304</x:v>
      </x:c>
      <x:c r="D22" s="34" t="n">
        <x:v>1.94405</x:v>
      </x:c>
      <x:c r="E22" s="34" t="n">
        <x:v>0.217</x:v>
      </x:c>
      <x:c r="F22" s="34" t="n">
        <x:v>0.857</x:v>
      </x:c>
      <x:c r="G22" s="34" t="n">
        <x:v>0.907</x:v>
      </x:c>
      <x:c r="H22" s="34" t="n">
        <x:v>2.37</x:v>
      </x:c>
      <x:c r="I22" s="34" t="n">
        <x:v>2.11</x:v>
      </x:c>
      <x:c r="J22" s="34" t="n">
        <x:v>2.42</x:v>
      </x:c>
      <x:c r="K22" s="34" t="n">
        <x:v>41.35</x:v>
      </x:c>
      <x:c r="L22" s="34" t="n">
        <x:v>-6.1</x:v>
      </x:c>
      <x:c r="M22" s="34" t="n">
        <x:v>14.52</x:v>
      </x:c>
      <x:c r="N22" s="34" t="n">
        <x:v>20.620000000000005</x:v>
      </x:c>
      <x:c r="O22" s="34" t="n">
        <x:v>0.9994804660373962</x:v>
      </x:c>
      <x:c r="P22" s="34" t="n">
        <x:v>9.531525789370464</x:v>
      </x:c>
      <x:c r="Q22" t="str">
        <x:v>Z</x:v>
      </x:c>
      <x:c r="R22" s="26" t="str">
        <x:v>Z preferred: stronger sync/stability</x:v>
      </x:c>
    </x:row>
    <x:row r="23">
      <x:c r="A23" t="n">
        <x:v>20</x:v>
      </x:c>
      <x:c r="B23" s="34" t="n">
        <x:v>0.21777</x:v>
      </x:c>
      <x:c r="C23" s="34" t="n">
        <x:v>1.99015</x:v>
      </x:c>
      <x:c r="D23" s="34" t="n">
        <x:v>2.15499</x:v>
      </x:c>
      <x:c r="E23" s="34" t="n">
        <x:v>0.204</x:v>
      </x:c>
      <x:c r="F23" s="34" t="n">
        <x:v>0.86</x:v>
      </x:c>
      <x:c r="G23" s="34" t="n">
        <x:v>0.9</x:v>
      </x:c>
      <x:c r="H23" s="34" t="n">
        <x:v>8.32</x:v>
      </x:c>
      <x:c r="I23" s="34" t="n">
        <x:v>2.7</x:v>
      </x:c>
      <x:c r="J23" s="34" t="n">
        <x:v>0.92</x:v>
      </x:c>
      <x:c r="K23" s="34" t="n">
        <x:v>32.31</x:v>
      </x:c>
      <x:c r="L23" s="34" t="n">
        <x:v>-7.95</x:v>
      </x:c>
      <x:c r="M23" s="34" t="n">
        <x:v>12.86</x:v>
      </x:c>
      <x:c r="N23" s="34" t="n">
        <x:v>20.810000000000002</x:v>
      </x:c>
      <x:c r="O23" s="34" t="n">
        <x:v>0.9235077656972885</x:v>
      </x:c>
      <x:c r="P23" s="34" t="n">
        <x:v>9.895715663314508</x:v>
      </x:c>
      <x:c r="Q23" t="str">
        <x:v>Z</x:v>
      </x:c>
      <x:c r="R23" s="26" t="str">
        <x:v>Z preferred: stronger sync/stability</x:v>
      </x:c>
    </x:row>
    <x:row r="30">
      <x:c r="A30" t="str">
        <x:v>Freq_Hz</x:v>
      </x:c>
      <x:c r="B30" t="str">
        <x:v>X @ DAC15</x:v>
      </x:c>
      <x:c r="C30" t="str">
        <x:v>Y @ DAC15</x:v>
      </x:c>
      <x:c r="D30" t="str">
        <x:v>Z @ DAC15</x:v>
      </x:c>
      <x:c r="F30" t="str">
        <x:v>Freq_Hz</x:v>
      </x:c>
      <x:c r="G30" t="str">
        <x:v>X sync @ DAC15</x:v>
      </x:c>
      <x:c r="H30" t="str">
        <x:v>Y sync @ DAC15</x:v>
      </x:c>
      <x:c r="I30" t="str">
        <x:v>Z sync @ DAC15</x:v>
      </x:c>
    </x:row>
    <x:row r="31">
      <x:c r="A31" t="n">
        <x:v>100</x:v>
      </x:c>
      <x:c r="B31" t="n">
        <x:v>0.05338</x:v>
      </x:c>
      <x:c r="C31" t="n">
        <x:v>0.02795</x:v>
      </x:c>
      <x:c r="D31" t="n">
        <x:v>0.24307</x:v>
      </x:c>
      <x:c r="F31" t="n">
        <x:v>100</x:v>
      </x:c>
      <x:c r="G31" t="n">
        <x:v>0.077</x:v>
      </x:c>
      <x:c r="H31" t="n">
        <x:v>0.037</x:v>
      </x:c>
      <x:c r="I31" t="n">
        <x:v>0.435</x:v>
      </x:c>
    </x:row>
    <x:row r="32">
      <x:c r="A32" t="n">
        <x:v>125</x:v>
      </x:c>
      <x:c r="B32" t="n">
        <x:v>0.03971</x:v>
      </x:c>
      <x:c r="C32" t="n">
        <x:v>0.06011</x:v>
      </x:c>
      <x:c r="D32" t="n">
        <x:v>0.20952</x:v>
      </x:c>
      <x:c r="F32" t="n">
        <x:v>125</x:v>
      </x:c>
      <x:c r="G32" t="n">
        <x:v>0.062</x:v>
      </x:c>
      <x:c r="H32" t="n">
        <x:v>0.078</x:v>
      </x:c>
      <x:c r="I32" t="n">
        <x:v>0.394</x:v>
      </x:c>
    </x:row>
    <x:row r="33">
      <x:c r="A33" t="n">
        <x:v>150</x:v>
      </x:c>
      <x:c r="B33" t="n">
        <x:v>0.05076</x:v>
      </x:c>
      <x:c r="C33" t="n">
        <x:v>0.10497</x:v>
      </x:c>
      <x:c r="D33" t="n">
        <x:v>0.3536</x:v>
      </x:c>
      <x:c r="F33" t="n">
        <x:v>150</x:v>
      </x:c>
      <x:c r="G33" t="n">
        <x:v>0.082</x:v>
      </x:c>
      <x:c r="H33" t="n">
        <x:v>0.121</x:v>
      </x:c>
      <x:c r="I33" t="n">
        <x:v>0.589</x:v>
      </x:c>
    </x:row>
    <x:row r="34">
      <x:c r="A34" t="n">
        <x:v>175</x:v>
      </x:c>
      <x:c r="B34" t="n">
        <x:v>0.07024</x:v>
      </x:c>
      <x:c r="C34" t="n">
        <x:v>0.18806</x:v>
      </x:c>
      <x:c r="D34" t="n">
        <x:v>0.36519</x:v>
      </x:c>
      <x:c r="F34" t="n">
        <x:v>175</x:v>
      </x:c>
      <x:c r="G34" t="n">
        <x:v>0.118</x:v>
      </x:c>
      <x:c r="H34" t="n">
        <x:v>0.216</x:v>
      </x:c>
      <x:c r="I34" t="n">
        <x:v>0.647</x:v>
      </x:c>
    </x:row>
    <x:row r="35">
      <x:c r="A35" t="n">
        <x:v>200</x:v>
      </x:c>
      <x:c r="B35" t="n">
        <x:v>0.05981</x:v>
      </x:c>
      <x:c r="C35" t="n">
        <x:v>0.26353</x:v>
      </x:c>
      <x:c r="D35" t="n">
        <x:v>0.4591</x:v>
      </x:c>
      <x:c r="F35" t="n">
        <x:v>200</x:v>
      </x:c>
      <x:c r="G35" t="n">
        <x:v>0.097</x:v>
      </x:c>
      <x:c r="H35" t="n">
        <x:v>0.29</x:v>
      </x:c>
      <x:c r="I35" t="n">
        <x:v>0.726</x:v>
      </x:c>
    </x:row>
    <x:row r="36">
      <x:c r="A36" t="n">
        <x:v>225</x:v>
      </x:c>
      <x:c r="B36" t="n">
        <x:v>0.10997</x:v>
      </x:c>
      <x:c r="C36" t="n">
        <x:v>0.58928</x:v>
      </x:c>
      <x:c r="D36" t="n">
        <x:v>0.82178</x:v>
      </x:c>
      <x:c r="F36" t="n">
        <x:v>225</x:v>
      </x:c>
      <x:c r="G36" t="n">
        <x:v>0.139</x:v>
      </x:c>
      <x:c r="H36" t="n">
        <x:v>0.546</x:v>
      </x:c>
      <x:c r="I36" t="n">
        <x:v>0.858</x:v>
      </x:c>
    </x:row>
    <x:row r="37">
      <x:c r="A37" t="n">
        <x:v>250</x:v>
      </x:c>
      <x:c r="B37" t="n">
        <x:v>0.132</x:v>
      </x:c>
      <x:c r="C37" t="n">
        <x:v>1.03026</x:v>
      </x:c>
      <x:c r="D37" t="n">
        <x:v>1.10499</x:v>
      </x:c>
      <x:c r="F37" t="n">
        <x:v>250</x:v>
      </x:c>
      <x:c r="G37" t="n">
        <x:v>0.147</x:v>
      </x:c>
      <x:c r="H37" t="n">
        <x:v>0.772</x:v>
      </x:c>
      <x:c r="I37" t="n">
        <x:v>0.896</x:v>
      </x:c>
    </x:row>
    <x:row r="38">
      <x:c r="A38" t="n">
        <x:v>268</x:v>
      </x:c>
      <x:c r="B38" t="n">
        <x:v>0.14019</x:v>
      </x:c>
      <x:c r="C38" t="n">
        <x:v>1.58098</x:v>
      </x:c>
      <x:c r="D38" t="n">
        <x:v>1.43423</x:v>
      </x:c>
      <x:c r="F38" t="n">
        <x:v>268</x:v>
      </x:c>
      <x:c r="G38" t="n">
        <x:v>0.17</x:v>
      </x:c>
      <x:c r="H38" t="n">
        <x:v>0.815</x:v>
      </x:c>
      <x:c r="I38" t="n">
        <x:v>0.905</x:v>
      </x:c>
    </x:row>
    <x:row r="39">
      <x:c r="A39" t="n">
        <x:v>270</x:v>
      </x:c>
      <x:c r="B39" t="n">
        <x:v>0.14364</x:v>
      </x:c>
      <x:c r="C39" t="n">
        <x:v>1.6695</x:v>
      </x:c>
      <x:c r="D39" t="n">
        <x:v>1.47208</x:v>
      </x:c>
      <x:c r="F39" t="n">
        <x:v>270</x:v>
      </x:c>
      <x:c r="G39" t="n">
        <x:v>0.172</x:v>
      </x:c>
      <x:c r="H39" t="n">
        <x:v>0.824</x:v>
      </x:c>
      <x:c r="I39" t="n">
        <x:v>0.901</x:v>
      </x:c>
    </x:row>
    <x:row r="40">
      <x:c r="A40" t="n">
        <x:v>275</x:v>
      </x:c>
      <x:c r="B40" t="n">
        <x:v>0.17726</x:v>
      </x:c>
      <x:c r="C40" t="n">
        <x:v>1.5062</x:v>
      </x:c>
      <x:c r="D40" t="n">
        <x:v>1.92496</x:v>
      </x:c>
      <x:c r="F40" t="n">
        <x:v>275</x:v>
      </x:c>
      <x:c r="G40" t="n">
        <x:v>0.212</x:v>
      </x:c>
      <x:c r="H40" t="n">
        <x:v>0.797</x:v>
      </x:c>
      <x:c r="I40" t="n">
        <x:v>0.881</x:v>
      </x:c>
    </x:row>
    <x:row r="41">
      <x:c r="A41" t="n">
        <x:v>300</x:v>
      </x:c>
      <x:c r="B41" t="n">
        <x:v>0.29125</x:v>
      </x:c>
      <x:c r="C41" t="n">
        <x:v>2.34385</x:v>
      </x:c>
      <x:c r="D41" t="n">
        <x:v>2.93343</x:v>
      </x:c>
      <x:c r="F41" t="n">
        <x:v>300</x:v>
      </x:c>
      <x:c r="G41" t="n">
        <x:v>0.3</x:v>
      </x:c>
      <x:c r="H41" t="n">
        <x:v>0.885</x:v>
      </x:c>
      <x:c r="I41" t="n">
        <x:v>0.907</x:v>
      </x:c>
    </x:row>
    <x:row r="42">
      <x:c r="A42" t="n">
        <x:v>325</x:v>
      </x:c>
      <x:c r="B42" t="n">
        <x:v>0.4734</x:v>
      </x:c>
      <x:c r="C42" t="n">
        <x:v>2.47814</x:v>
      </x:c>
      <x:c r="D42" t="n">
        <x:v>4.45633</x:v>
      </x:c>
      <x:c r="F42" t="n">
        <x:v>325</x:v>
      </x:c>
      <x:c r="G42" t="n">
        <x:v>0.434</x:v>
      </x:c>
      <x:c r="H42" t="n">
        <x:v>0.833</x:v>
      </x:c>
      <x:c r="I42" t="n">
        <x:v>0.921</x:v>
      </x:c>
    </x:row>
  </x:sheetData>
  <x:mergeCells>
    <x:mergeCell ref="A1:R1"/>
    <x:mergeCell ref="A2:R2"/>
    <x:mergeCell ref="A12:R12"/>
  </x:mergeCells>
  <x:conditionalFormatting sqref="I5:I9">
    <x:cfRule type="dataBar" priority="1">
      <x:dataBar>
        <x:cfvo type="min"/>
        <x:cfvo type="max"/>
        <x:color rgb="FFA02B93"/>
      </x:dataBar>
      <x:extLst>
        <x:ext xmlns:x14="http://schemas.microsoft.com/office/spreadsheetml/2009/9/main" uri="{B025F937-C7B1-47D3-B67F-A62EFF666E3E}">
          <x14:id>{9ED97CF8-0FAC-66E3-1E38-3784573D39D9}</x14:id>
        </x:ext>
      </x:extLst>
    </x:cfRule>
  </x:conditionalFormatting>
  <x:pageMargins left="0.7" right="0.7" top="0.75" bottom="0.75" header="0.3" footer="0.3"/>
  <x:drawing xmlns:r="http://schemas.openxmlformats.org/officeDocument/2006/relationships" r:id="Rb4a5d05e4c304981"/>
  <x:extLst>
    <x:ext xmlns:x14="http://schemas.microsoft.com/office/spreadsheetml/2009/9/main" xmlns:xm="http://schemas.microsoft.com/office/excel/2006/main" uri="{78C0D931-6437-407d-A8EE-F0AAD7539E65}">
      <x14:conditionalFormattings>
        <x14:conditionalFormatting>
          <x14:cfRule type="dataBar" priority="1" id="{9ED97CF8-0FAC-66E3-1E38-3784573D39D9}">
            <x14:dataBar gradient="1">
              <x14:cfvo type="min"/>
              <x14:cfvo type="max"/>
              <x14:fillColor rgb="FFA02B93"/>
            </x14:dataBar>
          </x14:cfRule>
          <xm:sqref>I5:I9</xm:sqref>
        </x14:conditionalFormatting>
      </x14:conditionalFormattings>
    </x:ext>
  </x:extLst>
</x:worksheet>
</file>

<file path=xl/worksheets/sheet14.xml><?xml version="1.0" encoding="utf-8"?>
<x:worksheet xmlns:x="http://schemas.openxmlformats.org/spreadsheetml/2006/main">
  <x:sheetFormatPr defaultRowHeight="15"/>
  <x:cols>
    <x:col min="1" max="1" width="8" hidden="0" customWidth="1"/>
    <x:col min="2" max="2" width="10" hidden="0" customWidth="1"/>
    <x:col min="3" max="3" width="10" hidden="0" customWidth="1"/>
    <x:col min="4" max="4" width="9" hidden="0" customWidth="1"/>
    <x:col min="5" max="5" width="10" hidden="0" customWidth="1"/>
    <x:col min="6" max="6" width="10" hidden="0" customWidth="1"/>
    <x:col min="7" max="7" width="9" hidden="0" customWidth="1"/>
    <x:col min="8" max="8" width="10" hidden="0" customWidth="1"/>
    <x:col min="9" max="9" width="10" hidden="0" customWidth="1"/>
    <x:col min="10" max="10" width="9" hidden="0" customWidth="1"/>
    <x:col min="11" max="11" width="11" hidden="0" customWidth="1"/>
    <x:col min="12" max="12" width="11" hidden="0" customWidth="1"/>
    <x:col min="13" max="13" width="10" hidden="0" customWidth="1"/>
    <x:col min="14" max="14" width="12" hidden="0" customWidth="1"/>
    <x:col min="15" max="15" width="12" hidden="0" customWidth="1"/>
    <x:col min="16" max="16" width="55" hidden="0" customWidth="1"/>
  </x:cols>
  <x:sheetData>
    <x:row r="1">
      <x:c r="A1" s="64" t="str">
        <x:v>225 Hz CROSS-RUN REPEATABILITY CHECK — SAME FREQUENCY/DAC SWEEP REPEATED</x:v>
      </x:c>
      <x:c r="B1" s="64"/>
      <x:c r="C1" s="64"/>
      <x:c r="D1" s="64"/>
      <x:c r="E1" s="64"/>
      <x:c r="F1" s="64"/>
      <x:c r="G1" s="64"/>
      <x:c r="H1" s="64"/>
      <x:c r="I1" s="64"/>
      <x:c r="J1" s="64"/>
      <x:c r="K1" s="64"/>
      <x:c r="L1" s="64"/>
      <x:c r="M1" s="64"/>
      <x:c r="N1" s="64"/>
      <x:c r="O1" s="64"/>
      <x:c r="P1" s="64"/>
    </x:row>
    <x:row r="2">
      <x:c r="A2" s="74" t="str">
        <x:v>This is not a substitute for n≥3–5 at every condition, but it is valuable evidence: total response is similar while axis partition shifts, demonstrating sensitivity to mounting/preload/boundary conditions.</x:v>
      </x:c>
      <x:c r="B2" s="74"/>
      <x:c r="C2" s="74"/>
      <x:c r="D2" s="74"/>
      <x:c r="E2" s="74"/>
      <x:c r="F2" s="74"/>
      <x:c r="G2" s="74"/>
      <x:c r="H2" s="74"/>
      <x:c r="I2" s="74"/>
      <x:c r="J2" s="74"/>
      <x:c r="K2" s="74"/>
      <x:c r="L2" s="74"/>
      <x:c r="M2" s="74"/>
      <x:c r="N2" s="74"/>
      <x:c r="O2" s="74"/>
      <x:c r="P2" s="74"/>
    </x:row>
    <x:row r="4">
      <x:c r="A4" s="71" t="str">
        <x:v>DAC</x:v>
      </x:c>
      <x:c r="B4" s="71" t="str">
        <x:v>Run1 X</x:v>
      </x:c>
      <x:c r="C4" s="71" t="str">
        <x:v>Run2 X</x:v>
      </x:c>
      <x:c r="D4" s="71" t="str">
        <x:v>ΔX %</x:v>
      </x:c>
      <x:c r="E4" s="71" t="str">
        <x:v>Run1 Y</x:v>
      </x:c>
      <x:c r="F4" s="71" t="str">
        <x:v>Run2 Y</x:v>
      </x:c>
      <x:c r="G4" s="71" t="str">
        <x:v>ΔY %</x:v>
      </x:c>
      <x:c r="H4" s="71" t="str">
        <x:v>Run1 Z</x:v>
      </x:c>
      <x:c r="I4" s="71" t="str">
        <x:v>Run2 Z</x:v>
      </x:c>
      <x:c r="J4" s="71" t="str">
        <x:v>ΔZ %</x:v>
      </x:c>
      <x:c r="K4" s="71" t="str">
        <x:v>Run1 Total</x:v>
      </x:c>
      <x:c r="L4" s="71" t="str">
        <x:v>Run2 Total</x:v>
      </x:c>
      <x:c r="M4" s="71" t="str">
        <x:v>ΔTotal %</x:v>
      </x:c>
      <x:c r="N4" s="71" t="str">
        <x:v>Run1 dominant</x:v>
      </x:c>
      <x:c r="O4" s="71" t="str">
        <x:v>Run2 dominant</x:v>
      </x:c>
      <x:c r="P4" s="71" t="str">
        <x:v>Interpretation</x:v>
      </x:c>
    </x:row>
    <x:row r="5">
      <x:c r="A5" t="n">
        <x:v>11</x:v>
      </x:c>
      <x:c r="B5" s="18" t="n">
        <x:v>0.08634</x:v>
      </x:c>
      <x:c r="C5" s="18" t="n">
        <x:v>0.05128</x:v>
      </x:c>
      <x:c r="D5" s="18" t="n">
        <x:v>-40.606902941857776</x:v>
      </x:c>
      <x:c r="E5" s="18" t="n">
        <x:v>0.45456</x:v>
      </x:c>
      <x:c r="F5" s="18" t="n">
        <x:v>0.47313</x:v>
      </x:c>
      <x:c r="G5" s="18" t="n">
        <x:v>4.08526927138331</x:v>
      </x:c>
      <x:c r="H5" s="18" t="n">
        <x:v>0.58005</x:v>
      </x:c>
      <x:c r="I5" s="18" t="n">
        <x:v>0.4885</x:v>
      </x:c>
      <x:c r="J5" s="18" t="n">
        <x:v>-15.783122144642697</x:v>
      </x:c>
      <x:c r="K5" s="18" t="n">
        <x:v>0.74219</x:v>
      </x:c>
      <x:c r="L5" s="18" t="n">
        <x:v>0.6823</x:v>
      </x:c>
      <x:c r="M5" s="18" t="n">
        <x:v>-8.069362292674382</x:v>
      </x:c>
      <x:c r="N5" t="str">
        <x:v>Z</x:v>
      </x:c>
      <x:c r="O5" t="str">
        <x:v>Z</x:v>
      </x:c>
      <x:c r="P5" s="26" t="str">
        <x:v>Total remains close, but Y/Z partition changes; mechanical boundary condition is not perfectly invariant.</x:v>
      </x:c>
    </x:row>
    <x:row r="6">
      <x:c r="A6" t="n">
        <x:v>12</x:v>
      </x:c>
      <x:c r="B6" s="18" t="n">
        <x:v>0.07796</x:v>
      </x:c>
      <x:c r="C6" s="18" t="n">
        <x:v>0.04904</x:v>
      </x:c>
      <x:c r="D6" s="18" t="n">
        <x:v>-37.09594663930221</x:v>
      </x:c>
      <x:c r="E6" s="18" t="n">
        <x:v>0.48442</x:v>
      </x:c>
      <x:c r="F6" s="18" t="n">
        <x:v>0.52446</x:v>
      </x:c>
      <x:c r="G6" s="18" t="n">
        <x:v>8.265554683951947</x:v>
      </x:c>
      <x:c r="H6" s="18" t="n">
        <x:v>0.64528</x:v>
      </x:c>
      <x:c r="I6" s="18" t="n">
        <x:v>0.53412</x:v>
      </x:c>
      <x:c r="J6" s="18" t="n">
        <x:v>-17.226630300024784</x:v>
      </x:c>
      <x:c r="K6" s="18" t="n">
        <x:v>0.81097</x:v>
      </x:c>
      <x:c r="L6" s="18" t="n">
        <x:v>0.75047</x:v>
      </x:c>
      <x:c r="M6" s="18" t="n">
        <x:v>-7.460201980344526</x:v>
      </x:c>
      <x:c r="N6" t="str">
        <x:v>Z</x:v>
      </x:c>
      <x:c r="O6" t="str">
        <x:v>Z</x:v>
      </x:c>
      <x:c r="P6" s="26" t="str">
        <x:v>Total remains close, but Y/Z partition changes; mechanical boundary condition is not perfectly invariant.</x:v>
      </x:c>
    </x:row>
    <x:row r="7">
      <x:c r="A7" t="n">
        <x:v>13</x:v>
      </x:c>
      <x:c r="B7" s="18" t="n">
        <x:v>0.09365</x:v>
      </x:c>
      <x:c r="C7" s="18" t="n">
        <x:v>0.05631</x:v>
      </x:c>
      <x:c r="D7" s="18" t="n">
        <x:v>-39.871863320875605</x:v>
      </x:c>
      <x:c r="E7" s="18" t="n">
        <x:v>0.51742</x:v>
      </x:c>
      <x:c r="F7" s="18" t="n">
        <x:v>0.56105</x:v>
      </x:c>
      <x:c r="G7" s="18" t="n">
        <x:v>8.432221406207734</x:v>
      </x:c>
      <x:c r="H7" s="18" t="n">
        <x:v>0.69711</x:v>
      </x:c>
      <x:c r="I7" s="18" t="n">
        <x:v>0.58327</x:v>
      </x:c>
      <x:c r="J7" s="18" t="n">
        <x:v>-16.330277861456594</x:v>
      </x:c>
      <x:c r="K7" s="18" t="n">
        <x:v>0.87343</x:v>
      </x:c>
      <x:c r="L7" s="18" t="n">
        <x:v>0.81141</x:v>
      </x:c>
      <x:c r="M7" s="18" t="n">
        <x:v>-7.1007407577023995</x:v>
      </x:c>
      <x:c r="N7" t="str">
        <x:v>Z</x:v>
      </x:c>
      <x:c r="O7" t="str">
        <x:v>Z</x:v>
      </x:c>
      <x:c r="P7" s="26" t="str">
        <x:v>Total remains close, but Y/Z partition changes; mechanical boundary condition is not perfectly invariant.</x:v>
      </x:c>
    </x:row>
    <x:row r="8">
      <x:c r="A8" t="n">
        <x:v>14</x:v>
      </x:c>
      <x:c r="B8" s="18" t="n">
        <x:v>0.08533</x:v>
      </x:c>
      <x:c r="C8" s="18" t="n">
        <x:v>0.06809</x:v>
      </x:c>
      <x:c r="D8" s="18" t="n">
        <x:v>-20.203914215399045</x:v>
      </x:c>
      <x:c r="E8" s="18" t="n">
        <x:v>0.55337</x:v>
      </x:c>
      <x:c r="F8" s="18" t="n">
        <x:v>0.62062</x:v>
      </x:c>
      <x:c r="G8" s="18" t="n">
        <x:v>12.15280915120081</x:v>
      </x:c>
      <x:c r="H8" s="18" t="n">
        <x:v>0.76407</x:v>
      </x:c>
      <x:c r="I8" s="18" t="n">
        <x:v>0.64721</x:v>
      </x:c>
      <x:c r="J8" s="18" t="n">
        <x:v>-15.294410198018515</x:v>
      </x:c>
      <x:c r="K8" s="18" t="n">
        <x:v>0.9475</x:v>
      </x:c>
      <x:c r="L8" s="18" t="n">
        <x:v>0.89941</x:v>
      </x:c>
      <x:c r="M8" s="18" t="n">
        <x:v>-5.075461741424799</x:v>
      </x:c>
      <x:c r="N8" t="str">
        <x:v>Z</x:v>
      </x:c>
      <x:c r="O8" t="str">
        <x:v>Z</x:v>
      </x:c>
      <x:c r="P8" s="26" t="str">
        <x:v>Total remains close, but Y/Z partition changes; mechanical boundary condition is not perfectly invariant.</x:v>
      </x:c>
    </x:row>
    <x:row r="9">
      <x:c r="A9" t="n">
        <x:v>15</x:v>
      </x:c>
      <x:c r="B9" s="18" t="n">
        <x:v>0.10997</x:v>
      </x:c>
      <x:c r="C9" s="18" t="n">
        <x:v>0.06403</x:v>
      </x:c>
      <x:c r="D9" s="18" t="n">
        <x:v>-41.77502955351459</x:v>
      </x:c>
      <x:c r="E9" s="18" t="n">
        <x:v>0.58928</x:v>
      </x:c>
      <x:c r="F9" s="18" t="n">
        <x:v>0.66622</x:v>
      </x:c>
      <x:c r="G9" s="18" t="n">
        <x:v>13.056611458050503</x:v>
      </x:c>
      <x:c r="H9" s="18" t="n">
        <x:v>0.82178</x:v>
      </x:c>
      <x:c r="I9" s="18" t="n">
        <x:v>0.69821</x:v>
      </x:c>
      <x:c r="J9" s="18" t="n">
        <x:v>-15.03687118206819</x:v>
      </x:c>
      <x:c r="K9" s="18" t="n">
        <x:v>1.01729</x:v>
      </x:c>
      <x:c r="L9" s="18" t="n">
        <x:v>0.96743</x:v>
      </x:c>
      <x:c r="M9" s="18" t="n">
        <x:v>-4.901257261941041</x:v>
      </x:c>
      <x:c r="N9" t="str">
        <x:v>Z</x:v>
      </x:c>
      <x:c r="O9" t="str">
        <x:v>Z</x:v>
      </x:c>
      <x:c r="P9" s="26" t="str">
        <x:v>Total remains close, but Y/Z partition changes; mechanical boundary condition is not perfectly invariant.</x:v>
      </x:c>
    </x:row>
    <x:row r="10">
      <x:c r="A10" t="n">
        <x:v>16</x:v>
      </x:c>
      <x:c r="B10" s="18" t="n">
        <x:v>0.11784</x:v>
      </x:c>
      <x:c r="C10" s="18" t="n">
        <x:v>0.07815</x:v>
      </x:c>
      <x:c r="D10" s="18" t="n">
        <x:v>-33.68126272912424</x:v>
      </x:c>
      <x:c r="E10" s="18" t="n">
        <x:v>0.60779</x:v>
      </x:c>
      <x:c r="F10" s="18" t="n">
        <x:v>0.70314</x:v>
      </x:c>
      <x:c r="G10" s="18" t="n">
        <x:v>15.687984336695227</x:v>
      </x:c>
      <x:c r="H10" s="18" t="n">
        <x:v>0.88947</x:v>
      </x:c>
      <x:c r="I10" s="18" t="n">
        <x:v>0.75357</x:v>
      </x:c>
      <x:c r="J10" s="18" t="n">
        <x:v>-15.27876150966306</x:v>
      </x:c>
      <x:c r="K10" s="18" t="n">
        <x:v>1.08383</x:v>
      </x:c>
      <x:c r="L10" s="18" t="n">
        <x:v>1.03373</x:v>
      </x:c>
      <x:c r="M10" s="18" t="n">
        <x:v>-4.62249614791988</x:v>
      </x:c>
      <x:c r="N10" t="str">
        <x:v>Z</x:v>
      </x:c>
      <x:c r="O10" t="str">
        <x:v>Z</x:v>
      </x:c>
      <x:c r="P10" s="26" t="str">
        <x:v>Total remains close, but Y/Z partition changes; mechanical boundary condition is not perfectly invariant.</x:v>
      </x:c>
    </x:row>
    <x:row r="11">
      <x:c r="A11" t="n">
        <x:v>17</x:v>
      </x:c>
      <x:c r="B11" s="18" t="n">
        <x:v>0.12485</x:v>
      </x:c>
      <x:c r="C11" s="18" t="n">
        <x:v>0.06954</x:v>
      </x:c>
      <x:c r="D11" s="18" t="n">
        <x:v>-44.3011613936724</x:v>
      </x:c>
      <x:c r="E11" s="18" t="n">
        <x:v>0.6409</x:v>
      </x:c>
      <x:c r="F11" s="18" t="n">
        <x:v>0.73137</x:v>
      </x:c>
      <x:c r="G11" s="18" t="n">
        <x:v>14.116086753003579</x:v>
      </x:c>
      <x:c r="H11" s="18" t="n">
        <x:v>0.96415</x:v>
      </x:c>
      <x:c r="I11" s="18" t="n">
        <x:v>0.79487</x:v>
      </x:c>
      <x:c r="J11" s="18" t="n">
        <x:v>-17.557434009230928</x:v>
      </x:c>
      <x:c r="K11" s="18" t="n">
        <x:v>1.1645</x:v>
      </x:c>
      <x:c r="L11" s="18" t="n">
        <x:v>1.08253</x:v>
      </x:c>
      <x:c r="M11" s="18" t="n">
        <x:v>-7.03907256333191</x:v>
      </x:c>
      <x:c r="N11" t="str">
        <x:v>Z</x:v>
      </x:c>
      <x:c r="O11" t="str">
        <x:v>Z</x:v>
      </x:c>
      <x:c r="P11" s="26" t="str">
        <x:v>Total remains close, but Y/Z partition changes; mechanical boundary condition is not perfectly invariant.</x:v>
      </x:c>
    </x:row>
    <x:row r="12">
      <x:c r="A12" t="n">
        <x:v>18</x:v>
      </x:c>
      <x:c r="B12" s="18" t="n">
        <x:v>0.12483</x:v>
      </x:c>
      <x:c r="C12" s="18" t="n">
        <x:v>0.08561</x:v>
      </x:c>
      <x:c r="D12" s="18" t="n">
        <x:v>-31.418729472082028</x:v>
      </x:c>
      <x:c r="E12" s="18" t="n">
        <x:v>0.65551</x:v>
      </x:c>
      <x:c r="F12" s="18" t="n">
        <x:v>0.77576</x:v>
      </x:c>
      <x:c r="G12" s="18" t="n">
        <x:v>18.344495125932475</x:v>
      </x:c>
      <x:c r="H12" s="18" t="n">
        <x:v>1.03755</x:v>
      </x:c>
      <x:c r="I12" s="18" t="n">
        <x:v>0.85749</x:v>
      </x:c>
      <x:c r="J12" s="18" t="n">
        <x:v>-17.354344368946077</x:v>
      </x:c>
      <x:c r="K12" s="18" t="n">
        <x:v>1.23382</x:v>
      </x:c>
      <x:c r="L12" s="18" t="n">
        <x:v>1.15958</x:v>
      </x:c>
      <x:c r="M12" s="18" t="n">
        <x:v>-6.017085150183971</x:v>
      </x:c>
      <x:c r="N12" t="str">
        <x:v>Z</x:v>
      </x:c>
      <x:c r="O12" t="str">
        <x:v>Z</x:v>
      </x:c>
      <x:c r="P12" s="26" t="str">
        <x:v>Total remains close, but Y/Z partition changes; mechanical boundary condition is not perfectly invariant.</x:v>
      </x:c>
    </x:row>
    <x:row r="13">
      <x:c r="A13" t="n">
        <x:v>19</x:v>
      </x:c>
      <x:c r="B13" s="18" t="n">
        <x:v>0.12768</x:v>
      </x:c>
      <x:c r="C13" s="18" t="n">
        <x:v>0.07838</x:v>
      </x:c>
      <x:c r="D13" s="18" t="n">
        <x:v>-38.612155388471166</x:v>
      </x:c>
      <x:c r="E13" s="18" t="n">
        <x:v>0.68619</x:v>
      </x:c>
      <x:c r="F13" s="18" t="n">
        <x:v>0.80547</x:v>
      </x:c>
      <x:c r="G13" s="18" t="n">
        <x:v>17.382940584969184</x:v>
      </x:c>
      <x:c r="H13" s="18" t="n">
        <x:v>1.09979</x:v>
      </x:c>
      <x:c r="I13" s="18" t="n">
        <x:v>0.89703</x:v>
      </x:c>
      <x:c r="J13" s="18" t="n">
        <x:v>-18.436246919866523</x:v>
      </x:c>
      <x:c r="K13" s="18" t="n">
        <x:v>1.30278</x:v>
      </x:c>
      <x:c r="L13" s="18" t="n">
        <x:v>1.20831</x:v>
      </x:c>
      <x:c r="M13" s="18" t="n">
        <x:v>-7.25141620227514</x:v>
      </x:c>
      <x:c r="N13" t="str">
        <x:v>Z</x:v>
      </x:c>
      <x:c r="O13" t="str">
        <x:v>Z</x:v>
      </x:c>
      <x:c r="P13" s="26" t="str">
        <x:v>Total remains close, but Y/Z partition changes; mechanical boundary condition is not perfectly invariant.</x:v>
      </x:c>
    </x:row>
    <x:row r="14">
      <x:c r="A14" t="n">
        <x:v>20</x:v>
      </x:c>
      <x:c r="B14" s="18" t="n">
        <x:v>0.13645</x:v>
      </x:c>
      <x:c r="C14" s="18" t="n">
        <x:v>0.099</x:v>
      </x:c>
      <x:c r="D14" s="18" t="n">
        <x:v>-27.44595089776474</x:v>
      </x:c>
      <x:c r="E14" s="18" t="n">
        <x:v>0.70249</x:v>
      </x:c>
      <x:c r="F14" s="18" t="n">
        <x:v>0.85695</x:v>
      </x:c>
      <x:c r="G14" s="18" t="n">
        <x:v>21.987501601446294</x:v>
      </x:c>
      <x:c r="H14" s="18" t="n">
        <x:v>1.16183</x:v>
      </x:c>
      <x:c r="I14" s="18" t="n">
        <x:v>0.96383</x:v>
      </x:c>
      <x:c r="J14" s="18" t="n">
        <x:v>-17.04208016663367</x:v>
      </x:c>
      <x:c r="K14" s="18" t="n">
        <x:v>1.36471</x:v>
      </x:c>
      <x:c r="L14" s="18" t="n">
        <x:v>1.29371</x:v>
      </x:c>
      <x:c r="M14" s="18" t="n">
        <x:v>-5.202570509485544</x:v>
      </x:c>
      <x:c r="N14" t="str">
        <x:v>Z</x:v>
      </x:c>
      <x:c r="O14" t="str">
        <x:v>Z</x:v>
      </x:c>
      <x:c r="P14" s="26" t="str">
        <x:v>Total remains close, but Y/Z partition changes; mechanical boundary condition is not perfectly invariant.</x:v>
      </x:c>
    </x:row>
  </x:sheetData>
  <x:mergeCells>
    <x:mergeCell ref="A1:P1"/>
    <x:mergeCell ref="A2:P2"/>
  </x:mergeCells>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8" hidden="0" customWidth="1"/>
    <x:col min="3" max="3" width="9" hidden="0" customWidth="1"/>
    <x:col min="4" max="4" width="9" hidden="0" customWidth="1"/>
    <x:col min="5" max="5" width="9" hidden="0" customWidth="1"/>
    <x:col min="6" max="6" width="10" hidden="0" customWidth="1"/>
    <x:col min="7" max="7" width="9" hidden="0" customWidth="1"/>
    <x:col min="8" max="8" width="9" hidden="0" customWidth="1"/>
    <x:col min="9" max="9" width="9" hidden="0" customWidth="1"/>
    <x:col min="10" max="10" width="9" hidden="0" customWidth="1"/>
    <x:col min="11" max="11" width="9" hidden="0" customWidth="1"/>
    <x:col min="12" max="12" width="11" hidden="0" customWidth="1"/>
    <x:col min="13" max="13" width="11" hidden="0" customWidth="1"/>
    <x:col min="14" max="14" width="11" hidden="0" customWidth="1"/>
    <x:col min="15" max="15" width="55" hidden="0" customWidth="1"/>
  </x:cols>
  <x:sheetData>
    <x:row r="1">
      <x:c r="A1" s="64" t="str">
        <x:v>268 Hz REPRODUCIBILITY ACROSS WEARABLE-LIKE INCLINATIONS</x:v>
      </x:c>
      <x:c r="B1" s="64"/>
      <x:c r="C1" s="64"/>
      <x:c r="D1" s="64"/>
      <x:c r="E1" s="64"/>
      <x:c r="F1" s="64"/>
      <x:c r="G1" s="64"/>
      <x:c r="H1" s="64"/>
      <x:c r="I1" s="64"/>
      <x:c r="J1" s="64"/>
      <x:c r="K1" s="64"/>
      <x:c r="L1" s="64"/>
      <x:c r="M1" s="64"/>
      <x:c r="N1" s="64"/>
      <x:c r="O1" s="64"/>
    </x:row>
    <x:row r="2">
      <x:c r="A2" s="68" t="str">
        <x:v>Prior Incline A/Incline B values are carried forward from today's documented analysis; current frequency-map values are from the new raw log.</x:v>
      </x:c>
      <x:c r="B2" s="68"/>
      <x:c r="C2" s="68"/>
      <x:c r="D2" s="68"/>
      <x:c r="E2" s="68"/>
      <x:c r="F2" s="68"/>
      <x:c r="G2" s="68"/>
      <x:c r="H2" s="68"/>
      <x:c r="I2" s="68"/>
      <x:c r="J2" s="68"/>
      <x:c r="K2" s="68"/>
      <x:c r="L2" s="68"/>
      <x:c r="M2" s="68"/>
      <x:c r="N2" s="68"/>
      <x:c r="O2" s="68"/>
    </x:row>
    <x:row r="4">
      <x:c r="A4" s="71" t="str">
        <x:v>Configuration</x:v>
      </x:c>
      <x:c r="B4" s="71" t="str">
        <x:v>DAC</x:v>
      </x:c>
      <x:c r="C4" s="71" t="str">
        <x:v>X A</x:v>
      </x:c>
      <x:c r="D4" s="71" t="str">
        <x:v>Y A</x:v>
      </x:c>
      <x:c r="E4" s="71" t="str">
        <x:v>Z A</x:v>
      </x:c>
      <x:c r="F4" s="71" t="str">
        <x:v>Total</x:v>
      </x:c>
      <x:c r="G4" s="71" t="str">
        <x:v>X sync</x:v>
      </x:c>
      <x:c r="H4" s="71" t="str">
        <x:v>Y sync</x:v>
      </x:c>
      <x:c r="I4" s="71" t="str">
        <x:v>Z sync</x:v>
      </x:c>
      <x:c r="J4" s="71" t="str">
        <x:v>Y/Z amp</x:v>
      </x:c>
      <x:c r="K4" s="71" t="str">
        <x:v>Z/X amp</x:v>
      </x:c>
      <x:c r="L4" s="71" t="str">
        <x:v>X energy %</x:v>
      </x:c>
      <x:c r="M4" s="71" t="str">
        <x:v>Y energy %</x:v>
      </x:c>
      <x:c r="N4" s="71" t="str">
        <x:v>Z energy %</x:v>
      </x:c>
      <x:c r="O4" s="71" t="str">
        <x:v>Interpretation</x:v>
      </x:c>
    </x:row>
    <x:row r="5">
      <x:c r="A5" t="str">
        <x:v>Incline A (INC-01)</x:v>
      </x:c>
      <x:c r="B5" t="n">
        <x:v>15</x:v>
      </x:c>
      <x:c r="C5" s="34" t="n">
        <x:v>0.21213</x:v>
      </x:c>
      <x:c r="D5" s="34" t="n">
        <x:v>1.25491</x:v>
      </x:c>
      <x:c r="E5" s="34" t="n">
        <x:v>0.95502</x:v>
      </x:c>
      <x:c r="F5" s="34" t="n">
        <x:v>1.59155</x:v>
      </x:c>
      <x:c r="G5" s="34" t="n">
        <x:v>0.379</x:v>
      </x:c>
      <x:c r="H5" s="34" t="n">
        <x:v>0.847</x:v>
      </x:c>
      <x:c r="I5" s="34" t="n">
        <x:v>0.886</x:v>
      </x:c>
      <x:c r="J5" s="34" t="n">
        <x:v>1.314014366191284</x:v>
      </x:c>
      <x:c r="K5" s="34" t="n">
        <x:v>4.5020506293310705</x:v>
      </x:c>
      <x:c r="L5" s="34" t="n">
        <x:v>1.7773143542967753</x:v>
      </x:c>
      <x:c r="M5" s="34" t="n">
        <x:v>62.19926098093424</x:v>
      </x:c>
      <x:c r="N5" s="34" t="n">
        <x:v>36.02342466476898</x:v>
      </x:c>
      <x:c r="O5" s="26" t="str">
        <x:v>All three wearable-like configurations preserve Y-Z dominance and weak X; Z has the strongest synchronization.</x:v>
      </x:c>
    </x:row>
    <x:row r="6">
      <x:c r="A6" t="str">
        <x:v>Incline B (INC-02)</x:v>
      </x:c>
      <x:c r="B6" t="n">
        <x:v>15</x:v>
      </x:c>
      <x:c r="C6" s="34" t="n">
        <x:v>0.092</x:v>
      </x:c>
      <x:c r="D6" s="34" t="n">
        <x:v>1.857</x:v>
      </x:c>
      <x:c r="E6" s="34" t="n">
        <x:v>1.564</x:v>
      </x:c>
      <x:c r="F6" s="34" t="n">
        <x:v>2.429</x:v>
      </x:c>
      <x:c r="G6" s="34" t="n">
        <x:v>0.11</x:v>
      </x:c>
      <x:c r="H6" s="34" t="n">
        <x:v>0.822</x:v>
      </x:c>
      <x:c r="I6" s="34" t="n">
        <x:v>0.908</x:v>
      </x:c>
      <x:c r="J6" s="34" t="n">
        <x:v>1.1873401534526853</x:v>
      </x:c>
      <x:c r="K6" s="34" t="n">
        <x:v>17</x:v>
      </x:c>
      <x:c r="L6" s="34" t="n">
        <x:v>0.14338450102312225</x:v>
      </x:c>
      <x:c r="M6" s="34" t="n">
        <x:v>58.418494703294535</x:v>
      </x:c>
      <x:c r="N6" s="34" t="n">
        <x:v>41.43812079568234</x:v>
      </x:c>
      <x:c r="O6" s="26" t="str">
        <x:v>All three wearable-like configurations preserve Y-Z dominance and weak X; Z has the strongest synchronization.</x:v>
      </x:c>
    </x:row>
    <x:row r="7">
      <x:c r="A7" t="str">
        <x:v>Current frequency map</x:v>
      </x:c>
      <x:c r="B7" t="n">
        <x:v>15</x:v>
      </x:c>
      <x:c r="C7" s="34" t="n">
        <x:v>0.14019</x:v>
      </x:c>
      <x:c r="D7" s="34" t="n">
        <x:v>1.58098</x:v>
      </x:c>
      <x:c r="E7" s="34" t="n">
        <x:v>1.43423</x:v>
      </x:c>
      <x:c r="F7" s="34" t="n">
        <x:v>2.13993</x:v>
      </x:c>
      <x:c r="G7" s="34" t="n">
        <x:v>0.17</x:v>
      </x:c>
      <x:c r="H7" s="34" t="n">
        <x:v>0.815</x:v>
      </x:c>
      <x:c r="I7" s="34" t="n">
        <x:v>0.905</x:v>
      </x:c>
      <x:c r="J7" s="34" t="n">
        <x:v>1.1023197116222643</x:v>
      </x:c>
      <x:c r="K7" s="34" t="n">
        <x:v>10.230615593123616</x:v>
      </x:c>
      <x:c r="L7" s="34" t="n">
        <x:v>0.42946941040246106</x:v>
      </x:c>
      <x:c r="M7" s="34" t="n">
        <x:v>54.619901984552044</x:v>
      </x:c>
      <x:c r="N7" s="34" t="n">
        <x:v>44.950628605045495</x:v>
      </x:c>
      <x:c r="O7" s="26" t="str">
        <x:v>All three wearable-like configurations preserve Y-Z dominance and weak X; Z has the strongest synchronization.</x:v>
      </x:c>
    </x:row>
  </x:sheetData>
  <x:mergeCells>
    <x:mergeCell ref="A1:O1"/>
    <x:mergeCell ref="A2:O2"/>
  </x:mergeCells>
  <x:pageMargins left="0.7" right="0.7" top="0.75" bottom="0.75" header="0.3" footer="0.3"/>
</x:worksheet>
</file>
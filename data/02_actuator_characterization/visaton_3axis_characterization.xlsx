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635b52cfb7b1441f" /></Relationships>
</file>

<file path=xl/workbook.xml><?xml version="1.0" encoding="utf-8"?>
<x:workbook xmlns:x="http://schemas.openxmlformats.org/spreadsheetml/2006/main">
  <x:sheets>
    <x:sheet xmlns:r="http://schemas.openxmlformats.org/officeDocument/2006/relationships" name="Executive Summary" sheetId="1" r:id="Rce0b3ab8398d4df7"/>
    <x:sheet xmlns:r="http://schemas.openxmlformats.org/officeDocument/2006/relationships" name="Raw DATA" sheetId="2" r:id="R5bca17b3216c4df9"/>
    <x:sheet xmlns:r="http://schemas.openxmlformats.org/officeDocument/2006/relationships" name="Point Summary" sheetId="3" r:id="Rdce3cc5be964472b"/>
    <x:sheet xmlns:r="http://schemas.openxmlformats.org/officeDocument/2006/relationships" name="Frequency Analysis" sheetId="4" r:id="R5e9cb56cc10847d5"/>
    <x:sheet xmlns:r="http://schemas.openxmlformats.org/officeDocument/2006/relationships" name="Axis Map" sheetId="5" r:id="Rf00458201a644ba9"/>
    <x:sheet xmlns:r="http://schemas.openxmlformats.org/officeDocument/2006/relationships" name="Harmonic Diagnostics" sheetId="6" r:id="R5d83a2ac5e5b4cf2"/>
    <x:sheet xmlns:r="http://schemas.openxmlformats.org/officeDocument/2006/relationships" name="Phase &amp; Quality" sheetId="7" r:id="R0e849dcf3458421f"/>
    <x:sheet xmlns:r="http://schemas.openxmlformats.org/officeDocument/2006/relationships" name="Thesis Documentation" sheetId="8" r:id="Rd17c33e5d1774567"/>
    <x:sheet xmlns:r="http://schemas.openxmlformats.org/officeDocument/2006/relationships" name="Dashboard" sheetId="9" r:id="R2883483fa02047a0"/>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00000"/>
    <x:numFmt numFmtId="202" formatCode="0"/>
    <x:numFmt numFmtId="203" formatCode="0.0000"/>
    <x:numFmt numFmtId="204" formatCode="0.000"/>
  </x:numFmts>
  <x:fonts count="7">
    <x:font>
      <x:sz val="11"/>
      <x:name val="Carlito"/>
    </x:font>
    <x:font>
      <x:b/>
      <x:sz val="16"/>
      <x:color rgb="FFFFFFFF"/>
      <x:name val="Carlito"/>
    </x:font>
    <x:font>
      <x:i/>
      <x:sz val="11"/>
      <x:color rgb="FF44546A"/>
      <x:name val="Carlito"/>
    </x:font>
    <x:font>
      <x:b/>
      <x:sz val="11"/>
      <x:color rgb="FFFFFFFF"/>
      <x:name val="Carlito"/>
    </x:font>
    <x:font>
      <x:b/>
      <x:sz val="12"/>
      <x:color rgb="FF1F2937"/>
      <x:name val="Carlito"/>
    </x:font>
    <x:font>
      <x:b/>
      <x:sz val="9"/>
      <x:color rgb="FFFFFFFF"/>
      <x:name val="Carlito"/>
    </x:font>
    <x:font>
      <x:sz val="9"/>
      <x:name val="Carlito"/>
    </x:font>
  </x:fonts>
  <x:fills count="5">
    <x:fill>
      <x:patternFill patternType="none"/>
    </x:fill>
    <x:fill>
      <x:patternFill patternType="gray125"/>
    </x:fill>
    <x:fill>
      <x:patternFill patternType="solid">
        <x:fgColor rgb="FF17365D"/>
      </x:patternFill>
    </x:fill>
    <x:fill>
      <x:patternFill patternType="solid">
        <x:fgColor rgb="FF2F5597"/>
      </x:patternFill>
    </x:fill>
    <x:fill>
      <x:patternFill patternType="solid">
        <x:fgColor rgb="FFD9EAF7"/>
      </x:patternFill>
    </x:fill>
  </x:fills>
  <x:borders count="2">
    <x:border/>
    <x:border/>
  </x:borders>
  <x:cellStyleXfs count="1">
    <x:xf numFmtId="0" fontId="0" fillId="0" borderId="0"/>
  </x:cellStyleXfs>
  <x:cellXfs count="8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x:xf numFmtId="0" fontId="2" fillId="0" borderId="1"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0" fillId="0"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0" xfId="0" applyNumberFormat="1" applyFont="1" applyFill="1" applyBorder="1" applyAlignment="1">
      <x:alignment vertical="center" wrapText="1"/>
    </x:xf>
    <x:xf numFmtId="0" fontId="0" fillId="4"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4" fillId="4" borderId="1" xfId="0" applyNumberFormat="1" applyFont="1" applyFill="1" applyBorder="1" applyAlignment="1">
      <x:alignment vertical="center" wrapText="1"/>
    </x:xf>
    <x:xf numFmtId="200" fontId="3" fillId="3" borderId="0" xfId="0" applyNumberFormat="1" applyFont="1" applyFill="1" applyBorder="1" applyAlignment="1">
      <x:alignment horizontal="center" vertical="center" wrapText="1"/>
    </x:xf>
    <x:xf numFmtId="200" fontId="3" fillId="3" borderId="1" xfId="0" applyNumberFormat="1" applyFont="1" applyFill="1" applyBorder="1" applyAlignment="1">
      <x:alignment horizontal="center" vertical="center" wrapText="1"/>
    </x:xf>
    <x:xf numFmtId="201" fontId="3" fillId="3" borderId="0" xfId="0" applyNumberFormat="1" applyFont="1" applyFill="1" applyBorder="1" applyAlignment="1">
      <x:alignment horizontal="center" vertical="center" wrapText="1"/>
    </x:xf>
    <x:xf numFmtId="201" fontId="3" fillId="3" borderId="1" xfId="0" applyNumberFormat="1" applyFont="1" applyFill="1" applyBorder="1" applyAlignment="1">
      <x:alignment horizontal="center" vertical="center" wrapText="1"/>
    </x:xf>
    <x:xf numFmtId="202" fontId="3" fillId="3" borderId="0" xfId="0" applyNumberFormat="1" applyFont="1" applyFill="1" applyBorder="1" applyAlignment="1">
      <x:alignment horizontal="center" vertical="center" wrapText="1"/>
    </x:xf>
    <x:xf numFmtId="202" fontId="3" fillId="3" borderId="1" xfId="0" applyNumberFormat="1" applyFont="1" applyFill="1" applyBorder="1" applyAlignment="1">
      <x:alignment horizontal="center" vertical="center" wrapText="1"/>
    </x:xf>
    <x:xf numFmtId="0" fontId="5" fillId="3" borderId="0" xfId="0" applyNumberFormat="1" applyFont="1" applyFill="1" applyBorder="1" applyAlignment="1">
      <x:alignment horizontal="center" vertical="center" wrapText="1"/>
    </x:xf>
    <x:xf numFmtId="200" fontId="5" fillId="3" borderId="0" xfId="0" applyNumberFormat="1" applyFont="1" applyFill="1" applyBorder="1" applyAlignment="1">
      <x:alignment horizontal="center" vertical="center" wrapText="1"/>
    </x:xf>
    <x:xf numFmtId="201" fontId="5" fillId="3" borderId="0" xfId="0" applyNumberFormat="1" applyFont="1" applyFill="1" applyBorder="1" applyAlignment="1">
      <x:alignment horizontal="center" vertical="center" wrapText="1"/>
    </x:xf>
    <x:xf numFmtId="202" fontId="5" fillId="3" borderId="0" xfId="0" applyNumberFormat="1" applyFont="1" applyFill="1" applyBorder="1" applyAlignment="1">
      <x:alignment horizontal="center" vertical="center" wrapText="1"/>
    </x:xf>
    <x:xf numFmtId="0" fontId="5" fillId="3" borderId="1" xfId="0" applyNumberFormat="1" applyFont="1" applyFill="1" applyBorder="1" applyAlignment="1">
      <x:alignment horizontal="center" vertical="center" wrapText="1"/>
    </x:xf>
    <x:xf numFmtId="200" fontId="5" fillId="3" borderId="1" xfId="0" applyNumberFormat="1" applyFont="1" applyFill="1" applyBorder="1" applyAlignment="1">
      <x:alignment horizontal="center" vertical="center" wrapText="1"/>
    </x:xf>
    <x:xf numFmtId="201" fontId="5" fillId="3" borderId="1" xfId="0" applyNumberFormat="1" applyFont="1" applyFill="1" applyBorder="1" applyAlignment="1">
      <x:alignment horizontal="center" vertical="center" wrapText="1"/>
    </x:xf>
    <x:xf numFmtId="202" fontId="5" fillId="3" borderId="1" xfId="0" applyNumberFormat="1" applyFont="1" applyFill="1" applyBorder="1" applyAlignment="1">
      <x:alignment horizontal="center" vertical="center" wrapText="1"/>
    </x:xf>
    <x:xf numFmtId="202" fontId="0" fillId="0" borderId="0" xfId="0" applyNumberFormat="1" applyFont="1" applyFill="1" applyBorder="1"/>
    <x:xf numFmtId="202"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202" fontId="6" fillId="0" borderId="0" xfId="0" applyNumberFormat="1" applyFont="1" applyFill="1" applyBorder="1"/>
    <x:xf numFmtId="0" fontId="6" fillId="0" borderId="0" xfId="0" applyNumberFormat="1" applyFont="1" applyFill="1" applyBorder="1"/>
    <x:xf numFmtId="201" fontId="6" fillId="0" borderId="0" xfId="0" applyNumberFormat="1" applyFont="1" applyFill="1" applyBorder="1"/>
    <x:xf numFmtId="200" fontId="6" fillId="0" borderId="0" xfId="0" applyNumberFormat="1" applyFont="1" applyFill="1" applyBorder="1"/>
    <x:xf numFmtId="203" fontId="6" fillId="0" borderId="0" xfId="0" applyNumberFormat="1" applyFont="1" applyFill="1" applyBorder="1"/>
    <x:xf numFmtId="204" fontId="6" fillId="0" borderId="0" xfId="0" applyNumberFormat="1" applyFont="1" applyFill="1" applyBorder="1"/>
    <x:xf numFmtId="202" fontId="6" fillId="0" borderId="1" xfId="0" applyNumberFormat="1" applyFont="1" applyFill="1" applyBorder="1"/>
    <x:xf numFmtId="0" fontId="6" fillId="0" borderId="1" xfId="0" applyNumberFormat="1" applyFont="1" applyFill="1" applyBorder="1"/>
    <x:xf numFmtId="201" fontId="6" fillId="0" borderId="1" xfId="0" applyNumberFormat="1" applyFont="1" applyFill="1" applyBorder="1"/>
    <x:xf numFmtId="200" fontId="6" fillId="0" borderId="1" xfId="0" applyNumberFormat="1" applyFont="1" applyFill="1" applyBorder="1"/>
    <x:xf numFmtId="203" fontId="6" fillId="0" borderId="1" xfId="0" applyNumberFormat="1" applyFont="1" applyFill="1" applyBorder="1"/>
    <x:xf numFmtId="204" fontId="6" fillId="0" borderId="1" xfId="0" applyNumberFormat="1" applyFont="1" applyFill="1" applyBorder="1"/>
    <x:xf numFmtId="200" fontId="1" fillId="2" borderId="0" xfId="0" applyNumberFormat="1" applyFont="1" applyFill="1" applyBorder="1" applyAlignment="1">
      <x:alignment vertical="center"/>
    </x:xf>
    <x:xf numFmtId="200" fontId="1" fillId="2" borderId="1" xfId="0" applyNumberFormat="1" applyFont="1" applyFill="1" applyBorder="1" applyAlignment="1">
      <x:alignment vertical="center"/>
    </x:xf>
    <x:xf numFmtId="202" fontId="1" fillId="2" borderId="0" xfId="0" applyNumberFormat="1" applyFont="1" applyFill="1" applyBorder="1" applyAlignment="1">
      <x:alignment vertical="center"/>
    </x:xf>
    <x:xf numFmtId="202" fontId="1" fillId="2" borderId="1" xfId="0" applyNumberFormat="1" applyFont="1" applyFill="1" applyBorder="1" applyAlignment="1">
      <x:alignment vertical="center"/>
    </x:xf>
    <x:xf numFmtId="204" fontId="1" fillId="2" borderId="0" xfId="0" applyNumberFormat="1" applyFont="1" applyFill="1" applyBorder="1" applyAlignment="1">
      <x:alignment vertical="center"/>
    </x:xf>
    <x:xf numFmtId="204" fontId="1" fillId="2" borderId="1"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2f3c1b5187c43c8" /><Relationship Type="http://schemas.openxmlformats.org/officeDocument/2006/relationships/theme" Target="/xl/theme/theme1.xml" Id="Re46e8e2ccf9f4b0d" /><Relationship Type="http://schemas.openxmlformats.org/officeDocument/2006/relationships/sharedStrings" Target="/xl/sharedStrings.xml" Id="R47f76f6fee1349a2" /><Relationship Type="http://schemas.openxmlformats.org/officeDocument/2006/relationships/worksheet" Target="/xl/worksheets/sheet1.xml" Id="Rce0b3ab8398d4df7" /><Relationship Type="http://schemas.openxmlformats.org/officeDocument/2006/relationships/worksheet" Target="/xl/worksheets/sheet2.xml" Id="R5bca17b3216c4df9" /><Relationship Type="http://schemas.openxmlformats.org/officeDocument/2006/relationships/worksheet" Target="/xl/worksheets/sheet3.xml" Id="Rdce3cc5be964472b" /><Relationship Type="http://schemas.openxmlformats.org/officeDocument/2006/relationships/worksheet" Target="/xl/worksheets/sheet4.xml" Id="R5e9cb56cc10847d5" /><Relationship Type="http://schemas.openxmlformats.org/officeDocument/2006/relationships/worksheet" Target="/xl/worksheets/sheet5.xml" Id="Rf00458201a644ba9" /><Relationship Type="http://schemas.openxmlformats.org/officeDocument/2006/relationships/worksheet" Target="/xl/worksheets/sheet6.xml" Id="R5d83a2ac5e5b4cf2" /><Relationship Type="http://schemas.openxmlformats.org/officeDocument/2006/relationships/worksheet" Target="/xl/worksheets/sheet7.xml" Id="R0e849dcf3458421f" /><Relationship Type="http://schemas.openxmlformats.org/officeDocument/2006/relationships/worksheet" Target="/xl/worksheets/sheet8.xml" Id="Rd17c33e5d1774567" /><Relationship Type="http://schemas.openxmlformats.org/officeDocument/2006/relationships/worksheet" Target="/xl/worksheets/sheet9.xml" Id="R2883483fa02047a0" /></Relationships>
</file>

<file path=xl/drawings/_rels/drawing1.xml.rels>&#65279;<?xml version="1.0" encoding="utf-8"?><Relationships xmlns="http://schemas.openxmlformats.org/package/2006/relationships"><Relationship Type="http://schemas.openxmlformats.org/officeDocument/2006/relationships/chart" Target="/xl/drawings/charts/chart1.xml" Id="Reb91fc058dee4e4e" /><Relationship Type="http://schemas.openxmlformats.org/officeDocument/2006/relationships/chart" Target="/xl/drawings/charts/chart2.xml" Id="Red1d2efcafa94a69" /><Relationship Type="http://schemas.openxmlformats.org/officeDocument/2006/relationships/chart" Target="/xl/drawings/charts/chart3.xml" Id="R77fa6d7e9422473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X/Y/Z response at DAC 15</a:t>
            </a:r>
          </a:p>
        </c:rich>
      </c:tx>
    </c:title>
    <c:plotArea>
      <c:lineChart>
        <c:grouping val="standard"/>
        <c:ser>
          <c:idx val="0"/>
          <c:order val="0"/>
          <c:tx>
            <c:v>X @ DAC15</c:v>
          </c:tx>
          <c:marker>
            <c:symbol val="none"/>
          </c:marker>
          <c:cat>
            <c:strRef>
              <c:f>'Dashboard'!$A$11:$A$21</c:f>
              <c:strCache>
                <c:ptCount val="0"/>
              </c:strCache>
            </c:strRef>
          </c:cat>
          <c:val>
            <c:numRef>
              <c:f>'Dashboard'!$B$11:$B$21</c:f>
              <c:numCache>
                <c:formatCode>General</c:formatCode>
                <c:ptCount val="0"/>
              </c:numCache>
            </c:numRef>
          </c:val>
        </c:ser>
        <c:ser>
          <c:idx val="1"/>
          <c:order val="1"/>
          <c:tx>
            <c:v>Y @ DAC15</c:v>
          </c:tx>
          <c:marker>
            <c:symbol val="none"/>
          </c:marker>
          <c:cat>
            <c:strRef>
              <c:f>'Dashboard'!$A$11:$A$21</c:f>
              <c:strCache>
                <c:ptCount val="0"/>
              </c:strCache>
            </c:strRef>
          </c:cat>
          <c:val>
            <c:numRef>
              <c:f>'Dashboard'!$C$11:$C$21</c:f>
              <c:numCache>
                <c:formatCode>General</c:formatCode>
                <c:ptCount val="0"/>
              </c:numCache>
            </c:numRef>
          </c:val>
        </c:ser>
        <c:ser>
          <c:idx val="2"/>
          <c:order val="2"/>
          <c:tx>
            <c:v>Z @ DAC15</c:v>
          </c:tx>
          <c:marker>
            <c:symbol val="none"/>
          </c:marker>
          <c:cat>
            <c:strRef>
              <c:f>'Dashboard'!$A$11:$A$21</c:f>
              <c:strCache>
                <c:ptCount val="0"/>
              </c:strCache>
            </c:strRef>
          </c:cat>
          <c:val>
            <c:numRef>
              <c:f>'Dashboard'!$D$11:$D$21</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Cross-frequency response at DAC 15</a:t>
            </a:r>
          </a:p>
        </c:rich>
      </c:tx>
    </c:title>
    <c:plotArea>
      <c:lineChart>
        <c:grouping val="standard"/>
        <c:ser>
          <c:idx val="0"/>
          <c:order val="0"/>
          <c:tx>
            <c:v>X @ DAC15</c:v>
          </c:tx>
          <c:marker>
            <c:symbol val="none"/>
          </c:marker>
          <c:cat>
            <c:strRef>
              <c:f>'Dashboard'!$A$11:$A$21</c:f>
              <c:strCache>
                <c:ptCount val="0"/>
              </c:strCache>
            </c:strRef>
          </c:cat>
          <c:val>
            <c:numRef>
              <c:f>'Dashboard'!$B$11:$B$21</c:f>
              <c:numCache>
                <c:formatCode>General</c:formatCode>
                <c:ptCount val="0"/>
              </c:numCache>
            </c:numRef>
          </c:val>
        </c:ser>
        <c:ser>
          <c:idx val="1"/>
          <c:order val="1"/>
          <c:tx>
            <c:v>Y @ DAC15</c:v>
          </c:tx>
          <c:marker>
            <c:symbol val="none"/>
          </c:marker>
          <c:cat>
            <c:strRef>
              <c:f>'Dashboard'!$A$11:$A$21</c:f>
              <c:strCache>
                <c:ptCount val="0"/>
              </c:strCache>
            </c:strRef>
          </c:cat>
          <c:val>
            <c:numRef>
              <c:f>'Dashboard'!$C$11:$C$21</c:f>
              <c:numCache>
                <c:formatCode>General</c:formatCode>
                <c:ptCount val="0"/>
              </c:numCache>
            </c:numRef>
          </c:val>
        </c:ser>
        <c:ser>
          <c:idx val="2"/>
          <c:order val="2"/>
          <c:tx>
            <c:v>Z @ DAC15</c:v>
          </c:tx>
          <c:marker>
            <c:symbol val="none"/>
          </c:marker>
          <c:cat>
            <c:strRef>
              <c:f>'Dashboard'!$A$11:$A$21</c:f>
              <c:strCache>
                <c:ptCount val="0"/>
              </c:strCache>
            </c:strRef>
          </c:cat>
          <c:val>
            <c:numRef>
              <c:f>'Dashboard'!$D$11:$D$21</c:f>
              <c:numCache>
                <c:formatCode>General</c:formatCode>
                <c:ptCount val="0"/>
              </c:numCache>
            </c:numRef>
          </c:val>
        </c:ser>
        <c:ser>
          <c:idx val="3"/>
          <c:order val="3"/>
          <c:tx>
            <c:v>Total @ DAC15</c:v>
          </c:tx>
          <c:marker>
            <c:symbol val="none"/>
          </c:marker>
          <c:cat>
            <c:strRef>
              <c:f>'Dashboard'!$A$11:$A$21</c:f>
              <c:strCache>
                <c:ptCount val="0"/>
              </c:strCache>
            </c:strRef>
          </c:cat>
          <c:val>
            <c:numRef>
              <c:f>'Dashboard'!$E$11:$E$21</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Total/DAC CV by frequency</a:t>
            </a:r>
          </a:p>
        </c:rich>
      </c:tx>
    </c:title>
    <c:plotArea>
      <c:barChart>
        <c:barDir val="col"/>
        <c:varyColors val="0"/>
        <c:ser>
          <c:idx val="0"/>
          <c:order val="0"/>
          <c:tx>
            <c:v>Total/DAC CV %</c:v>
          </c:tx>
          <c:cat>
            <c:strRef>
              <c:f>'Dashboard'!$G$11:$G$21</c:f>
              <c:strCache>
                <c:ptCount val="0"/>
              </c:strCache>
            </c:strRef>
          </c:cat>
          <c:val>
            <c:numRef>
              <c:f>'Dashboard'!$H$11:$H$21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23</xdr:row>
      <xdr:rowOff>0</xdr:rowOff>
    </xdr:from>
    <xdr:to>
      <xdr:col>7</xdr:col>
      <xdr:colOff>0</xdr:colOff>
      <xdr:row>41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b91fc058dee4e4e"/>
        </a:graphicData>
      </a:graphic>
    </xdr:graphicFrame>
    <xdr:clientData/>
  </xdr:twoCellAnchor>
  <xdr:twoCellAnchor>
    <xdr:from>
      <xdr:col>7</xdr:col>
      <xdr:colOff>0</xdr:colOff>
      <xdr:row>23</xdr:row>
      <xdr:rowOff>0</xdr:rowOff>
    </xdr:from>
    <xdr:to>
      <xdr:col>14</xdr:col>
      <xdr:colOff>0</xdr:colOff>
      <xdr:row>41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d1d2efcafa94a69"/>
        </a:graphicData>
      </a:graphic>
    </xdr:graphicFrame>
    <xdr:clientData/>
  </xdr:twoCellAnchor>
  <xdr:twoCellAnchor>
    <xdr:from>
      <xdr:col>0</xdr:col>
      <xdr:colOff>0</xdr:colOff>
      <xdr:row>42</xdr:row>
      <xdr:rowOff>0</xdr:rowOff>
    </xdr:from>
    <xdr:to>
      <xdr:col>7</xdr:col>
      <xdr:colOff>0</xdr:colOff>
      <xdr:row>59</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7fa6d7e94224732"/>
        </a:graphicData>
      </a:graphic>
    </xdr:graphicFrame>
    <xdr:clientData/>
  </xdr:twoCellAnchor>
</xdr:wsDr>
</file>

<file path=xl/tables/table1.xml><?xml version="1.0" encoding="utf-8"?>
<x:table xmlns:x="http://schemas.openxmlformats.org/spreadsheetml/2006/main" id="1" name="RawDataTable" displayName="RawDataTable" ref="A1:AT67" headerRowCount="1" totalsRowCount="0" totalsRowShown="0">
  <x:tableColumns count="46">
    <x:tableColumn id="1" name="Mode"/>
    <x:tableColumn id="2" name="Point"/>
    <x:tableColumn id="3" name="Repeat"/>
    <x:tableColumn id="4" name="CmdFreq_Hz"/>
    <x:tableColumn id="5" name="DAC"/>
    <x:tableColumn id="6" name="FFT_X_Dom_Hz"/>
    <x:tableColumn id="7" name="FFT_X_Dom_A"/>
    <x:tableColumn id="8" name="FFT_X_Dom_SNR"/>
    <x:tableColumn id="9" name="FFT_Y_Dom_Hz"/>
    <x:tableColumn id="10" name="FFT_Y_Dom_A"/>
    <x:tableColumn id="11" name="FFT_Y_Dom_SNR"/>
    <x:tableColumn id="12" name="FFT_Z_Dom_Hz"/>
    <x:tableColumn id="13" name="FFT_Z_Dom_A"/>
    <x:tableColumn id="14" name="FFT_Z_Dom_SNR"/>
    <x:tableColumn id="15" name="FFT_X_Local_Hz"/>
    <x:tableColumn id="16" name="FFT_X_Local_A"/>
    <x:tableColumn id="17" name="FFT_Y_Local_Hz"/>
    <x:tableColumn id="18" name="FFT_Y_Local_A"/>
    <x:tableColumn id="19" name="FFT_Z_Local_Hz"/>
    <x:tableColumn id="20" name="FFT_Z_Local_A"/>
    <x:tableColumn id="21" name="FFT_Vector_Local_Hz"/>
    <x:tableColumn id="22" name="FFT_Vector_FreqError_Hz"/>
    <x:tableColumn id="23" name="FFT_Vector_X_A"/>
    <x:tableColumn id="24" name="FFT_Vector_Y_A"/>
    <x:tableColumn id="25" name="FFT_Vector_Z_A"/>
    <x:tableColumn id="26" name="FFT_Vector_Total_A"/>
    <x:tableColumn id="27" name="FFT_Vector_SNR"/>
    <x:tableColumn id="28" name="FFT_Vector_DomAxis"/>
    <x:tableColumn id="29" name="Quad_X_A"/>
    <x:tableColumn id="30" name="Quad_X_Phase_deg"/>
    <x:tableColumn id="31" name="Quad_X_SyncRatio"/>
    <x:tableColumn id="32" name="Quad_X_CV_pct"/>
    <x:tableColumn id="33" name="Quad_Y_A"/>
    <x:tableColumn id="34" name="Quad_Y_Phase_deg"/>
    <x:tableColumn id="35" name="Quad_Y_SyncRatio"/>
    <x:tableColumn id="36" name="Quad_Y_CV_pct"/>
    <x:tableColumn id="37" name="Quad_Z_A"/>
    <x:tableColumn id="38" name="Quad_Z_Phase_deg"/>
    <x:tableColumn id="39" name="Quad_Z_SyncRatio"/>
    <x:tableColumn id="40" name="Quad_Z_CV_pct"/>
    <x:tableColumn id="41" name="Quad_Total_A"/>
    <x:tableColumn id="42" name="Quad_Total_CV_pct"/>
    <x:tableColumn id="43" name="X_Fraction"/>
    <x:tableColumn id="44" name="Y_Fraction"/>
    <x:tableColumn id="45" name="Z_Fraction"/>
    <x:tableColumn id="46" name="Valid"/>
  </x:tableColumns>
  <x:tableStyleInfo name="TableStyleMedium2" showFirstColumn="0" showLastColumn="0" showRowStripes="1" showColumnStripes="0"/>
</x:table>
</file>

<file path=xl/tables/table2.xml><?xml version="1.0" encoding="utf-8"?>
<x:table xmlns:x="http://schemas.openxmlformats.org/spreadsheetml/2006/main" id="2" name="PointSummaryTable" displayName="PointSummaryTable" ref="A1:AB67" headerRowCount="1" totalsRowCount="0" totalsRowShown="0">
  <x:tableColumns count="28">
    <x:tableColumn id="1" name="Mode"/>
    <x:tableColumn id="2" name="Point"/>
    <x:tableColumn id="3" name="CmdFreq_Hz"/>
    <x:tableColumn id="4" name="DAC"/>
    <x:tableColumn id="5" name="ValidRepeats"/>
    <x:tableColumn id="6" name="Mean_VectorLocalFreq_Hz"/>
    <x:tableColumn id="7" name="SD_VectorLocalFreq_Hz"/>
    <x:tableColumn id="8" name="Mean_X_LocalFreq_Hz"/>
    <x:tableColumn id="9" name="Mean_Y_LocalFreq_Hz"/>
    <x:tableColumn id="10" name="Mean_Z_LocalFreq_Hz"/>
    <x:tableColumn id="11" name="Mean_QuadX_A"/>
    <x:tableColumn id="12" name="CV_X_pct"/>
    <x:tableColumn id="13" name="Mean_QuadY_A"/>
    <x:tableColumn id="14" name="CV_Y_pct"/>
    <x:tableColumn id="15" name="Mean_QuadZ_A"/>
    <x:tableColumn id="16" name="CV_Z_pct"/>
    <x:tableColumn id="17" name="Mean_QuadTotal_A"/>
    <x:tableColumn id="18" name="CV_Total_pct"/>
    <x:tableColumn id="19" name="Mean_X_Fraction"/>
    <x:tableColumn id="20" name="Mean_Y_Fraction"/>
    <x:tableColumn id="21" name="Mean_Z_Fraction"/>
    <x:tableColumn id="22" name="Mean_Y_over_X"/>
    <x:tableColumn id="23" name="Mean_Z_over_X"/>
    <x:tableColumn id="24" name="Mean_X_per_DAC"/>
    <x:tableColumn id="25" name="Mean_Y_per_DAC"/>
    <x:tableColumn id="26" name="Mean_Z_per_DAC"/>
    <x:tableColumn id="27" name="Mean_Total_per_DAC"/>
    <x:tableColumn id="28" name="Abs_VectorFreqError_Hz"/>
  </x:tableColumns>
  <x:tableStyleInfo name="TableStyleMedium2" showFirstColumn="0" showLastColumn="0" showRowStripes="1" showColumnStripes="0"/>
</x:table>
</file>

<file path=xl/tables/table3.xml><?xml version="1.0" encoding="utf-8"?>
<x:table xmlns:x="http://schemas.openxmlformats.org/spreadsheetml/2006/main" id="3" name="FrequencyAnalysisTable" displayName="FrequencyAnalysisTable" ref="A1:W12" headerRowCount="1" totalsRowCount="0" totalsRowShown="0">
  <x:tableColumns count="23">
    <x:tableColumn id="1" name="Frequency_Hz"/>
    <x:tableColumn id="2" name="Dominant @ DAC10"/>
    <x:tableColumn id="3" name="Dominant @ DAC15"/>
    <x:tableColumn id="4" name="Directional regime"/>
    <x:tableColumn id="5" name="X @ DAC10"/>
    <x:tableColumn id="6" name="Y @ DAC10"/>
    <x:tableColumn id="7" name="Z @ DAC10"/>
    <x:tableColumn id="8" name="Total @ DAC10"/>
    <x:tableColumn id="9" name="X @ DAC15"/>
    <x:tableColumn id="10" name="Y @ DAC15"/>
    <x:tableColumn id="11" name="Z @ DAC15"/>
    <x:tableColumn id="12" name="Total @ DAC15"/>
    <x:tableColumn id="13" name="Total ratio 15/10"/>
    <x:tableColumn id="14" name="Mean Total/DAC"/>
    <x:tableColumn id="15" name="CV Total/DAC %"/>
    <x:tableColumn id="16" name="Slope Total vs DAC"/>
    <x:tableColumn id="17" name="Intercept"/>
    <x:tableColumn id="18" name="R² Total vs DAC"/>
    <x:tableColumn id="19" name="Max |Freq error| Hz"/>
    <x:tableColumn id="20" name="Avg within-record Total CV %"/>
    <x:tableColumn id="21" name="Dominant phase @ DAC15 deg"/>
    <x:tableColumn id="22" name="Dominant sync @ DAC15"/>
    <x:tableColumn id="23" name="Interpretation class"/>
  </x:tableColumns>
  <x:tableStyleInfo name="TableStyleMedium2" showFirstColumn="0" showLastColumn="0" showRowStripes="1" showColumnStripes="0"/>
</x:table>
</file>

<file path=xl/tables/table4.xml><?xml version="1.0" encoding="utf-8"?>
<x:table xmlns:x="http://schemas.openxmlformats.org/spreadsheetml/2006/main" id="4" name="AxisMapTable" displayName="AxisMapTable" ref="A3:J69" headerRowCount="1" totalsRowCount="0" totalsRowShown="0">
  <x:tableColumns count="10">
    <x:tableColumn id="1" name="Frequency_Hz"/>
    <x:tableColumn id="2" name="DAC"/>
    <x:tableColumn id="3" name="X_A"/>
    <x:tableColumn id="4" name="Y_A"/>
    <x:tableColumn id="5" name="Z_A"/>
    <x:tableColumn id="6" name="Total_A"/>
    <x:tableColumn id="7" name="Dominant axis"/>
    <x:tableColumn id="8" name="X fraction"/>
    <x:tableColumn id="9" name="Y fraction"/>
    <x:tableColumn id="10" name="Z fraction"/>
  </x:tableColumns>
  <x:tableStyleInfo name="TableStyleMedium2" showFirstColumn="0" showLastColumn="0" showRowStripes="1" showColumnStripes="0"/>
</x:table>
</file>

<file path=xl/tables/table5.xml><?xml version="1.0" encoding="utf-8"?>
<x:table xmlns:x="http://schemas.openxmlformats.org/spreadsheetml/2006/main" id="5" name="HarmonicTable" displayName="HarmonicTable" ref="A3:J15" headerRowCount="1" totalsRowCount="0" totalsRowShown="0">
  <x:tableColumns count="10">
    <x:tableColumn id="1" name="Command_Hz"/>
    <x:tableColumn id="2" name="DAC"/>
    <x:tableColumn id="3" name="Axis"/>
    <x:tableColumn id="4" name="Candidate harmonic"/>
    <x:tableColumn id="5" name="Blind dominant Hz"/>
    <x:tableColumn id="6" name="Expected harmonic Hz"/>
    <x:tableColumn id="7" name="Blind dom amplitude"/>
    <x:tableColumn id="8" name="Local fundamental Hz"/>
    <x:tableColumn id="9" name="Local fundamental amplitude"/>
    <x:tableColumn id="10" name="Blind/Local amplitude ratio"/>
  </x:tableColumns>
  <x:tableStyleInfo name="TableStyleMedium2" showFirstColumn="0" showLastColumn="0" showRowStripes="1" showColumnStripes="0"/>
</x:table>
</file>

<file path=xl/tables/table6.xml><?xml version="1.0" encoding="utf-8"?>
<x:table xmlns:x="http://schemas.openxmlformats.org/spreadsheetml/2006/main" id="6" name="PhaseQualityTable" displayName="PhaseQualityTable" ref="A3:N14" headerRowCount="1" totalsRowCount="0" totalsRowShown="0">
  <x:tableColumns count="14">
    <x:tableColumn id="1" name="Freq_Hz"/>
    <x:tableColumn id="2" name="X_A"/>
    <x:tableColumn id="3" name="X phase"/>
    <x:tableColumn id="4" name="X sync"/>
    <x:tableColumn id="5" name="Y_A"/>
    <x:tableColumn id="6" name="Y phase"/>
    <x:tableColumn id="7" name="Y sync"/>
    <x:tableColumn id="8" name="Z_A"/>
    <x:tableColumn id="9" name="Z phase"/>
    <x:tableColumn id="10" name="Z sync"/>
    <x:tableColumn id="11" name="Total_A"/>
    <x:tableColumn id="12" name="Total CV %"/>
    <x:tableColumn id="13" name="Vector freq error Hz"/>
    <x:tableColumn id="14" name="Dominant axi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0ab78afe53442a0" /></Relationships>
</file>

<file path=xl/worksheets/_rels/sheet3.xml.rels>&#65279;<?xml version="1.0" encoding="utf-8"?><Relationships xmlns="http://schemas.openxmlformats.org/package/2006/relationships"><Relationship Type="http://schemas.openxmlformats.org/officeDocument/2006/relationships/table" Target="/xl/tables/table2.xml" Id="R6d5344f64d814113" /></Relationships>
</file>

<file path=xl/worksheets/_rels/sheet4.xml.rels>&#65279;<?xml version="1.0" encoding="utf-8"?><Relationships xmlns="http://schemas.openxmlformats.org/package/2006/relationships"><Relationship Type="http://schemas.openxmlformats.org/officeDocument/2006/relationships/table" Target="/xl/tables/table3.xml" Id="R65e18b94b84f498f" /></Relationships>
</file>

<file path=xl/worksheets/_rels/sheet5.xml.rels>&#65279;<?xml version="1.0" encoding="utf-8"?><Relationships xmlns="http://schemas.openxmlformats.org/package/2006/relationships"><Relationship Type="http://schemas.openxmlformats.org/officeDocument/2006/relationships/table" Target="/xl/tables/table4.xml" Id="Re2f8b608a2d447d7" /></Relationships>
</file>

<file path=xl/worksheets/_rels/sheet6.xml.rels>&#65279;<?xml version="1.0" encoding="utf-8"?><Relationships xmlns="http://schemas.openxmlformats.org/package/2006/relationships"><Relationship Type="http://schemas.openxmlformats.org/officeDocument/2006/relationships/table" Target="/xl/tables/table5.xml" Id="R8c9b213b70e84305" /></Relationships>
</file>

<file path=xl/worksheets/_rels/sheet7.xml.rels>&#65279;<?xml version="1.0" encoding="utf-8"?><Relationships xmlns="http://schemas.openxmlformats.org/package/2006/relationships"><Relationship Type="http://schemas.openxmlformats.org/officeDocument/2006/relationships/table" Target="/xl/tables/table6.xml" Id="R9fbe0e33e962464b" /></Relationships>
</file>

<file path=xl/worksheets/_rels/sheet9.xml.rels>&#65279;<?xml version="1.0" encoding="utf-8"?><Relationships xmlns="http://schemas.openxmlformats.org/package/2006/relationships"><Relationship Type="http://schemas.openxmlformats.org/officeDocument/2006/relationships/drawing" Target="/xl/drawings/drawing1.xml" Id="Rec33e81c8a454089" /></Relationships>
</file>

<file path=xl/worksheets/sheet1.xml><?xml version="1.0" encoding="utf-8"?>
<x:worksheet xmlns:x="http://schemas.openxmlformats.org/spreadsheetml/2006/main">
  <x:sheetFormatPr defaultRowHeight="15"/>
  <x:cols>
    <x:col min="1" max="1" width="26"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28" customHeight="1">
      <x:c r="A1" s="4" t="str">
        <x:v>Visaton EX 45 S — 3-Axis Standalone Characterization</x:v>
      </x:c>
      <x:c r="B1" s="4"/>
      <x:c r="C1" s="4"/>
      <x:c r="D1" s="4"/>
      <x:c r="E1" s="4"/>
      <x:c r="F1" s="4"/>
      <x:c r="G1" s="4"/>
      <x:c r="H1" s="4"/>
    </x:row>
    <x:row r="2" ht="34" customHeight="1">
      <x:c r="A2" s="9" t="str">
        <x:v>Thesis-ready analysis of the user-provided fixed-frequency DAC characterization log (100–350 Hz, DAC 10–15, one independent record per DAC point).</x:v>
      </x:c>
      <x:c r="B2" s="9"/>
      <x:c r="C2" s="9"/>
      <x:c r="D2" s="9"/>
      <x:c r="E2" s="9"/>
      <x:c r="F2" s="9"/>
      <x:c r="G2" s="9"/>
      <x:c r="H2" s="9"/>
    </x:row>
    <x:row r="4">
      <x:c r="A4" s="16" t="str">
        <x:v>Dataset KPI</x:v>
      </x:c>
      <x:c r="B4" s="16" t="str">
        <x:v>Value</x:v>
      </x:c>
      <x:c r="D4" s="25" t="str">
        <x:v>High-confidence conclusions supported by this dataset</x:v>
      </x:c>
      <x:c r="E4" s="25"/>
      <x:c r="F4" s="25"/>
      <x:c r="G4" s="25"/>
      <x:c r="H4" s="25"/>
    </x:row>
    <x:row r="5" ht="38" customHeight="1">
      <x:c r="A5" s="22" t="str">
        <x:v>Source file</x:v>
      </x:c>
      <x:c r="B5" s="22" t="str">
        <x:v>Pasted text(20260811-184604).txt</x:v>
      </x:c>
      <x:c r="D5" s="30" t="str">
        <x:v>1. Frequency generation and vector-frequency identification are excellent: all accepted points remain extremely close to the commanded frequency.</x:v>
      </x:c>
      <x:c r="E5" s="30"/>
      <x:c r="F5" s="30"/>
      <x:c r="G5" s="30"/>
      <x:c r="H5" s="30"/>
    </x:row>
    <x:row r="6" ht="38" customHeight="1">
      <x:c r="A6" s="22" t="str">
        <x:v>Frequencies tested</x:v>
      </x:c>
      <x:c r="B6" s="22" t="n">
        <x:v>11</x:v>
      </x:c>
      <x:c r="D6" s="30" t="str">
        <x:v>2. The installed actuator response is genuinely frequency dependent in direction; no single fixed X/Y/Z direction describes the complete 100–350 Hz range.</x:v>
      </x:c>
      <x:c r="E6" s="30"/>
      <x:c r="F6" s="30"/>
      <x:c r="G6" s="30"/>
      <x:c r="H6" s="30"/>
    </x:row>
    <x:row r="7" ht="38" customHeight="1">
      <x:c r="A7" s="22" t="str">
        <x:v>DAC levels per frequency</x:v>
      </x:c>
      <x:c r="B7" s="22" t="n">
        <x:v>6</x:v>
      </x:c>
      <x:c r="D7" s="30" t="str">
        <x:v>3. 100 Hz changes from Z-dominant at DAC 10–11 to X-dominant from DAC 12 upward, accompanied by a strong ≈200 Hz second harmonic.</x:v>
      </x:c>
      <x:c r="E7" s="30"/>
      <x:c r="F7" s="30"/>
      <x:c r="G7" s="30"/>
      <x:c r="H7" s="30"/>
    </x:row>
    <x:row r="8" ht="38" customHeight="1">
      <x:c r="A8" s="22" t="str">
        <x:v>Total measurement points</x:v>
      </x:c>
      <x:c r="B8" s="22" t="n">
        <x:v>66</x:v>
      </x:c>
      <x:c r="D8" s="30" t="str">
        <x:v>4. 125 Hz is consistently Y-dominant over DAC 10–15; a strong ≈375 Hz third-harmonic component appears on Z at higher DAC.</x:v>
      </x:c>
      <x:c r="E8" s="30"/>
      <x:c r="F8" s="30"/>
      <x:c r="G8" s="30"/>
      <x:c r="H8" s="30"/>
    </x:row>
    <x:row r="9" ht="38" customHeight="1">
      <x:c r="A9" s="22" t="str">
        <x:v>Independent repeats per DAC</x:v>
      </x:c>
      <x:c r="B9" s="22" t="n">
        <x:v>1</x:v>
      </x:c>
      <x:c r="D9" s="30" t="str">
        <x:v>5. 150 Hz transitions from Z-dominant to Y-dominant near DAC 14 and shows a large amplitude jump around DAC 12→13, indicating amplitude-dependent/nonlinear behavior.</x:v>
      </x:c>
      <x:c r="E9" s="30"/>
      <x:c r="F9" s="30"/>
      <x:c r="G9" s="30"/>
      <x:c r="H9" s="30"/>
    </x:row>
    <x:row r="10" ht="38" customHeight="1">
      <x:c r="A10" s="22" t="str">
        <x:v>Tool state</x:v>
      </x:c>
      <x:c r="B10" s="22" t="str">
        <x:v>OFF</x:v>
      </x:c>
      <x:c r="D10" s="30" t="str">
        <x:v>6. 175–300 Hz is predominantly Z-dominant under this mounting. 250, 275 and 300 Hz are especially close to proportional DAC-to-acceleration behavior.</x:v>
      </x:c>
      <x:c r="E10" s="30"/>
      <x:c r="F10" s="30"/>
      <x:c r="G10" s="30"/>
      <x:c r="H10" s="30"/>
    </x:row>
    <x:row r="11" ht="38" customHeight="1">
      <x:c r="D11" s="30" t="str">
        <x:v>7. 325 Hz is consistently Y-dominant and approximately proportional with DAC; 350 Hz returns to Z dominance but becomes increasingly Y-rich with drive.</x:v>
      </x:c>
      <x:c r="E11" s="30"/>
      <x:c r="F11" s="30"/>
      <x:c r="G11" s="30"/>
      <x:c r="H11" s="30"/>
    </x:row>
    <x:row r="12" ht="38" customHeight="1">
      <x:c r="A12" s="25" t="str">
        <x:v>Critical limitation</x:v>
      </x:c>
      <x:c r="B12" s="25"/>
      <x:c r="C12" s="25"/>
      <x:c r="D12" s="35" t="str">
        <x:v>8. The correct model is a frequency- and drive-dependent 3-D transfer response H(f,U), not a simple rule such as 'above 250 Hz = X'.</x:v>
      </x:c>
      <x:c r="E12" s="35"/>
      <x:c r="F12" s="35"/>
      <x:c r="G12" s="35"/>
      <x:c r="H12" s="35"/>
    </x:row>
    <x:row r="13">
      <x:c r="A13" s="30" t="str">
        <x:v>This run used n = 1 independent repeat per DAC point. Therefore, zero CV values in the program SUMMARY lines do not demonstrate experimental repeatability. The workbook retains within-record quadrature CV and sync-ratio metrics, but the final thesis dataset should repeat selected conditions (recommended n ≥ 5) before freezing absolute gains, phase values or transition thresholds.</x:v>
      </x:c>
      <x:c r="B13" s="30"/>
      <x:c r="C13" s="30"/>
      <x:c r="D13" s="30"/>
      <x:c r="E13" s="30"/>
      <x:c r="F13" s="30"/>
      <x:c r="G13" s="30"/>
      <x:c r="H13" s="30"/>
    </x:row>
    <x:row r="14">
      <x:c r="A14" s="30"/>
      <x:c r="B14" s="30"/>
      <x:c r="C14" s="30"/>
      <x:c r="D14" s="30"/>
      <x:c r="E14" s="30"/>
      <x:c r="F14" s="30"/>
      <x:c r="G14" s="30"/>
      <x:c r="H14" s="30"/>
    </x:row>
    <x:row r="15">
      <x:c r="A15" s="30"/>
      <x:c r="B15" s="30"/>
      <x:c r="C15" s="30"/>
      <x:c r="D15" s="30"/>
      <x:c r="E15" s="30"/>
      <x:c r="F15" s="30"/>
      <x:c r="G15" s="30"/>
      <x:c r="H15" s="30"/>
    </x:row>
    <x:row r="17">
      <x:c r="A17" s="25" t="str">
        <x:v>Recommended thesis wording</x:v>
      </x:c>
      <x:c r="B17" s="25"/>
      <x:c r="C17" s="25"/>
      <x:c r="D17" s="25"/>
      <x:c r="E17" s="25"/>
      <x:c r="F17" s="25"/>
      <x:c r="G17" s="25"/>
      <x:c r="H17" s="25"/>
    </x:row>
    <x:row r="18">
      <x:c r="A18" s="30" t="str">
        <x:v>Under the tested actuator–mount–sensor configuration, the Visaton assembly exhibited a frequency-dependent three-dimensional acceleration response. Stable Z-dominant behavior was observed over much of the 175–300 Hz range, while Y-dominant response occurred at 125 Hz and 325 Hz. At 100 Hz and 150 Hz, the directional composition changed with actuator command magnitude, together with strong harmonic components and abrupt gain changes. These observations show that the measured secondary-path response is more appropriately represented as a function of both excitation frequency and drive level, H(f,U), rather than as an intrinsic fixed actuator axis. Several operating points above approximately 200 Hz also exhibit near-proportional DAC-to-acceleration scaling, making them more suitable for deterministic amplitude control.</x:v>
      </x:c>
      <x:c r="B18" s="30"/>
      <x:c r="C18" s="30"/>
      <x:c r="D18" s="30"/>
      <x:c r="E18" s="30"/>
      <x:c r="F18" s="30"/>
      <x:c r="G18" s="30"/>
      <x:c r="H18" s="30"/>
    </x:row>
    <x:row r="19">
      <x:c r="A19" s="30"/>
      <x:c r="B19" s="30"/>
      <x:c r="C19" s="30"/>
      <x:c r="D19" s="30"/>
      <x:c r="E19" s="30"/>
      <x:c r="F19" s="30"/>
      <x:c r="G19" s="30"/>
      <x:c r="H19" s="30"/>
    </x:row>
    <x:row r="20">
      <x:c r="A20" s="30"/>
      <x:c r="B20" s="30"/>
      <x:c r="C20" s="30"/>
      <x:c r="D20" s="30"/>
      <x:c r="E20" s="30"/>
      <x:c r="F20" s="30"/>
      <x:c r="G20" s="30"/>
      <x:c r="H20" s="30"/>
    </x:row>
    <x:row r="21">
      <x:c r="A21" s="30"/>
      <x:c r="B21" s="30"/>
      <x:c r="C21" s="30"/>
      <x:c r="D21" s="30"/>
      <x:c r="E21" s="30"/>
      <x:c r="F21" s="30"/>
      <x:c r="G21" s="30"/>
      <x:c r="H21" s="30"/>
    </x:row>
    <x:row r="22">
      <x:c r="A22" s="30"/>
      <x:c r="B22" s="30"/>
      <x:c r="C22" s="30"/>
      <x:c r="D22" s="30"/>
      <x:c r="E22" s="30"/>
      <x:c r="F22" s="30"/>
      <x:c r="G22" s="30"/>
      <x:c r="H22" s="30"/>
    </x:row>
    <x:row r="24">
      <x:c r="A24" s="16" t="str">
        <x:v>Workbook guide</x:v>
      </x:c>
      <x:c r="B24" s="16" t="str">
        <x:v>Purpose</x:v>
      </x:c>
      <x:c r="C24" s="16" t="str"/>
      <x:c r="D24" s="16" t="str"/>
    </x:row>
    <x:row r="25">
      <x:c r="A25" s="22" t="str">
        <x:v>Dashboard</x:v>
      </x:c>
      <x:c r="B25" s="22" t="str">
        <x:v>Visual summary and KPI overview</x:v>
      </x:c>
      <x:c r="C25" s="22" t="str"/>
      <x:c r="D25" s="22" t="str"/>
    </x:row>
    <x:row r="26">
      <x:c r="A26" s="22" t="str">
        <x:v>Frequency Analysis</x:v>
      </x:c>
      <x:c r="B26" s="22" t="str">
        <x:v>Formula-driven frequency-level metrics</x:v>
      </x:c>
      <x:c r="C26" s="22" t="str"/>
      <x:c r="D26" s="22" t="str"/>
    </x:row>
    <x:row r="27">
      <x:c r="A27" s="22" t="str">
        <x:v>Axis Map</x:v>
      </x:c>
      <x:c r="B27" s="22" t="str">
        <x:v>Exact-frequency X/Y/Z dominance at every DAC point</x:v>
      </x:c>
      <x:c r="C27" s="22" t="str"/>
      <x:c r="D27" s="22" t="str"/>
    </x:row>
    <x:row r="28">
      <x:c r="A28" s="22" t="str">
        <x:v>Harmonic Diagnostics</x:v>
      </x:c>
      <x:c r="B28" s="22" t="str">
        <x:v>Potential 2f/3f indicators from blind FFT</x:v>
      </x:c>
      <x:c r="C28" s="22" t="str"/>
      <x:c r="D28" s="22" t="str"/>
    </x:row>
    <x:row r="29">
      <x:c r="A29" s="22" t="str">
        <x:v>Phase &amp; Quality</x:v>
      </x:c>
      <x:c r="B29" s="22" t="str">
        <x:v>DAC15 phase, sync and CV comparison</x:v>
      </x:c>
      <x:c r="C29" s="22" t="str"/>
      <x:c r="D29" s="22" t="str"/>
    </x:row>
    <x:row r="30">
      <x:c r="A30" s="22" t="str">
        <x:v>Thesis Documentation</x:v>
      </x:c>
      <x:c r="B30" s="22" t="str">
        <x:v>Academic interpretation, limitations and next steps</x:v>
      </x:c>
      <x:c r="C30" s="22" t="str"/>
      <x:c r="D30" s="22" t="str"/>
    </x:row>
  </x:sheetData>
  <x:mergeCells>
    <x:mergeCell ref="A1:H1"/>
    <x:mergeCell ref="A2:H2"/>
    <x:mergeCell ref="D4:H4"/>
    <x:mergeCell ref="D5:H5"/>
    <x:mergeCell ref="D6:H6"/>
    <x:mergeCell ref="D7:H7"/>
    <x:mergeCell ref="D8:H8"/>
    <x:mergeCell ref="D9:H9"/>
    <x:mergeCell ref="D10:H10"/>
    <x:mergeCell ref="D11:H11"/>
    <x:mergeCell ref="D12:H12"/>
    <x:mergeCell ref="A12:H12"/>
    <x:mergeCell ref="A13:H15"/>
    <x:mergeCell ref="A17:H17"/>
    <x:mergeCell ref="A18:H22"/>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6"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37" max="37" width="14" hidden="0" customWidth="1"/>
    <x:col min="38" max="38" width="14" hidden="0" customWidth="1"/>
    <x:col min="39" max="39" width="14" hidden="0" customWidth="1"/>
    <x:col min="40" max="40" width="14" hidden="0" customWidth="1"/>
    <x:col min="41" max="41" width="14" hidden="0" customWidth="1"/>
    <x:col min="42" max="42" width="14" hidden="0" customWidth="1"/>
    <x:col min="43" max="43" width="14" hidden="0" customWidth="1"/>
    <x:col min="44" max="44" width="14" hidden="0" customWidth="1"/>
    <x:col min="45" max="45" width="14" hidden="0" customWidth="1"/>
    <x:col min="46" max="46" width="14" hidden="0" customWidth="1"/>
  </x:cols>
  <x:sheetData>
    <x:row r="1">
      <x:c r="A1" s="45" t="str">
        <x:v>Mode</x:v>
      </x:c>
      <x:c r="B1" s="45" t="str">
        <x:v>Point</x:v>
      </x:c>
      <x:c r="C1" s="45" t="str">
        <x:v>Repeat</x:v>
      </x:c>
      <x:c r="D1" s="46" t="str">
        <x:v>CmdFreq_Hz</x:v>
      </x:c>
      <x:c r="E1" s="46" t="str">
        <x:v>DAC</x:v>
      </x:c>
      <x:c r="F1" s="47" t="str">
        <x:v>FFT_X_Dom_Hz</x:v>
      </x:c>
      <x:c r="G1" s="47" t="str">
        <x:v>FFT_X_Dom_A</x:v>
      </x:c>
      <x:c r="H1" s="47" t="str">
        <x:v>FFT_X_Dom_SNR</x:v>
      </x:c>
      <x:c r="I1" s="47" t="str">
        <x:v>FFT_Y_Dom_Hz</x:v>
      </x:c>
      <x:c r="J1" s="47" t="str">
        <x:v>FFT_Y_Dom_A</x:v>
      </x:c>
      <x:c r="K1" s="47" t="str">
        <x:v>FFT_Y_Dom_SNR</x:v>
      </x:c>
      <x:c r="L1" s="47" t="str">
        <x:v>FFT_Z_Dom_Hz</x:v>
      </x:c>
      <x:c r="M1" s="47" t="str">
        <x:v>FFT_Z_Dom_A</x:v>
      </x:c>
      <x:c r="N1" s="47" t="str">
        <x:v>FFT_Z_Dom_SNR</x:v>
      </x:c>
      <x:c r="O1" s="47" t="str">
        <x:v>FFT_X_Local_Hz</x:v>
      </x:c>
      <x:c r="P1" s="47" t="str">
        <x:v>FFT_X_Local_A</x:v>
      </x:c>
      <x:c r="Q1" s="47" t="str">
        <x:v>FFT_Y_Local_Hz</x:v>
      </x:c>
      <x:c r="R1" s="47" t="str">
        <x:v>FFT_Y_Local_A</x:v>
      </x:c>
      <x:c r="S1" s="47" t="str">
        <x:v>FFT_Z_Local_Hz</x:v>
      </x:c>
      <x:c r="T1" s="47" t="str">
        <x:v>FFT_Z_Local_A</x:v>
      </x:c>
      <x:c r="U1" s="47" t="str">
        <x:v>FFT_Vector_Local_Hz</x:v>
      </x:c>
      <x:c r="V1" s="47" t="str">
        <x:v>FFT_Vector_FreqError_Hz</x:v>
      </x:c>
      <x:c r="W1" s="47" t="str">
        <x:v>FFT_Vector_X_A</x:v>
      </x:c>
      <x:c r="X1" s="47" t="str">
        <x:v>FFT_Vector_Y_A</x:v>
      </x:c>
      <x:c r="Y1" s="47" t="str">
        <x:v>FFT_Vector_Z_A</x:v>
      </x:c>
      <x:c r="Z1" s="47" t="str">
        <x:v>FFT_Vector_Total_A</x:v>
      </x:c>
      <x:c r="AA1" s="47" t="str">
        <x:v>FFT_Vector_SNR</x:v>
      </x:c>
      <x:c r="AB1" s="47" t="str">
        <x:v>FFT_Vector_DomAxis</x:v>
      </x:c>
      <x:c r="AC1" s="47" t="str">
        <x:v>Quad_X_A</x:v>
      </x:c>
      <x:c r="AD1" s="47" t="str">
        <x:v>Quad_X_Phase_deg</x:v>
      </x:c>
      <x:c r="AE1" s="47" t="str">
        <x:v>Quad_X_SyncRatio</x:v>
      </x:c>
      <x:c r="AF1" s="47" t="str">
        <x:v>Quad_X_CV_pct</x:v>
      </x:c>
      <x:c r="AG1" s="47" t="str">
        <x:v>Quad_Y_A</x:v>
      </x:c>
      <x:c r="AH1" s="47" t="str">
        <x:v>Quad_Y_Phase_deg</x:v>
      </x:c>
      <x:c r="AI1" s="47" t="str">
        <x:v>Quad_Y_SyncRatio</x:v>
      </x:c>
      <x:c r="AJ1" s="47" t="str">
        <x:v>Quad_Y_CV_pct</x:v>
      </x:c>
      <x:c r="AK1" s="47" t="str">
        <x:v>Quad_Z_A</x:v>
      </x:c>
      <x:c r="AL1" s="47" t="str">
        <x:v>Quad_Z_Phase_deg</x:v>
      </x:c>
      <x:c r="AM1" s="47" t="str">
        <x:v>Quad_Z_SyncRatio</x:v>
      </x:c>
      <x:c r="AN1" s="47" t="str">
        <x:v>Quad_Z_CV_pct</x:v>
      </x:c>
      <x:c r="AO1" s="47" t="str">
        <x:v>Quad_Total_A</x:v>
      </x:c>
      <x:c r="AP1" s="47" t="str">
        <x:v>Quad_Total_CV_pct</x:v>
      </x:c>
      <x:c r="AQ1" s="47" t="str">
        <x:v>X_Fraction</x:v>
      </x:c>
      <x:c r="AR1" s="47" t="str">
        <x:v>Y_Fraction</x:v>
      </x:c>
      <x:c r="AS1" s="47" t="str">
        <x:v>Z_Fraction</x:v>
      </x:c>
      <x:c r="AT1" s="48" t="str">
        <x:v>Valid</x:v>
      </x:c>
    </x:row>
    <x:row r="2">
      <x:c r="A2" s="22" t="str">
        <x:v>GAIN_SWEEP</x:v>
      </x:c>
      <x:c r="B2" s="22" t="n">
        <x:v>1</x:v>
      </x:c>
      <x:c r="C2" s="22" t="n">
        <x:v>1</x:v>
      </x:c>
      <x:c r="D2" s="22" t="n">
        <x:v>100</x:v>
      </x:c>
      <x:c r="E2" s="22" t="n">
        <x:v>10</x:v>
      </x:c>
      <x:c r="F2" s="22" t="n">
        <x:v>100.01055</x:v>
      </x:c>
      <x:c r="G2" s="22" t="n">
        <x:v>0.19354</x:v>
      </x:c>
      <x:c r="H2" s="22" t="n">
        <x:v>24.56</x:v>
      </x:c>
      <x:c r="I2" s="22" t="n">
        <x:v>245.52421</x:v>
      </x:c>
      <x:c r="J2" s="22" t="n">
        <x:v>0.22415</x:v>
      </x:c>
      <x:c r="K2" s="22" t="n">
        <x:v>23.1</x:v>
      </x:c>
      <x:c r="L2" s="22" t="n">
        <x:v>99.99218</x:v>
      </x:c>
      <x:c r="M2" s="22" t="n">
        <x:v>0.34757</x:v>
      </x:c>
      <x:c r="N2" s="22" t="n">
        <x:v>26.58</x:v>
      </x:c>
      <x:c r="O2" s="22" t="n">
        <x:v>100.01055</x:v>
      </x:c>
      <x:c r="P2" s="22" t="n">
        <x:v>0.19354</x:v>
      </x:c>
      <x:c r="Q2" s="22" t="n">
        <x:v>100.01505</x:v>
      </x:c>
      <x:c r="R2" s="22" t="n">
        <x:v>0.10111</x:v>
      </x:c>
      <x:c r="S2" s="22" t="n">
        <x:v>99.99218</x:v>
      </x:c>
      <x:c r="T2" s="22" t="n">
        <x:v>0.34757</x:v>
      </x:c>
      <x:c r="U2" s="22" t="n">
        <x:v>99.99766</x:v>
      </x:c>
      <x:c r="V2" s="22" t="n">
        <x:v>-0.00234</x:v>
      </x:c>
      <x:c r="W2" s="22" t="n">
        <x:v>0.19354</x:v>
      </x:c>
      <x:c r="X2" s="22" t="n">
        <x:v>0.10111</x:v>
      </x:c>
      <x:c r="Y2" s="22" t="n">
        <x:v>0.34757</x:v>
      </x:c>
      <x:c r="Z2" s="22" t="n">
        <x:v>0.41047</x:v>
      </x:c>
      <x:c r="AA2" s="22" t="n">
        <x:v>25.8</x:v>
      </x:c>
      <x:c r="AB2" s="22" t="str">
        <x:v>Z</x:v>
      </x:c>
      <x:c r="AC2" s="22" t="n">
        <x:v>0.20592</x:v>
      </x:c>
      <x:c r="AD2" s="22" t="n">
        <x:v>59.62</x:v>
      </x:c>
      <x:c r="AE2" s="22" t="n">
        <x:v>0.579</x:v>
      </x:c>
      <x:c r="AF2" s="22" t="n">
        <x:v>3.21</x:v>
      </x:c>
      <x:c r="AG2" s="22" t="n">
        <x:v>0.11588</x:v>
      </x:c>
      <x:c r="AH2" s="22" t="n">
        <x:v>54.81</x:v>
      </x:c>
      <x:c r="AI2" s="22" t="n">
        <x:v>0.225</x:v>
      </x:c>
      <x:c r="AJ2" s="22" t="n">
        <x:v>12.7</x:v>
      </x:c>
      <x:c r="AK2" s="22" t="n">
        <x:v>0.36369</x:v>
      </x:c>
      <x:c r="AL2" s="22" t="n">
        <x:v>-108.06</x:v>
      </x:c>
      <x:c r="AM2" s="22" t="n">
        <x:v>0.679</x:v>
      </x:c>
      <x:c r="AN2" s="22" t="n">
        <x:v>4.94</x:v>
      </x:c>
      <x:c r="AO2" s="22" t="n">
        <x:v>0.434</x:v>
      </x:c>
      <x:c r="AP2" s="22" t="n">
        <x:v>3.83</x:v>
      </x:c>
      <x:c r="AQ2" s="22" t="n">
        <x:v>0.4745</x:v>
      </x:c>
      <x:c r="AR2" s="22" t="n">
        <x:v>0.267</x:v>
      </x:c>
      <x:c r="AS2" s="22" t="n">
        <x:v>0.838</x:v>
      </x:c>
      <x:c r="AT2" s="22" t="n">
        <x:v>1</x:v>
      </x:c>
    </x:row>
    <x:row r="3">
      <x:c r="A3" s="22" t="str">
        <x:v>GAIN_SWEEP</x:v>
      </x:c>
      <x:c r="B3" s="22" t="n">
        <x:v>2</x:v>
      </x:c>
      <x:c r="C3" s="22" t="n">
        <x:v>1</x:v>
      </x:c>
      <x:c r="D3" s="22" t="n">
        <x:v>100</x:v>
      </x:c>
      <x:c r="E3" s="22" t="n">
        <x:v>11</x:v>
      </x:c>
      <x:c r="F3" s="22" t="n">
        <x:v>99.98217</x:v>
      </x:c>
      <x:c r="G3" s="22" t="n">
        <x:v>0.2913</x:v>
      </x:c>
      <x:c r="H3" s="22" t="n">
        <x:v>28.37</x:v>
      </x:c>
      <x:c r="I3" s="22" t="n">
        <x:v>99.97979</x:v>
      </x:c>
      <x:c r="J3" s="22" t="n">
        <x:v>0.20085</x:v>
      </x:c>
      <x:c r="K3" s="22" t="n">
        <x:v>20.32</x:v>
      </x:c>
      <x:c r="L3" s="22" t="n">
        <x:v>100.00874</x:v>
      </x:c>
      <x:c r="M3" s="22" t="n">
        <x:v>0.47144</x:v>
      </x:c>
      <x:c r="N3" s="22" t="n">
        <x:v>28.78</x:v>
      </x:c>
      <x:c r="O3" s="22" t="n">
        <x:v>99.98217</x:v>
      </x:c>
      <x:c r="P3" s="22" t="n">
        <x:v>0.2913</x:v>
      </x:c>
      <x:c r="Q3" s="22" t="n">
        <x:v>99.97979</x:v>
      </x:c>
      <x:c r="R3" s="22" t="n">
        <x:v>0.20085</x:v>
      </x:c>
      <x:c r="S3" s="22" t="n">
        <x:v>100.00874</x:v>
      </x:c>
      <x:c r="T3" s="22" t="n">
        <x:v>0.47144</x:v>
      </x:c>
      <x:c r="U3" s="22" t="n">
        <x:v>99.99887</x:v>
      </x:c>
      <x:c r="V3" s="22" t="n">
        <x:v>-0.00113</x:v>
      </x:c>
      <x:c r="W3" s="22" t="n">
        <x:v>0.2913</x:v>
      </x:c>
      <x:c r="X3" s="22" t="n">
        <x:v>0.20085</x:v>
      </x:c>
      <x:c r="Y3" s="22" t="n">
        <x:v>0.47144</x:v>
      </x:c>
      <x:c r="Z3" s="22" t="n">
        <x:v>0.58945</x:v>
      </x:c>
      <x:c r="AA3" s="22" t="n">
        <x:v>30.74</x:v>
      </x:c>
      <x:c r="AB3" s="22" t="str">
        <x:v>Z</x:v>
      </x:c>
      <x:c r="AC3" s="22" t="n">
        <x:v>0.33339</x:v>
      </x:c>
      <x:c r="AD3" s="22" t="n">
        <x:v>39.81</x:v>
      </x:c>
      <x:c r="AE3" s="22" t="n">
        <x:v>0.7</x:v>
      </x:c>
      <x:c r="AF3" s="22" t="n">
        <x:v>2.74</x:v>
      </x:c>
      <x:c r="AG3" s="22" t="n">
        <x:v>0.26494</x:v>
      </x:c>
      <x:c r="AH3" s="22" t="n">
        <x:v>23.19</x:v>
      </x:c>
      <x:c r="AI3" s="22" t="n">
        <x:v>0.409</x:v>
      </x:c>
      <x:c r="AJ3" s="22" t="n">
        <x:v>8.03</x:v>
      </x:c>
      <x:c r="AK3" s="22" t="n">
        <x:v>0.49317</x:v>
      </x:c>
      <x:c r="AL3" s="22" t="n">
        <x:v>-102.39</x:v>
      </x:c>
      <x:c r="AM3" s="22" t="n">
        <x:v>0.757</x:v>
      </x:c>
      <x:c r="AN3" s="22" t="n">
        <x:v>2.6</x:v>
      </x:c>
      <x:c r="AO3" s="22" t="n">
        <x:v>0.65179</x:v>
      </x:c>
      <x:c r="AP3" s="22" t="n">
        <x:v>2.92</x:v>
      </x:c>
      <x:c r="AQ3" s="22" t="n">
        <x:v>0.5115</x:v>
      </x:c>
      <x:c r="AR3" s="22" t="n">
        <x:v>0.4065</x:v>
      </x:c>
      <x:c r="AS3" s="22" t="n">
        <x:v>0.7566</x:v>
      </x:c>
      <x:c r="AT3" s="22" t="n">
        <x:v>1</x:v>
      </x:c>
    </x:row>
    <x:row r="4">
      <x:c r="A4" s="22" t="str">
        <x:v>GAIN_SWEEP</x:v>
      </x:c>
      <x:c r="B4" s="22" t="n">
        <x:v>3</x:v>
      </x:c>
      <x:c r="C4" s="22" t="n">
        <x:v>1</x:v>
      </x:c>
      <x:c r="D4" s="22" t="n">
        <x:v>100</x:v>
      </x:c>
      <x:c r="E4" s="22" t="n">
        <x:v>12</x:v>
      </x:c>
      <x:c r="F4" s="22" t="n">
        <x:v>199.94172</x:v>
      </x:c>
      <x:c r="G4" s="22" t="n">
        <x:v>0.99489</x:v>
      </x:c>
      <x:c r="H4" s="22" t="n">
        <x:v>31.36</x:v>
      </x:c>
      <x:c r="I4" s="22" t="n">
        <x:v>199.9622</x:v>
      </x:c>
      <x:c r="J4" s="22" t="n">
        <x:v>0.84826</x:v>
      </x:c>
      <x:c r="K4" s="22" t="n">
        <x:v>28.16</x:v>
      </x:c>
      <x:c r="L4" s="22" t="n">
        <x:v>100.01617</x:v>
      </x:c>
      <x:c r="M4" s="22" t="n">
        <x:v>0.70321</x:v>
      </x:c>
      <x:c r="N4" s="22" t="n">
        <x:v>28.87</x:v>
      </x:c>
      <x:c r="O4" s="22" t="n">
        <x:v>99.9598</x:v>
      </x:c>
      <x:c r="P4" s="22" t="n">
        <x:v>0.87268</x:v>
      </x:c>
      <x:c r="Q4" s="22" t="n">
        <x:v>99.97458</x:v>
      </x:c>
      <x:c r="R4" s="22" t="n">
        <x:v>0.8407</x:v>
      </x:c>
      <x:c r="S4" s="22" t="n">
        <x:v>100.01617</x:v>
      </x:c>
      <x:c r="T4" s="22" t="n">
        <x:v>0.70321</x:v>
      </x:c>
      <x:c r="U4" s="22" t="n">
        <x:v>99.97936</x:v>
      </x:c>
      <x:c r="V4" s="22" t="n">
        <x:v>-0.02064</x:v>
      </x:c>
      <x:c r="W4" s="22" t="n">
        <x:v>0.87268</x:v>
      </x:c>
      <x:c r="X4" s="22" t="n">
        <x:v>0.8407</x:v>
      </x:c>
      <x:c r="Y4" s="22" t="n">
        <x:v>0.70321</x:v>
      </x:c>
      <x:c r="Z4" s="22" t="n">
        <x:v>1.40102</x:v>
      </x:c>
      <x:c r="AA4" s="22" t="n">
        <x:v>34.81</x:v>
      </x:c>
      <x:c r="AB4" s="22" t="str">
        <x:v>X</x:v>
      </x:c>
      <x:c r="AC4" s="22" t="n">
        <x:v>1.19863</x:v>
      </x:c>
      <x:c r="AD4" s="22" t="n">
        <x:v>-33.83</x:v>
      </x:c>
      <x:c r="AE4" s="22" t="n">
        <x:v>0.556</x:v>
      </x:c>
      <x:c r="AF4" s="22" t="n">
        <x:v>3.84</x:v>
      </x:c>
      <x:c r="AG4" s="22" t="n">
        <x:v>1.07706</x:v>
      </x:c>
      <x:c r="AH4" s="22" t="n">
        <x:v>-32.51</x:v>
      </x:c>
      <x:c r="AI4" s="22" t="n">
        <x:v>0.576</x:v>
      </x:c>
      <x:c r="AJ4" s="22" t="n">
        <x:v>2.77</x:v>
      </x:c>
      <x:c r="AK4" s="22" t="n">
        <x:v>0.85251</x:v>
      </x:c>
      <x:c r="AL4" s="22" t="n">
        <x:v>-73.95</x:v>
      </x:c>
      <x:c r="AM4" s="22" t="n">
        <x:v>0.611</x:v>
      </x:c>
      <x:c r="AN4" s="22" t="n">
        <x:v>1.66</x:v>
      </x:c>
      <x:c r="AO4" s="22" t="n">
        <x:v>1.82322</x:v>
      </x:c>
      <x:c r="AP4" s="22" t="n">
        <x:v>2.73</x:v>
      </x:c>
      <x:c r="AQ4" s="22" t="n">
        <x:v>0.6574</x:v>
      </x:c>
      <x:c r="AR4" s="22" t="n">
        <x:v>0.5907</x:v>
      </x:c>
      <x:c r="AS4" s="22" t="n">
        <x:v>0.4676</x:v>
      </x:c>
      <x:c r="AT4" s="22" t="n">
        <x:v>1</x:v>
      </x:c>
    </x:row>
    <x:row r="5">
      <x:c r="A5" s="22" t="str">
        <x:v>GAIN_SWEEP</x:v>
      </x:c>
      <x:c r="B5" s="22" t="n">
        <x:v>4</x:v>
      </x:c>
      <x:c r="C5" s="22" t="n">
        <x:v>1</x:v>
      </x:c>
      <x:c r="D5" s="22" t="n">
        <x:v>100</x:v>
      </x:c>
      <x:c r="E5" s="22" t="n">
        <x:v>13</x:v>
      </x:c>
      <x:c r="F5" s="22" t="n">
        <x:v>199.97868</x:v>
      </x:c>
      <x:c r="G5" s="22" t="n">
        <x:v>2.11072</x:v>
      </x:c>
      <x:c r="H5" s="22" t="n">
        <x:v>34.32</x:v>
      </x:c>
      <x:c r="I5" s="22" t="n">
        <x:v>100.00151</x:v>
      </x:c>
      <x:c r="J5" s="22" t="n">
        <x:v>1.44002</x:v>
      </x:c>
      <x:c r="K5" s="22" t="n">
        <x:v>31.76</x:v>
      </x:c>
      <x:c r="L5" s="22" t="n">
        <x:v>99.99831</x:v>
      </x:c>
      <x:c r="M5" s="22" t="n">
        <x:v>1.10809</x:v>
      </x:c>
      <x:c r="N5" s="22" t="n">
        <x:v>30.69</x:v>
      </x:c>
      <x:c r="O5" s="22" t="n">
        <x:v>99.9937</x:v>
      </x:c>
      <x:c r="P5" s="22" t="n">
        <x:v>1.74036</x:v>
      </x:c>
      <x:c r="Q5" s="22" t="n">
        <x:v>100.00151</x:v>
      </x:c>
      <x:c r="R5" s="22" t="n">
        <x:v>1.44002</x:v>
      </x:c>
      <x:c r="S5" s="22" t="n">
        <x:v>99.99831</x:v>
      </x:c>
      <x:c r="T5" s="22" t="n">
        <x:v>1.10809</x:v>
      </x:c>
      <x:c r="U5" s="22" t="n">
        <x:v>99.99715</x:v>
      </x:c>
      <x:c r="V5" s="22" t="n">
        <x:v>-0.00285</x:v>
      </x:c>
      <x:c r="W5" s="22" t="n">
        <x:v>1.74036</x:v>
      </x:c>
      <x:c r="X5" s="22" t="n">
        <x:v>1.44002</x:v>
      </x:c>
      <x:c r="Y5" s="22" t="n">
        <x:v>1.10809</x:v>
      </x:c>
      <x:c r="Z5" s="22" t="n">
        <x:v>2.51602</x:v>
      </x:c>
      <x:c r="AA5" s="22" t="n">
        <x:v>38.11</x:v>
      </x:c>
      <x:c r="AB5" s="22" t="str">
        <x:v>X</x:v>
      </x:c>
      <x:c r="AC5" s="22" t="n">
        <x:v>1.46801</x:v>
      </x:c>
      <x:c r="AD5" s="22" t="n">
        <x:v>-39.45</x:v>
      </x:c>
      <x:c r="AE5" s="22" t="n">
        <x:v>0.548</x:v>
      </x:c>
      <x:c r="AF5" s="22" t="n">
        <x:v>33.09</x:v>
      </x:c>
      <x:c r="AG5" s="22" t="n">
        <x:v>1.23041</x:v>
      </x:c>
      <x:c r="AH5" s="22" t="n">
        <x:v>-41.04</x:v>
      </x:c>
      <x:c r="AI5" s="22" t="n">
        <x:v>0.622</x:v>
      </x:c>
      <x:c r="AJ5" s="22" t="n">
        <x:v>22.08</x:v>
      </x:c>
      <x:c r="AK5" s="22" t="n">
        <x:v>0.97872</x:v>
      </x:c>
      <x:c r="AL5" s="22" t="n">
        <x:v>-73.12</x:v>
      </x:c>
      <x:c r="AM5" s="22" t="n">
        <x:v>0.638</x:v>
      </x:c>
      <x:c r="AN5" s="22" t="n">
        <x:v>22.84</x:v>
      </x:c>
      <x:c r="AO5" s="22" t="n">
        <x:v>2.15533</x:v>
      </x:c>
      <x:c r="AP5" s="22" t="n">
        <x:v>26.91</x:v>
      </x:c>
      <x:c r="AQ5" s="22" t="n">
        <x:v>0.6811</x:v>
      </x:c>
      <x:c r="AR5" s="22" t="n">
        <x:v>0.5709</x:v>
      </x:c>
      <x:c r="AS5" s="22" t="n">
        <x:v>0.4541</x:v>
      </x:c>
      <x:c r="AT5" s="22" t="n">
        <x:v>1</x:v>
      </x:c>
    </x:row>
    <x:row r="6">
      <x:c r="A6" s="22" t="str">
        <x:v>GAIN_SWEEP</x:v>
      </x:c>
      <x:c r="B6" s="22" t="n">
        <x:v>5</x:v>
      </x:c>
      <x:c r="C6" s="22" t="n">
        <x:v>1</x:v>
      </x:c>
      <x:c r="D6" s="22" t="n">
        <x:v>100</x:v>
      </x:c>
      <x:c r="E6" s="22" t="n">
        <x:v>14</x:v>
      </x:c>
      <x:c r="F6" s="22" t="n">
        <x:v>199.99086</x:v>
      </x:c>
      <x:c r="G6" s="22" t="n">
        <x:v>2.4938</x:v>
      </x:c>
      <x:c r="H6" s="22" t="n">
        <x:v>34.3</x:v>
      </x:c>
      <x:c r="I6" s="22" t="n">
        <x:v>99.99829</x:v>
      </x:c>
      <x:c r="J6" s="22" t="n">
        <x:v>1.71225</x:v>
      </x:c>
      <x:c r="K6" s="22" t="n">
        <x:v>32.33</x:v>
      </x:c>
      <x:c r="L6" s="22" t="n">
        <x:v>99.99844</x:v>
      </x:c>
      <x:c r="M6" s="22" t="n">
        <x:v>1.32268</x:v>
      </x:c>
      <x:c r="N6" s="22" t="n">
        <x:v>31.35</x:v>
      </x:c>
      <x:c r="O6" s="22" t="n">
        <x:v>99.99302</x:v>
      </x:c>
      <x:c r="P6" s="22" t="n">
        <x:v>2.07712</x:v>
      </x:c>
      <x:c r="Q6" s="22" t="n">
        <x:v>99.99829</x:v>
      </x:c>
      <x:c r="R6" s="22" t="n">
        <x:v>1.71225</x:v>
      </x:c>
      <x:c r="S6" s="22" t="n">
        <x:v>99.99844</x:v>
      </x:c>
      <x:c r="T6" s="22" t="n">
        <x:v>1.32268</x:v>
      </x:c>
      <x:c r="U6" s="22" t="n">
        <x:v>99.99579</x:v>
      </x:c>
      <x:c r="V6" s="22" t="n">
        <x:v>-0.00421</x:v>
      </x:c>
      <x:c r="W6" s="22" t="n">
        <x:v>2.07712</x:v>
      </x:c>
      <x:c r="X6" s="22" t="n">
        <x:v>1.71225</x:v>
      </x:c>
      <x:c r="Y6" s="22" t="n">
        <x:v>1.32268</x:v>
      </x:c>
      <x:c r="Z6" s="22" t="n">
        <x:v>2.99929</x:v>
      </x:c>
      <x:c r="AA6" s="22" t="n">
        <x:v>39.08</x:v>
      </x:c>
      <x:c r="AB6" s="22" t="str">
        <x:v>X</x:v>
      </x:c>
      <x:c r="AC6" s="22" t="n">
        <x:v>2.16977</x:v>
      </x:c>
      <x:c r="AD6" s="22" t="n">
        <x:v>-61.52</x:v>
      </x:c>
      <x:c r="AE6" s="22" t="n">
        <x:v>0.579</x:v>
      </x:c>
      <x:c r="AF6" s="22" t="n">
        <x:v>1.36</x:v>
      </x:c>
      <x:c r="AG6" s="22" t="n">
        <x:v>1.8301</x:v>
      </x:c>
      <x:c r="AH6" s="22" t="n">
        <x:v>-53.09</x:v>
      </x:c>
      <x:c r="AI6" s="22" t="n">
        <x:v>0.695</x:v>
      </x:c>
      <x:c r="AJ6" s="22" t="n">
        <x:v>1.71</x:v>
      </x:c>
      <x:c r="AK6" s="22" t="n">
        <x:v>1.38395</x:v>
      </x:c>
      <x:c r="AL6" s="22" t="n">
        <x:v>-76.65</x:v>
      </x:c>
      <x:c r="AM6" s="22" t="n">
        <x:v>0.652</x:v>
      </x:c>
      <x:c r="AN6" s="22" t="n">
        <x:v>0.52</x:v>
      </x:c>
      <x:c r="AO6" s="22" t="n">
        <x:v>3.15806</x:v>
      </x:c>
      <x:c r="AP6" s="22" t="n">
        <x:v>0.93</x:v>
      </x:c>
      <x:c r="AQ6" s="22" t="n">
        <x:v>0.6871</x:v>
      </x:c>
      <x:c r="AR6" s="22" t="n">
        <x:v>0.5795</x:v>
      </x:c>
      <x:c r="AS6" s="22" t="n">
        <x:v>0.4382</x:v>
      </x:c>
      <x:c r="AT6" s="22" t="n">
        <x:v>1</x:v>
      </x:c>
    </x:row>
    <x:row r="7">
      <x:c r="A7" s="22" t="str">
        <x:v>GAIN_SWEEP</x:v>
      </x:c>
      <x:c r="B7" s="22" t="n">
        <x:v>6</x:v>
      </x:c>
      <x:c r="C7" s="22" t="n">
        <x:v>1</x:v>
      </x:c>
      <x:c r="D7" s="22" t="n">
        <x:v>100</x:v>
      </x:c>
      <x:c r="E7" s="22" t="n">
        <x:v>15</x:v>
      </x:c>
      <x:c r="F7" s="22" t="n">
        <x:v>199.98509</x:v>
      </x:c>
      <x:c r="G7" s="22" t="n">
        <x:v>2.86542</x:v>
      </x:c>
      <x:c r="H7" s="22" t="n">
        <x:v>34.06</x:v>
      </x:c>
      <x:c r="I7" s="22" t="n">
        <x:v>99.9933</x:v>
      </x:c>
      <x:c r="J7" s="22" t="n">
        <x:v>2.02718</x:v>
      </x:c>
      <x:c r="K7" s="22" t="n">
        <x:v>32.02</x:v>
      </x:c>
      <x:c r="L7" s="22" t="n">
        <x:v>99.99872</x:v>
      </x:c>
      <x:c r="M7" s="22" t="n">
        <x:v>1.52591</x:v>
      </x:c>
      <x:c r="N7" s="22" t="n">
        <x:v>31.68</x:v>
      </x:c>
      <x:c r="O7" s="22" t="n">
        <x:v>99.99235</x:v>
      </x:c>
      <x:c r="P7" s="22" t="n">
        <x:v>2.34046</x:v>
      </x:c>
      <x:c r="Q7" s="22" t="n">
        <x:v>99.9933</x:v>
      </x:c>
      <x:c r="R7" s="22" t="n">
        <x:v>2.02718</x:v>
      </x:c>
      <x:c r="S7" s="22" t="n">
        <x:v>99.99872</x:v>
      </x:c>
      <x:c r="T7" s="22" t="n">
        <x:v>1.52591</x:v>
      </x:c>
      <x:c r="U7" s="22" t="n">
        <x:v>99.99392</x:v>
      </x:c>
      <x:c r="V7" s="22" t="n">
        <x:v>-0.00608</x:v>
      </x:c>
      <x:c r="W7" s="22" t="n">
        <x:v>2.34046</x:v>
      </x:c>
      <x:c r="X7" s="22" t="n">
        <x:v>2.02718</x:v>
      </x:c>
      <x:c r="Y7" s="22" t="n">
        <x:v>1.52591</x:v>
      </x:c>
      <x:c r="Z7" s="22" t="n">
        <x:v>3.4519</x:v>
      </x:c>
      <x:c r="AA7" s="22" t="n">
        <x:v>38.61</x:v>
      </x:c>
      <x:c r="AB7" s="22" t="str">
        <x:v>X</x:v>
      </x:c>
      <x:c r="AC7" s="22" t="n">
        <x:v>2.31402</x:v>
      </x:c>
      <x:c r="AD7" s="22" t="n">
        <x:v>-70.1</x:v>
      </x:c>
      <x:c r="AE7" s="22" t="n">
        <x:v>0.606</x:v>
      </x:c>
      <x:c r="AF7" s="22" t="n">
        <x:v>1.33</x:v>
      </x:c>
      <x:c r="AG7" s="22" t="n">
        <x:v>2.05378</x:v>
      </x:c>
      <x:c r="AH7" s="22" t="n">
        <x:v>-63.88</x:v>
      </x:c>
      <x:c r="AI7" s="22" t="n">
        <x:v>0.686</x:v>
      </x:c>
      <x:c r="AJ7" s="22" t="n">
        <x:v>1.02</x:v>
      </x:c>
      <x:c r="AK7" s="22" t="n">
        <x:v>1.57215</x:v>
      </x:c>
      <x:c r="AL7" s="22" t="n">
        <x:v>-80.35</x:v>
      </x:c>
      <x:c r="AM7" s="22" t="n">
        <x:v>0.713</x:v>
      </x:c>
      <x:c r="AN7" s="22" t="n">
        <x:v>0.6</x:v>
      </x:c>
      <x:c r="AO7" s="22" t="n">
        <x:v>3.47061</x:v>
      </x:c>
      <x:c r="AP7" s="22" t="n">
        <x:v>0.6</x:v>
      </x:c>
      <x:c r="AQ7" s="22" t="n">
        <x:v>0.6667</x:v>
      </x:c>
      <x:c r="AR7" s="22" t="n">
        <x:v>0.5918</x:v>
      </x:c>
      <x:c r="AS7" s="22" t="n">
        <x:v>0.453</x:v>
      </x:c>
      <x:c r="AT7" s="22" t="n">
        <x:v>1</x:v>
      </x:c>
    </x:row>
    <x:row r="8">
      <x:c r="A8" s="22" t="str">
        <x:v>GAIN_SWEEP</x:v>
      </x:c>
      <x:c r="B8" s="22" t="n">
        <x:v>1</x:v>
      </x:c>
      <x:c r="C8" s="22" t="n">
        <x:v>1</x:v>
      </x:c>
      <x:c r="D8" s="22" t="n">
        <x:v>125</x:v>
      </x:c>
      <x:c r="E8" s="22" t="n">
        <x:v>10</x:v>
      </x:c>
      <x:c r="F8" s="22" t="n">
        <x:v>456.78911</x:v>
      </x:c>
      <x:c r="G8" s="22" t="n">
        <x:v>0.07747</x:v>
      </x:c>
      <x:c r="H8" s="22" t="n">
        <x:v>15.67</x:v>
      </x:c>
      <x:c r="I8" s="22" t="n">
        <x:v>124.96953</x:v>
      </x:c>
      <x:c r="J8" s="22" t="n">
        <x:v>0.29555</x:v>
      </x:c>
      <x:c r="K8" s="22" t="n">
        <x:v>21.77</x:v>
      </x:c>
      <x:c r="L8" s="22" t="n">
        <x:v>625.05379</x:v>
      </x:c>
      <x:c r="M8" s="22" t="n">
        <x:v>0.18602</x:v>
      </x:c>
      <x:c r="N8" s="22" t="n">
        <x:v>18.89</x:v>
      </x:c>
      <x:c r="O8" s="22" t="n">
        <x:v>124.95049</x:v>
      </x:c>
      <x:c r="P8" s="22" t="n">
        <x:v>0.04612</x:v>
      </x:c>
      <x:c r="Q8" s="22" t="n">
        <x:v>124.96953</x:v>
      </x:c>
      <x:c r="R8" s="22" t="n">
        <x:v>0.29555</x:v>
      </x:c>
      <x:c r="S8" s="22" t="n">
        <x:v>125.03985</x:v>
      </x:c>
      <x:c r="T8" s="22" t="n">
        <x:v>0.14513</x:v>
      </x:c>
      <x:c r="U8" s="22" t="n">
        <x:v>124.98258</x:v>
      </x:c>
      <x:c r="V8" s="22" t="n">
        <x:v>-0.01742</x:v>
      </x:c>
      <x:c r="W8" s="22" t="n">
        <x:v>0.04612</x:v>
      </x:c>
      <x:c r="X8" s="22" t="n">
        <x:v>0.29555</x:v>
      </x:c>
      <x:c r="Y8" s="22" t="n">
        <x:v>0.14513</x:v>
      </x:c>
      <x:c r="Z8" s="22" t="n">
        <x:v>0.33247</x:v>
      </x:c>
      <x:c r="AA8" s="22" t="n">
        <x:v>21.37</x:v>
      </x:c>
      <x:c r="AB8" s="22" t="str">
        <x:v>Y</x:v>
      </x:c>
      <x:c r="AC8" s="22" t="n">
        <x:v>0.09842</x:v>
      </x:c>
      <x:c r="AD8" s="22" t="n">
        <x:v>-133.95</x:v>
      </x:c>
      <x:c r="AE8" s="22" t="n">
        <x:v>0.251</x:v>
      </x:c>
      <x:c r="AF8" s="22" t="n">
        <x:v>18.24</x:v>
      </x:c>
      <x:c r="AG8" s="22" t="n">
        <x:v>0.43396</x:v>
      </x:c>
      <x:c r="AH8" s="22" t="n">
        <x:v>-130.39</x:v>
      </x:c>
      <x:c r="AI8" s="22" t="n">
        <x:v>0.454</x:v>
      </x:c>
      <x:c r="AJ8" s="22" t="n">
        <x:v>14.17</x:v>
      </x:c>
      <x:c r="AK8" s="22" t="n">
        <x:v>0.20861</x:v>
      </x:c>
      <x:c r="AL8" s="22" t="n">
        <x:v>-176.11</x:v>
      </x:c>
      <x:c r="AM8" s="22" t="n">
        <x:v>0.307</x:v>
      </x:c>
      <x:c r="AN8" s="22" t="n">
        <x:v>10.01</x:v>
      </x:c>
      <x:c r="AO8" s="22" t="n">
        <x:v>0.49177</x:v>
      </x:c>
      <x:c r="AP8" s="22" t="n">
        <x:v>13.11</x:v>
      </x:c>
      <x:c r="AQ8" s="22" t="n">
        <x:v>0.2001</x:v>
      </x:c>
      <x:c r="AR8" s="22" t="n">
        <x:v>0.8825</x:v>
      </x:c>
      <x:c r="AS8" s="22" t="n">
        <x:v>0.4242</x:v>
      </x:c>
      <x:c r="AT8" s="22" t="n">
        <x:v>1</x:v>
      </x:c>
    </x:row>
    <x:row r="9">
      <x:c r="A9" s="22" t="str">
        <x:v>GAIN_SWEEP</x:v>
      </x:c>
      <x:c r="B9" s="22" t="n">
        <x:v>2</x:v>
      </x:c>
      <x:c r="C9" s="22" t="n">
        <x:v>1</x:v>
      </x:c>
      <x:c r="D9" s="22" t="n">
        <x:v>125</x:v>
      </x:c>
      <x:c r="E9" s="22" t="n">
        <x:v>11</x:v>
      </x:c>
      <x:c r="F9" s="22" t="n">
        <x:v>124.98326</x:v>
      </x:c>
      <x:c r="G9" s="22" t="n">
        <x:v>0.23171</x:v>
      </x:c>
      <x:c r="H9" s="22" t="n">
        <x:v>22.71</x:v>
      </x:c>
      <x:c r="I9" s="22" t="n">
        <x:v>124.99696</x:v>
      </x:c>
      <x:c r="J9" s="22" t="n">
        <x:v>0.78938</x:v>
      </x:c>
      <x:c r="K9" s="22" t="n">
        <x:v>27.53</x:v>
      </x:c>
      <x:c r="L9" s="22" t="n">
        <x:v>375.01451</x:v>
      </x:c>
      <x:c r="M9" s="22" t="n">
        <x:v>0.46279</x:v>
      </x:c>
      <x:c r="N9" s="22" t="n">
        <x:v>24.68</x:v>
      </x:c>
      <x:c r="O9" s="22" t="n">
        <x:v>124.98326</x:v>
      </x:c>
      <x:c r="P9" s="22" t="n">
        <x:v>0.23171</x:v>
      </x:c>
      <x:c r="Q9" s="22" t="n">
        <x:v>124.99696</x:v>
      </x:c>
      <x:c r="R9" s="22" t="n">
        <x:v>0.78938</x:v>
      </x:c>
      <x:c r="S9" s="22" t="n">
        <x:v>124.9841</x:v>
      </x:c>
      <x:c r="T9" s="22" t="n">
        <x:v>0.33725</x:v>
      </x:c>
      <x:c r="U9" s="22" t="n">
        <x:v>124.99417</x:v>
      </x:c>
      <x:c r="V9" s="22" t="n">
        <x:v>-0.00583</x:v>
      </x:c>
      <x:c r="W9" s="22" t="n">
        <x:v>0.23171</x:v>
      </x:c>
      <x:c r="X9" s="22" t="n">
        <x:v>0.78938</x:v>
      </x:c>
      <x:c r="Y9" s="22" t="n">
        <x:v>0.33725</x:v>
      </x:c>
      <x:c r="Z9" s="22" t="n">
        <x:v>0.88912</x:v>
      </x:c>
      <x:c r="AA9" s="22" t="n">
        <x:v>29.25</x:v>
      </x:c>
      <x:c r="AB9" s="22" t="str">
        <x:v>Y</x:v>
      </x:c>
      <x:c r="AC9" s="22" t="n">
        <x:v>0.26609</x:v>
      </x:c>
      <x:c r="AD9" s="22" t="n">
        <x:v>-146.82</x:v>
      </x:c>
      <x:c r="AE9" s="22" t="n">
        <x:v>0.455</x:v>
      </x:c>
      <x:c r="AF9" s="22" t="n">
        <x:v>4.44</x:v>
      </x:c>
      <x:c r="AG9" s="22" t="n">
        <x:v>0.85828</x:v>
      </x:c>
      <x:c r="AH9" s="22" t="n">
        <x:v>-137.58</x:v>
      </x:c>
      <x:c r="AI9" s="22" t="n">
        <x:v>0.593</x:v>
      </x:c>
      <x:c r="AJ9" s="22" t="n">
        <x:v>2.33</x:v>
      </x:c>
      <x:c r="AK9" s="22" t="n">
        <x:v>0.3371</x:v>
      </x:c>
      <x:c r="AL9" s="22" t="n">
        <x:v>-164.16</x:v>
      </x:c>
      <x:c r="AM9" s="22" t="n">
        <x:v>0.346</x:v>
      </x:c>
      <x:c r="AN9" s="22" t="n">
        <x:v>5.45</x:v>
      </x:c>
      <x:c r="AO9" s="22" t="n">
        <x:v>0.95987</x:v>
      </x:c>
      <x:c r="AP9" s="22" t="n">
        <x:v>2.43</x:v>
      </x:c>
      <x:c r="AQ9" s="22" t="n">
        <x:v>0.2772</x:v>
      </x:c>
      <x:c r="AR9" s="22" t="n">
        <x:v>0.8942</x:v>
      </x:c>
      <x:c r="AS9" s="22" t="n">
        <x:v>0.3512</x:v>
      </x:c>
      <x:c r="AT9" s="22" t="n">
        <x:v>1</x:v>
      </x:c>
    </x:row>
    <x:row r="10">
      <x:c r="A10" s="22" t="str">
        <x:v>GAIN_SWEEP</x:v>
      </x:c>
      <x:c r="B10" s="22" t="n">
        <x:v>3</x:v>
      </x:c>
      <x:c r="C10" s="22" t="n">
        <x:v>1</x:v>
      </x:c>
      <x:c r="D10" s="22" t="n">
        <x:v>125</x:v>
      </x:c>
      <x:c r="E10" s="22" t="n">
        <x:v>12</x:v>
      </x:c>
      <x:c r="F10" s="22" t="n">
        <x:v>125.00708</x:v>
      </x:c>
      <x:c r="G10" s="22" t="n">
        <x:v>0.36617</x:v>
      </x:c>
      <x:c r="H10" s="22" t="n">
        <x:v>25.48</x:v>
      </x:c>
      <x:c r="I10" s="22" t="n">
        <x:v>125.00811</x:v>
      </x:c>
      <x:c r="J10" s="22" t="n">
        <x:v>1.10491</x:v>
      </x:c>
      <x:c r="K10" s="22" t="n">
        <x:v>29.52</x:v>
      </x:c>
      <x:c r="L10" s="22" t="n">
        <x:v>375.01342</x:v>
      </x:c>
      <x:c r="M10" s="22" t="n">
        <x:v>0.61326</x:v>
      </x:c>
      <x:c r="N10" s="22" t="n">
        <x:v>26.18</x:v>
      </x:c>
      <x:c r="O10" s="22" t="n">
        <x:v>125.00708</x:v>
      </x:c>
      <x:c r="P10" s="22" t="n">
        <x:v>0.36617</x:v>
      </x:c>
      <x:c r="Q10" s="22" t="n">
        <x:v>125.00811</x:v>
      </x:c>
      <x:c r="R10" s="22" t="n">
        <x:v>1.10491</x:v>
      </x:c>
      <x:c r="S10" s="22" t="n">
        <x:v>125.01953</x:v>
      </x:c>
      <x:c r="T10" s="22" t="n">
        <x:v>0.41957</x:v>
      </x:c>
      <x:c r="U10" s="22" t="n">
        <x:v>125.00933</x:v>
      </x:c>
      <x:c r="V10" s="22" t="n">
        <x:v>0.00933</x:v>
      </x:c>
      <x:c r="W10" s="22" t="n">
        <x:v>0.36617</x:v>
      </x:c>
      <x:c r="X10" s="22" t="n">
        <x:v>1.10491</x:v>
      </x:c>
      <x:c r="Y10" s="22" t="n">
        <x:v>0.41957</x:v>
      </x:c>
      <x:c r="Z10" s="22" t="n">
        <x:v>1.23731</x:v>
      </x:c>
      <x:c r="AA10" s="22" t="n">
        <x:v>33.45</x:v>
      </x:c>
      <x:c r="AB10" s="22" t="str">
        <x:v>Y</x:v>
      </x:c>
      <x:c r="AC10" s="22" t="n">
        <x:v>0.36782</x:v>
      </x:c>
      <x:c r="AD10" s="22" t="n">
        <x:v>-147.23</x:v>
      </x:c>
      <x:c r="AE10" s="22" t="n">
        <x:v>0.516</x:v>
      </x:c>
      <x:c r="AF10" s="22" t="n">
        <x:v>1.89</x:v>
      </x:c>
      <x:c r="AG10" s="22" t="n">
        <x:v>1.13109</x:v>
      </x:c>
      <x:c r="AH10" s="22" t="n">
        <x:v>-138.24</x:v>
      </x:c>
      <x:c r="AI10" s="22" t="n">
        <x:v>0.657</x:v>
      </x:c>
      <x:c r="AJ10" s="22" t="n">
        <x:v>1.97</x:v>
      </x:c>
      <x:c r="AK10" s="22" t="n">
        <x:v>0.4202</x:v>
      </x:c>
      <x:c r="AL10" s="22" t="n">
        <x:v>-157.63</x:v>
      </x:c>
      <x:c r="AM10" s="22" t="n">
        <x:v>0.375</x:v>
      </x:c>
      <x:c r="AN10" s="22" t="n">
        <x:v>3.86</x:v>
      </x:c>
      <x:c r="AO10" s="22" t="n">
        <x:v>1.26153</x:v>
      </x:c>
      <x:c r="AP10" s="22" t="n">
        <x:v>1.81</x:v>
      </x:c>
      <x:c r="AQ10" s="22" t="n">
        <x:v>0.2916</x:v>
      </x:c>
      <x:c r="AR10" s="22" t="n">
        <x:v>0.8966</x:v>
      </x:c>
      <x:c r="AS10" s="22" t="n">
        <x:v>0.3331</x:v>
      </x:c>
      <x:c r="AT10" s="22" t="n">
        <x:v>1</x:v>
      </x:c>
    </x:row>
    <x:row r="11">
      <x:c r="A11" s="22" t="str">
        <x:v>GAIN_SWEEP</x:v>
      </x:c>
      <x:c r="B11" s="22" t="n">
        <x:v>4</x:v>
      </x:c>
      <x:c r="C11" s="22" t="n">
        <x:v>1</x:v>
      </x:c>
      <x:c r="D11" s="22" t="n">
        <x:v>125</x:v>
      </x:c>
      <x:c r="E11" s="22" t="n">
        <x:v>13</x:v>
      </x:c>
      <x:c r="F11" s="22" t="n">
        <x:v>124.9988</x:v>
      </x:c>
      <x:c r="G11" s="22" t="n">
        <x:v>0.47397</x:v>
      </x:c>
      <x:c r="H11" s="22" t="n">
        <x:v>26.79</x:v>
      </x:c>
      <x:c r="I11" s="22" t="n">
        <x:v>124.99715</x:v>
      </x:c>
      <x:c r="J11" s="22" t="n">
        <x:v>1.44195</x:v>
      </x:c>
      <x:c r="K11" s="22" t="n">
        <x:v>30.86</x:v>
      </x:c>
      <x:c r="L11" s="22" t="n">
        <x:v>375.01138</x:v>
      </x:c>
      <x:c r="M11" s="22" t="n">
        <x:v>0.77296</x:v>
      </x:c>
      <x:c r="N11" s="22" t="n">
        <x:v>27.35</x:v>
      </x:c>
      <x:c r="O11" s="22" t="n">
        <x:v>124.9988</x:v>
      </x:c>
      <x:c r="P11" s="22" t="n">
        <x:v>0.47397</x:v>
      </x:c>
      <x:c r="Q11" s="22" t="n">
        <x:v>124.99715</x:v>
      </x:c>
      <x:c r="R11" s="22" t="n">
        <x:v>1.44195</x:v>
      </x:c>
      <x:c r="S11" s="22" t="n">
        <x:v>125.01504</x:v>
      </x:c>
      <x:c r="T11" s="22" t="n">
        <x:v>0.47777</x:v>
      </x:c>
      <x:c r="U11" s="22" t="n">
        <x:v>124.9989</x:v>
      </x:c>
      <x:c r="V11" s="22" t="n">
        <x:v>-0.0011</x:v>
      </x:c>
      <x:c r="W11" s="22" t="n">
        <x:v>0.47397</x:v>
      </x:c>
      <x:c r="X11" s="22" t="n">
        <x:v>1.44195</x:v>
      </x:c>
      <x:c r="Y11" s="22" t="n">
        <x:v>0.47777</x:v>
      </x:c>
      <x:c r="Z11" s="22" t="n">
        <x:v>1.59126</x:v>
      </x:c>
      <x:c r="AA11" s="22" t="n">
        <x:v>32.72</x:v>
      </x:c>
      <x:c r="AB11" s="22" t="str">
        <x:v>Y</x:v>
      </x:c>
      <x:c r="AC11" s="22" t="n">
        <x:v>0.50899</x:v>
      </x:c>
      <x:c r="AD11" s="22" t="n">
        <x:v>-144.25</x:v>
      </x:c>
      <x:c r="AE11" s="22" t="n">
        <x:v>0.602</x:v>
      </x:c>
      <x:c r="AF11" s="22" t="n">
        <x:v>3.79</x:v>
      </x:c>
      <x:c r="AG11" s="22" t="n">
        <x:v>1.56406</x:v>
      </x:c>
      <x:c r="AH11" s="22" t="n">
        <x:v>-140.7</x:v>
      </x:c>
      <x:c r="AI11" s="22" t="n">
        <x:v>0.717</x:v>
      </x:c>
      <x:c r="AJ11" s="22" t="n">
        <x:v>2.48</x:v>
      </x:c>
      <x:c r="AK11" s="22" t="n">
        <x:v>0.50429</x:v>
      </x:c>
      <x:c r="AL11" s="22" t="n">
        <x:v>-154.29</x:v>
      </x:c>
      <x:c r="AM11" s="22" t="n">
        <x:v>0.355</x:v>
      </x:c>
      <x:c r="AN11" s="22" t="n">
        <x:v>3.63</x:v>
      </x:c>
      <x:c r="AO11" s="22" t="n">
        <x:v>1.72055</x:v>
      </x:c>
      <x:c r="AP11" s="22" t="n">
        <x:v>2.2</x:v>
      </x:c>
      <x:c r="AQ11" s="22" t="n">
        <x:v>0.2958</x:v>
      </x:c>
      <x:c r="AR11" s="22" t="n">
        <x:v>0.909</x:v>
      </x:c>
      <x:c r="AS11" s="22" t="n">
        <x:v>0.2931</x:v>
      </x:c>
      <x:c r="AT11" s="22" t="n">
        <x:v>1</x:v>
      </x:c>
    </x:row>
    <x:row r="12">
      <x:c r="A12" s="22" t="str">
        <x:v>GAIN_SWEEP</x:v>
      </x:c>
      <x:c r="B12" s="22" t="n">
        <x:v>5</x:v>
      </x:c>
      <x:c r="C12" s="22" t="n">
        <x:v>1</x:v>
      </x:c>
      <x:c r="D12" s="22" t="n">
        <x:v>125</x:v>
      </x:c>
      <x:c r="E12" s="22" t="n">
        <x:v>14</x:v>
      </x:c>
      <x:c r="F12" s="22" t="n">
        <x:v>125.00224</x:v>
      </x:c>
      <x:c r="G12" s="22" t="n">
        <x:v>0.61828</x:v>
      </x:c>
      <x:c r="H12" s="22" t="n">
        <x:v>28.14</x:v>
      </x:c>
      <x:c r="I12" s="22" t="n">
        <x:v>125.00176</x:v>
      </x:c>
      <x:c r="J12" s="22" t="n">
        <x:v>1.86641</x:v>
      </x:c>
      <x:c r="K12" s="22" t="n">
        <x:v>32.33</x:v>
      </x:c>
      <x:c r="L12" s="22" t="n">
        <x:v>375.00616</x:v>
      </x:c>
      <x:c r="M12" s="22" t="n">
        <x:v>0.90241</x:v>
      </x:c>
      <x:c r="N12" s="22" t="n">
        <x:v>27.72</x:v>
      </x:c>
      <x:c r="O12" s="22" t="n">
        <x:v>125.00224</x:v>
      </x:c>
      <x:c r="P12" s="22" t="n">
        <x:v>0.61828</x:v>
      </x:c>
      <x:c r="Q12" s="22" t="n">
        <x:v>125.00176</x:v>
      </x:c>
      <x:c r="R12" s="22" t="n">
        <x:v>1.86641</x:v>
      </x:c>
      <x:c r="S12" s="22" t="n">
        <x:v>125.01179</x:v>
      </x:c>
      <x:c r="T12" s="22" t="n">
        <x:v>0.57122</x:v>
      </x:c>
      <x:c r="U12" s="22" t="n">
        <x:v>125.00259</x:v>
      </x:c>
      <x:c r="V12" s="22" t="n">
        <x:v>0.00259</x:v>
      </x:c>
      <x:c r="W12" s="22" t="n">
        <x:v>0.61828</x:v>
      </x:c>
      <x:c r="X12" s="22" t="n">
        <x:v>1.86641</x:v>
      </x:c>
      <x:c r="Y12" s="22" t="n">
        <x:v>0.57122</x:v>
      </x:c>
      <x:c r="Z12" s="22" t="n">
        <x:v>2.04745</x:v>
      </x:c>
      <x:c r="AA12" s="22" t="n">
        <x:v>38.22</x:v>
      </x:c>
      <x:c r="AB12" s="22" t="str">
        <x:v>Y</x:v>
      </x:c>
      <x:c r="AC12" s="22" t="n">
        <x:v>0.63429</x:v>
      </x:c>
      <x:c r="AD12" s="22" t="n">
        <x:v>-144.8</x:v>
      </x:c>
      <x:c r="AE12" s="22" t="n">
        <x:v>0.64</x:v>
      </x:c>
      <x:c r="AF12" s="22" t="n">
        <x:v>1.62</x:v>
      </x:c>
      <x:c r="AG12" s="22" t="n">
        <x:v>1.87806</x:v>
      </x:c>
      <x:c r="AH12" s="22" t="n">
        <x:v>-139.88</x:v>
      </x:c>
      <x:c r="AI12" s="22" t="n">
        <x:v>0.754</x:v>
      </x:c>
      <x:c r="AJ12" s="22" t="n">
        <x:v>0.42</x:v>
      </x:c>
      <x:c r="AK12" s="22" t="n">
        <x:v>0.5902</x:v>
      </x:c>
      <x:c r="AL12" s="22" t="n">
        <x:v>-153.18</x:v>
      </x:c>
      <x:c r="AM12" s="22" t="n">
        <x:v>0.368</x:v>
      </x:c>
      <x:c r="AN12" s="22" t="n">
        <x:v>2.15</x:v>
      </x:c>
      <x:c r="AO12" s="22" t="n">
        <x:v>2.06833</x:v>
      </x:c>
      <x:c r="AP12" s="22" t="n">
        <x:v>0.32</x:v>
      </x:c>
      <x:c r="AQ12" s="22" t="n">
        <x:v>0.3067</x:v>
      </x:c>
      <x:c r="AR12" s="22" t="n">
        <x:v>0.908</x:v>
      </x:c>
      <x:c r="AS12" s="22" t="n">
        <x:v>0.2854</x:v>
      </x:c>
      <x:c r="AT12" s="22" t="n">
        <x:v>1</x:v>
      </x:c>
    </x:row>
    <x:row r="13">
      <x:c r="A13" s="22" t="str">
        <x:v>GAIN_SWEEP</x:v>
      </x:c>
      <x:c r="B13" s="22" t="n">
        <x:v>6</x:v>
      </x:c>
      <x:c r="C13" s="22" t="n">
        <x:v>1</x:v>
      </x:c>
      <x:c r="D13" s="22" t="n">
        <x:v>125</x:v>
      </x:c>
      <x:c r="E13" s="22" t="n">
        <x:v>15</x:v>
      </x:c>
      <x:c r="F13" s="22" t="n">
        <x:v>124.99581</x:v>
      </x:c>
      <x:c r="G13" s="22" t="n">
        <x:v>0.77194</x:v>
      </x:c>
      <x:c r="H13" s="22" t="n">
        <x:v>29.1</x:v>
      </x:c>
      <x:c r="I13" s="22" t="n">
        <x:v>124.99794</x:v>
      </x:c>
      <x:c r="J13" s="22" t="n">
        <x:v>2.21858</x:v>
      </x:c>
      <x:c r="K13" s="22" t="n">
        <x:v>32.58</x:v>
      </x:c>
      <x:c r="L13" s="22" t="n">
        <x:v>374.97934</x:v>
      </x:c>
      <x:c r="M13" s="22" t="n">
        <x:v>1.00457</x:v>
      </x:c>
      <x:c r="N13" s="22" t="n">
        <x:v>27.96</x:v>
      </x:c>
      <x:c r="O13" s="22" t="n">
        <x:v>124.99581</x:v>
      </x:c>
      <x:c r="P13" s="22" t="n">
        <x:v>0.77194</x:v>
      </x:c>
      <x:c r="Q13" s="22" t="n">
        <x:v>124.99794</x:v>
      </x:c>
      <x:c r="R13" s="22" t="n">
        <x:v>2.21858</x:v>
      </x:c>
      <x:c r="S13" s="22" t="n">
        <x:v>124.98869</x:v>
      </x:c>
      <x:c r="T13" s="22" t="n">
        <x:v>0.6877</x:v>
      </x:c>
      <x:c r="U13" s="22" t="n">
        <x:v>124.997</x:v>
      </x:c>
      <x:c r="V13" s="22" t="n">
        <x:v>-0.003</x:v>
      </x:c>
      <x:c r="W13" s="22" t="n">
        <x:v>0.77194</x:v>
      </x:c>
      <x:c r="X13" s="22" t="n">
        <x:v>2.21858</x:v>
      </x:c>
      <x:c r="Y13" s="22" t="n">
        <x:v>0.6877</x:v>
      </x:c>
      <x:c r="Z13" s="22" t="n">
        <x:v>2.44764</x:v>
      </x:c>
      <x:c r="AA13" s="22" t="n">
        <x:v>39.08</x:v>
      </x:c>
      <x:c r="AB13" s="22" t="str">
        <x:v>Y</x:v>
      </x:c>
      <x:c r="AC13" s="22" t="n">
        <x:v>0.79395</x:v>
      </x:c>
      <x:c r="AD13" s="22" t="n">
        <x:v>-144.34</x:v>
      </x:c>
      <x:c r="AE13" s="22" t="n">
        <x:v>0.685</x:v>
      </x:c>
      <x:c r="AF13" s="22" t="n">
        <x:v>1.03</x:v>
      </x:c>
      <x:c r="AG13" s="22" t="n">
        <x:v>2.26703</x:v>
      </x:c>
      <x:c r="AH13" s="22" t="n">
        <x:v>-139.3</x:v>
      </x:c>
      <x:c r="AI13" s="22" t="n">
        <x:v>0.771</x:v>
      </x:c>
      <x:c r="AJ13" s="22" t="n">
        <x:v>1.74</x:v>
      </x:c>
      <x:c r="AK13" s="22" t="n">
        <x:v>0.70313</x:v>
      </x:c>
      <x:c r="AL13" s="22" t="n">
        <x:v>-151.89</x:v>
      </x:c>
      <x:c r="AM13" s="22" t="n">
        <x:v>0.386</x:v>
      </x:c>
      <x:c r="AN13" s="22" t="n">
        <x:v>3.64</x:v>
      </x:c>
      <x:c r="AO13" s="22" t="n">
        <x:v>2.50293</x:v>
      </x:c>
      <x:c r="AP13" s="22" t="n">
        <x:v>1.61</x:v>
      </x:c>
      <x:c r="AQ13" s="22" t="n">
        <x:v>0.3172</x:v>
      </x:c>
      <x:c r="AR13" s="22" t="n">
        <x:v>0.9057</x:v>
      </x:c>
      <x:c r="AS13" s="22" t="n">
        <x:v>0.2809</x:v>
      </x:c>
      <x:c r="AT13" s="22" t="n">
        <x:v>1</x:v>
      </x:c>
    </x:row>
    <x:row r="14">
      <x:c r="A14" s="22" t="str">
        <x:v>GAIN_SWEEP</x:v>
      </x:c>
      <x:c r="B14" s="22" t="n">
        <x:v>1</x:v>
      </x:c>
      <x:c r="C14" s="22" t="n">
        <x:v>1</x:v>
      </x:c>
      <x:c r="D14" s="22" t="n">
        <x:v>150</x:v>
      </x:c>
      <x:c r="E14" s="22" t="n">
        <x:v>10</x:v>
      </x:c>
      <x:c r="F14" s="22" t="n">
        <x:v>168.30547</x:v>
      </x:c>
      <x:c r="G14" s="22" t="n">
        <x:v>0.10174</x:v>
      </x:c>
      <x:c r="H14" s="22" t="n">
        <x:v>16.06</x:v>
      </x:c>
      <x:c r="I14" s="22" t="n">
        <x:v>295.20005</x:v>
      </x:c>
      <x:c r="J14" s="22" t="n">
        <x:v>0.27097</x:v>
      </x:c>
      <x:c r="K14" s="22" t="n">
        <x:v>20.95</x:v>
      </x:c>
      <x:c r="L14" s="22" t="n">
        <x:v>613.54809</x:v>
      </x:c>
      <x:c r="M14" s="22" t="n">
        <x:v>0.15291</x:v>
      </x:c>
      <x:c r="N14" s="22" t="n">
        <x:v>18.02</x:v>
      </x:c>
      <x:c r="O14" s="22" t="n">
        <x:v>150.00126</x:v>
      </x:c>
      <x:c r="P14" s="22" t="n">
        <x:v>0.02293</x:v>
      </x:c>
      <x:c r="Q14" s="22" t="n">
        <x:v>149.99279</x:v>
      </x:c>
      <x:c r="R14" s="22" t="n">
        <x:v>0.12444</x:v>
      </x:c>
      <x:c r="S14" s="22" t="n">
        <x:v>150.02011</x:v>
      </x:c>
      <x:c r="T14" s="22" t="n">
        <x:v>0.1367</x:v>
      </x:c>
      <x:c r="U14" s="22" t="n">
        <x:v>150.00767</x:v>
      </x:c>
      <x:c r="V14" s="22" t="n">
        <x:v>0.00767</x:v>
      </x:c>
      <x:c r="W14" s="22" t="n">
        <x:v>0.02293</x:v>
      </x:c>
      <x:c r="X14" s="22" t="n">
        <x:v>0.12444</x:v>
      </x:c>
      <x:c r="Y14" s="22" t="n">
        <x:v>0.1367</x:v>
      </x:c>
      <x:c r="Z14" s="22" t="n">
        <x:v>0.18627</x:v>
      </x:c>
      <x:c r="AA14" s="22" t="n">
        <x:v>17.4</x:v>
      </x:c>
      <x:c r="AB14" s="22" t="str">
        <x:v>Z</x:v>
      </x:c>
      <x:c r="AC14" s="22" t="n">
        <x:v>0.02435</x:v>
      </x:c>
      <x:c r="AD14" s="22" t="n">
        <x:v>-106.7</x:v>
      </x:c>
      <x:c r="AE14" s="22" t="n">
        <x:v>0.054</x:v>
      </x:c>
      <x:c r="AF14" s="22" t="n">
        <x:v>53.49</x:v>
      </x:c>
      <x:c r="AG14" s="22" t="n">
        <x:v>0.10561</x:v>
      </x:c>
      <x:c r="AH14" s="22" t="n">
        <x:v>-91.48</x:v>
      </x:c>
      <x:c r="AI14" s="22" t="n">
        <x:v>0.146</x:v>
      </x:c>
      <x:c r="AJ14" s="22" t="n">
        <x:v>14.47</x:v>
      </x:c>
      <x:c r="AK14" s="22" t="n">
        <x:v>0.14192</x:v>
      </x:c>
      <x:c r="AL14" s="22" t="n">
        <x:v>-115.9</x:v>
      </x:c>
      <x:c r="AM14" s="22" t="n">
        <x:v>0.269</x:v>
      </x:c>
      <x:c r="AN14" s="22" t="n">
        <x:v>5.35</x:v>
      </x:c>
      <x:c r="AO14" s="22" t="n">
        <x:v>0.17939</x:v>
      </x:c>
      <x:c r="AP14" s="22" t="n">
        <x:v>5.38</x:v>
      </x:c>
      <x:c r="AQ14" s="22" t="n">
        <x:v>0.1357</x:v>
      </x:c>
      <x:c r="AR14" s="22" t="n">
        <x:v>0.5887</x:v>
      </x:c>
      <x:c r="AS14" s="22" t="n">
        <x:v>0.7911</x:v>
      </x:c>
      <x:c r="AT14" s="22" t="n">
        <x:v>1</x:v>
      </x:c>
    </x:row>
    <x:row r="15">
      <x:c r="A15" s="22" t="str">
        <x:v>GAIN_SWEEP</x:v>
      </x:c>
      <x:c r="B15" s="22" t="n">
        <x:v>2</x:v>
      </x:c>
      <x:c r="C15" s="22" t="n">
        <x:v>1</x:v>
      </x:c>
      <x:c r="D15" s="22" t="n">
        <x:v>150</x:v>
      </x:c>
      <x:c r="E15" s="22" t="n">
        <x:v>11</x:v>
      </x:c>
      <x:c r="F15" s="22" t="n">
        <x:v>431.90171</x:v>
      </x:c>
      <x:c r="G15" s="22" t="n">
        <x:v>0.07222</x:v>
      </x:c>
      <x:c r="H15" s="22" t="n">
        <x:v>14.74</x:v>
      </x:c>
      <x:c r="I15" s="22" t="n">
        <x:v>695.60052</x:v>
      </x:c>
      <x:c r="J15" s="22" t="n">
        <x:v>0.15785</x:v>
      </x:c>
      <x:c r="K15" s="22" t="n">
        <x:v>16.65</x:v>
      </x:c>
      <x:c r="L15" s="22" t="n">
        <x:v>149.97673</x:v>
      </x:c>
      <x:c r="M15" s="22" t="n">
        <x:v>0.17519</x:v>
      </x:c>
      <x:c r="N15" s="22" t="n">
        <x:v>18.91</x:v>
      </x:c>
      <x:c r="O15" s="22" t="n">
        <x:v>149.92954</x:v>
      </x:c>
      <x:c r="P15" s="22" t="n">
        <x:v>0.02208</x:v>
      </x:c>
      <x:c r="Q15" s="22" t="n">
        <x:v>150.02682</x:v>
      </x:c>
      <x:c r="R15" s="22" t="n">
        <x:v>0.12548</x:v>
      </x:c>
      <x:c r="S15" s="22" t="n">
        <x:v>149.97673</x:v>
      </x:c>
      <x:c r="T15" s="22" t="n">
        <x:v>0.17519</x:v>
      </x:c>
      <x:c r="U15" s="22" t="n">
        <x:v>149.99303</x:v>
      </x:c>
      <x:c r="V15" s="22" t="n">
        <x:v>-0.00697</x:v>
      </x:c>
      <x:c r="W15" s="22" t="n">
        <x:v>0.02208</x:v>
      </x:c>
      <x:c r="X15" s="22" t="n">
        <x:v>0.12548</x:v>
      </x:c>
      <x:c r="Y15" s="22" t="n">
        <x:v>0.17519</x:v>
      </x:c>
      <x:c r="Z15" s="22" t="n">
        <x:v>0.21662</x:v>
      </x:c>
      <x:c r="AA15" s="22" t="n">
        <x:v>18.66</x:v>
      </x:c>
      <x:c r="AB15" s="22" t="str">
        <x:v>Z</x:v>
      </x:c>
      <x:c r="AC15" s="22" t="n">
        <x:v>0.02371</x:v>
      </x:c>
      <x:c r="AD15" s="22" t="n">
        <x:v>-88.69</x:v>
      </x:c>
      <x:c r="AE15" s="22" t="n">
        <x:v>0.067</x:v>
      </x:c>
      <x:c r="AF15" s="22" t="n">
        <x:v>10.73</x:v>
      </x:c>
      <x:c r="AG15" s="22" t="n">
        <x:v>0.12261</x:v>
      </x:c>
      <x:c r="AH15" s="22" t="n">
        <x:v>-89.19</x:v>
      </x:c>
      <x:c r="AI15" s="22" t="n">
        <x:v>0.189</x:v>
      </x:c>
      <x:c r="AJ15" s="22" t="n">
        <x:v>13.82</x:v>
      </x:c>
      <x:c r="AK15" s="22" t="n">
        <x:v>0.16514</x:v>
      </x:c>
      <x:c r="AL15" s="22" t="n">
        <x:v>-113.63</x:v>
      </x:c>
      <x:c r="AM15" s="22" t="n">
        <x:v>0.323</x:v>
      </x:c>
      <x:c r="AN15" s="22" t="n">
        <x:v>7.73</x:v>
      </x:c>
      <x:c r="AO15" s="22" t="n">
        <x:v>0.20766</x:v>
      </x:c>
      <x:c r="AP15" s="22" t="n">
        <x:v>5.65</x:v>
      </x:c>
      <x:c r="AQ15" s="22" t="n">
        <x:v>0.1142</x:v>
      </x:c>
      <x:c r="AR15" s="22" t="n">
        <x:v>0.5905</x:v>
      </x:c>
      <x:c r="AS15" s="22" t="n">
        <x:v>0.7952</x:v>
      </x:c>
      <x:c r="AT15" s="22" t="n">
        <x:v>1</x:v>
      </x:c>
    </x:row>
    <x:row r="16">
      <x:c r="A16" s="22" t="str">
        <x:v>GAIN_SWEEP</x:v>
      </x:c>
      <x:c r="B16" s="22" t="n">
        <x:v>3</x:v>
      </x:c>
      <x:c r="C16" s="22" t="n">
        <x:v>1</x:v>
      </x:c>
      <x:c r="D16" s="22" t="n">
        <x:v>150</x:v>
      </x:c>
      <x:c r="E16" s="22" t="n">
        <x:v>12</x:v>
      </x:c>
      <x:c r="F16" s="22" t="n">
        <x:v>168.2378</x:v>
      </x:c>
      <x:c r="G16" s="22" t="n">
        <x:v>0.10856</x:v>
      </x:c>
      <x:c r="H16" s="22" t="n">
        <x:v>17.43</x:v>
      </x:c>
      <x:c r="I16" s="22" t="n">
        <x:v>713.7503</x:v>
      </x:c>
      <x:c r="J16" s="22" t="n">
        <x:v>0.21481</x:v>
      </x:c>
      <x:c r="K16" s="22" t="n">
        <x:v>19.27</x:v>
      </x:c>
      <x:c r="L16" s="22" t="n">
        <x:v>150.00235</x:v>
      </x:c>
      <x:c r="M16" s="22" t="n">
        <x:v>0.2006</x:v>
      </x:c>
      <x:c r="N16" s="22" t="n">
        <x:v>20.61</x:v>
      </x:c>
      <x:c r="O16" s="22" t="n">
        <x:v>154.76341</x:v>
      </x:c>
      <x:c r="P16" s="22" t="n">
        <x:v>0.01663</x:v>
      </x:c>
      <x:c r="Q16" s="22" t="n">
        <x:v>150.00875</x:v>
      </x:c>
      <x:c r="R16" s="22" t="n">
        <x:v>0.13953</x:v>
      </x:c>
      <x:c r="S16" s="22" t="n">
        <x:v>150.00235</x:v>
      </x:c>
      <x:c r="T16" s="22" t="n">
        <x:v>0.2006</x:v>
      </x:c>
      <x:c r="U16" s="22" t="n">
        <x:v>150.00252</x:v>
      </x:c>
      <x:c r="V16" s="22" t="n">
        <x:v>0.00252</x:v>
      </x:c>
      <x:c r="W16" s="22" t="n">
        <x:v>0.01623</x:v>
      </x:c>
      <x:c r="X16" s="22" t="n">
        <x:v>0.13953</x:v>
      </x:c>
      <x:c r="Y16" s="22" t="n">
        <x:v>0.2006</x:v>
      </x:c>
      <x:c r="Z16" s="22" t="n">
        <x:v>0.24489</x:v>
      </x:c>
      <x:c r="AA16" s="22" t="n">
        <x:v>18.61</x:v>
      </x:c>
      <x:c r="AB16" s="22" t="str">
        <x:v>Z</x:v>
      </x:c>
      <x:c r="AC16" s="22" t="n">
        <x:v>0.03756</x:v>
      </x:c>
      <x:c r="AD16" s="22" t="n">
        <x:v>-103.49</x:v>
      </x:c>
      <x:c r="AE16" s="22" t="n">
        <x:v>0.09</x:v>
      </x:c>
      <x:c r="AF16" s="22" t="n">
        <x:v>38.05</x:v>
      </x:c>
      <x:c r="AG16" s="22" t="n">
        <x:v>0.13965</x:v>
      </x:c>
      <x:c r="AH16" s="22" t="n">
        <x:v>-88.25</x:v>
      </x:c>
      <x:c r="AI16" s="22" t="n">
        <x:v>0.196</x:v>
      </x:c>
      <x:c r="AJ16" s="22" t="n">
        <x:v>24.89</x:v>
      </x:c>
      <x:c r="AK16" s="22" t="n">
        <x:v>0.18543</x:v>
      </x:c>
      <x:c r="AL16" s="22" t="n">
        <x:v>-115.62</x:v>
      </x:c>
      <x:c r="AM16" s="22" t="n">
        <x:v>0.37</x:v>
      </x:c>
      <x:c r="AN16" s="22" t="n">
        <x:v>4.27</x:v>
      </x:c>
      <x:c r="AO16" s="22" t="n">
        <x:v>0.23703</x:v>
      </x:c>
      <x:c r="AP16" s="22" t="n">
        <x:v>8.08</x:v>
      </x:c>
      <x:c r="AQ16" s="22" t="n">
        <x:v>0.1585</x:v>
      </x:c>
      <x:c r="AR16" s="22" t="n">
        <x:v>0.5892</x:v>
      </x:c>
      <x:c r="AS16" s="22" t="n">
        <x:v>0.7823</x:v>
      </x:c>
      <x:c r="AT16" s="22" t="n">
        <x:v>1</x:v>
      </x:c>
    </x:row>
    <x:row r="17">
      <x:c r="A17" s="22" t="str">
        <x:v>GAIN_SWEEP</x:v>
      </x:c>
      <x:c r="B17" s="22" t="n">
        <x:v>4</x:v>
      </x:c>
      <x:c r="C17" s="22" t="n">
        <x:v>1</x:v>
      </x:c>
      <x:c r="D17" s="22" t="n">
        <x:v>150</x:v>
      </x:c>
      <x:c r="E17" s="22" t="n">
        <x:v>13</x:v>
      </x:c>
      <x:c r="F17" s="22" t="n">
        <x:v>450.04259</x:v>
      </x:c>
      <x:c r="G17" s="22" t="n">
        <x:v>0.14667</x:v>
      </x:c>
      <x:c r="H17" s="22" t="n">
        <x:v>19.11</x:v>
      </x:c>
      <x:c r="I17" s="22" t="n">
        <x:v>449.99805</x:v>
      </x:c>
      <x:c r="J17" s="22" t="n">
        <x:v>0.61675</x:v>
      </x:c>
      <x:c r="K17" s="22" t="n">
        <x:v>26.46</x:v>
      </x:c>
      <x:c r="L17" s="22" t="n">
        <x:v>149.99613</x:v>
      </x:c>
      <x:c r="M17" s="22" t="n">
        <x:v>0.54893</x:v>
      </x:c>
      <x:c r="N17" s="22" t="n">
        <x:v>28.27</x:v>
      </x:c>
      <x:c r="O17" s="22" t="n">
        <x:v>149.9764</x:v>
      </x:c>
      <x:c r="P17" s="22" t="n">
        <x:v>0.14433</x:v>
      </x:c>
      <x:c r="Q17" s="22" t="n">
        <x:v>149.99213</x:v>
      </x:c>
      <x:c r="R17" s="22" t="n">
        <x:v>0.55058</x:v>
      </x:c>
      <x:c r="S17" s="22" t="n">
        <x:v>149.99613</x:v>
      </x:c>
      <x:c r="T17" s="22" t="n">
        <x:v>0.54893</x:v>
      </x:c>
      <x:c r="U17" s="22" t="n">
        <x:v>149.99353</x:v>
      </x:c>
      <x:c r="V17" s="22" t="n">
        <x:v>-0.00647</x:v>
      </x:c>
      <x:c r="W17" s="22" t="n">
        <x:v>0.14433</x:v>
      </x:c>
      <x:c r="X17" s="22" t="n">
        <x:v>0.55058</x:v>
      </x:c>
      <x:c r="Y17" s="22" t="n">
        <x:v>0.54893</x:v>
      </x:c>
      <x:c r="Z17" s="22" t="n">
        <x:v>0.79075</x:v>
      </x:c>
      <x:c r="AA17" s="22" t="n">
        <x:v>30.8</x:v>
      </x:c>
      <x:c r="AB17" s="22" t="str">
        <x:v>Y</x:v>
      </x:c>
      <x:c r="AC17" s="22" t="n">
        <x:v>0.15517</x:v>
      </x:c>
      <x:c r="AD17" s="22" t="n">
        <x:v>-161.38</x:v>
      </x:c>
      <x:c r="AE17" s="22" t="n">
        <x:v>0.323</x:v>
      </x:c>
      <x:c r="AF17" s="22" t="n">
        <x:v>7.55</x:v>
      </x:c>
      <x:c r="AG17" s="22" t="n">
        <x:v>0.57488</x:v>
      </x:c>
      <x:c r="AH17" s="22" t="n">
        <x:v>-149.12</x:v>
      </x:c>
      <x:c r="AI17" s="22" t="n">
        <x:v>0.482</x:v>
      </x:c>
      <x:c r="AJ17" s="22" t="n">
        <x:v>3.7</x:v>
      </x:c>
      <x:c r="AK17" s="22" t="n">
        <x:v>0.58432</x:v>
      </x:c>
      <x:c r="AL17" s="22" t="n">
        <x:v>-162.4</x:v>
      </x:c>
      <x:c r="AM17" s="22" t="n">
        <x:v>0.686</x:v>
      </x:c>
      <x:c r="AN17" s="22" t="n">
        <x:v>3.66</x:v>
      </x:c>
      <x:c r="AO17" s="22" t="n">
        <x:v>0.83458</x:v>
      </x:c>
      <x:c r="AP17" s="22" t="n">
        <x:v>2.38</x:v>
      </x:c>
      <x:c r="AQ17" s="22" t="n">
        <x:v>0.1859</x:v>
      </x:c>
      <x:c r="AR17" s="22" t="n">
        <x:v>0.6888</x:v>
      </x:c>
      <x:c r="AS17" s="22" t="n">
        <x:v>0.7001</x:v>
      </x:c>
      <x:c r="AT17" s="22" t="n">
        <x:v>1</x:v>
      </x:c>
    </x:row>
    <x:row r="18">
      <x:c r="A18" s="22" t="str">
        <x:v>GAIN_SWEEP</x:v>
      </x:c>
      <x:c r="B18" s="22" t="n">
        <x:v>5</x:v>
      </x:c>
      <x:c r="C18" s="22" t="n">
        <x:v>1</x:v>
      </x:c>
      <x:c r="D18" s="22" t="n">
        <x:v>150</x:v>
      </x:c>
      <x:c r="E18" s="22" t="n">
        <x:v>14</x:v>
      </x:c>
      <x:c r="F18" s="22" t="n">
        <x:v>149.99226</x:v>
      </x:c>
      <x:c r="G18" s="22" t="n">
        <x:v>0.23174</x:v>
      </x:c>
      <x:c r="H18" s="22" t="n">
        <x:v>22.25</x:v>
      </x:c>
      <x:c r="I18" s="22" t="n">
        <x:v>150.00513</x:v>
      </x:c>
      <x:c r="J18" s="22" t="n">
        <x:v>0.75896</x:v>
      </x:c>
      <x:c r="K18" s="22" t="n">
        <x:v>27.49</x:v>
      </x:c>
      <x:c r="L18" s="22" t="n">
        <x:v>150.01628</x:v>
      </x:c>
      <x:c r="M18" s="22" t="n">
        <x:v>0.71203</x:v>
      </x:c>
      <x:c r="N18" s="22" t="n">
        <x:v>29.32</x:v>
      </x:c>
      <x:c r="O18" s="22" t="n">
        <x:v>149.99226</x:v>
      </x:c>
      <x:c r="P18" s="22" t="n">
        <x:v>0.23174</x:v>
      </x:c>
      <x:c r="Q18" s="22" t="n">
        <x:v>150.00513</x:v>
      </x:c>
      <x:c r="R18" s="22" t="n">
        <x:v>0.75896</x:v>
      </x:c>
      <x:c r="S18" s="22" t="n">
        <x:v>150.01628</x:v>
      </x:c>
      <x:c r="T18" s="22" t="n">
        <x:v>0.71203</x:v>
      </x:c>
      <x:c r="U18" s="22" t="n">
        <x:v>150.00949</x:v>
      </x:c>
      <x:c r="V18" s="22" t="n">
        <x:v>0.00949</x:v>
      </x:c>
      <x:c r="W18" s="22" t="n">
        <x:v>0.23174</x:v>
      </x:c>
      <x:c r="X18" s="22" t="n">
        <x:v>0.75896</x:v>
      </x:c>
      <x:c r="Y18" s="22" t="n">
        <x:v>0.71203</x:v>
      </x:c>
      <x:c r="Z18" s="22" t="n">
        <x:v>1.06616</x:v>
      </x:c>
      <x:c r="AA18" s="22" t="n">
        <x:v>33.01</x:v>
      </x:c>
      <x:c r="AB18" s="22" t="str">
        <x:v>Y</x:v>
      </x:c>
      <x:c r="AC18" s="22" t="n">
        <x:v>0.2403</x:v>
      </x:c>
      <x:c r="AD18" s="22" t="n">
        <x:v>-165.3</x:v>
      </x:c>
      <x:c r="AE18" s="22" t="n">
        <x:v>0.449</x:v>
      </x:c>
      <x:c r="AF18" s="22" t="n">
        <x:v>2.71</x:v>
      </x:c>
      <x:c r="AG18" s="22" t="n">
        <x:v>0.76388</x:v>
      </x:c>
      <x:c r="AH18" s="22" t="n">
        <x:v>-152.3</x:v>
      </x:c>
      <x:c r="AI18" s="22" t="n">
        <x:v>0.597</x:v>
      </x:c>
      <x:c r="AJ18" s="22" t="n">
        <x:v>1.39</x:v>
      </x:c>
      <x:c r="AK18" s="22" t="n">
        <x:v>0.71499</x:v>
      </x:c>
      <x:c r="AL18" s="22" t="n">
        <x:v>-161.16</x:v>
      </x:c>
      <x:c r="AM18" s="22" t="n">
        <x:v>0.705</x:v>
      </x:c>
      <x:c r="AN18" s="22" t="n">
        <x:v>3.19</x:v>
      </x:c>
      <x:c r="AO18" s="22" t="n">
        <x:v>1.07367</x:v>
      </x:c>
      <x:c r="AP18" s="22" t="n">
        <x:v>1.63</x:v>
      </x:c>
      <x:c r="AQ18" s="22" t="n">
        <x:v>0.2238</x:v>
      </x:c>
      <x:c r="AR18" s="22" t="n">
        <x:v>0.7115</x:v>
      </x:c>
      <x:c r="AS18" s="22" t="n">
        <x:v>0.6659</x:v>
      </x:c>
      <x:c r="AT18" s="22" t="n">
        <x:v>1</x:v>
      </x:c>
    </x:row>
    <x:row r="19">
      <x:c r="A19" s="22" t="str">
        <x:v>GAIN_SWEEP</x:v>
      </x:c>
      <x:c r="B19" s="22" t="n">
        <x:v>6</x:v>
      </x:c>
      <x:c r="C19" s="22" t="n">
        <x:v>1</x:v>
      </x:c>
      <x:c r="D19" s="22" t="n">
        <x:v>150</x:v>
      </x:c>
      <x:c r="E19" s="22" t="n">
        <x:v>15</x:v>
      </x:c>
      <x:c r="F19" s="22" t="n">
        <x:v>150.01063</x:v>
      </x:c>
      <x:c r="G19" s="22" t="n">
        <x:v>0.31012</x:v>
      </x:c>
      <x:c r="H19" s="22" t="n">
        <x:v>24.67</x:v>
      </x:c>
      <x:c r="I19" s="22" t="n">
        <x:v>149.9967</x:v>
      </x:c>
      <x:c r="J19" s="22" t="n">
        <x:v>0.91985</x:v>
      </x:c>
      <x:c r="K19" s="22" t="n">
        <x:v>28.76</x:v>
      </x:c>
      <x:c r="L19" s="22" t="n">
        <x:v>150.00142</x:v>
      </x:c>
      <x:c r="M19" s="22" t="n">
        <x:v>0.79072</x:v>
      </x:c>
      <x:c r="N19" s="22" t="n">
        <x:v>29.67</x:v>
      </x:c>
      <x:c r="O19" s="22" t="n">
        <x:v>150.01063</x:v>
      </x:c>
      <x:c r="P19" s="22" t="n">
        <x:v>0.31012</x:v>
      </x:c>
      <x:c r="Q19" s="22" t="n">
        <x:v>149.9967</x:v>
      </x:c>
      <x:c r="R19" s="22" t="n">
        <x:v>0.91985</x:v>
      </x:c>
      <x:c r="S19" s="22" t="n">
        <x:v>150.00142</x:v>
      </x:c>
      <x:c r="T19" s="22" t="n">
        <x:v>0.79072</x:v>
      </x:c>
      <x:c r="U19" s="22" t="n">
        <x:v>149.99944</x:v>
      </x:c>
      <x:c r="V19" s="22" t="n">
        <x:v>-0.00056</x:v>
      </x:c>
      <x:c r="W19" s="22" t="n">
        <x:v>0.31012</x:v>
      </x:c>
      <x:c r="X19" s="22" t="n">
        <x:v>0.91985</x:v>
      </x:c>
      <x:c r="Y19" s="22" t="n">
        <x:v>0.79072</x:v>
      </x:c>
      <x:c r="Z19" s="22" t="n">
        <x:v>1.25202</x:v>
      </x:c>
      <x:c r="AA19" s="22" t="n">
        <x:v>33.05</x:v>
      </x:c>
      <x:c r="AB19" s="22" t="str">
        <x:v>Y</x:v>
      </x:c>
      <x:c r="AC19" s="22" t="n">
        <x:v>0.30715</x:v>
      </x:c>
      <x:c r="AD19" s="22" t="n">
        <x:v>-169.05</x:v>
      </x:c>
      <x:c r="AE19" s="22" t="n">
        <x:v>0.52</x:v>
      </x:c>
      <x:c r="AF19" s="22" t="n">
        <x:v>5.23</x:v>
      </x:c>
      <x:c r="AG19" s="22" t="n">
        <x:v>0.92824</x:v>
      </x:c>
      <x:c r="AH19" s="22" t="n">
        <x:v>-154.24</x:v>
      </x:c>
      <x:c r="AI19" s="22" t="n">
        <x:v>0.652</x:v>
      </x:c>
      <x:c r="AJ19" s="22" t="n">
        <x:v>1.94</x:v>
      </x:c>
      <x:c r="AK19" s="22" t="n">
        <x:v>0.80842</x:v>
      </x:c>
      <x:c r="AL19" s="22" t="n">
        <x:v>-158.83</x:v>
      </x:c>
      <x:c r="AM19" s="22" t="n">
        <x:v>0.722</x:v>
      </x:c>
      <x:c r="AN19" s="22" t="n">
        <x:v>1.53</x:v>
      </x:c>
      <x:c r="AO19" s="22" t="n">
        <x:v>1.26878</x:v>
      </x:c>
      <x:c r="AP19" s="22" t="n">
        <x:v>1.55</x:v>
      </x:c>
      <x:c r="AQ19" s="22" t="n">
        <x:v>0.2421</x:v>
      </x:c>
      <x:c r="AR19" s="22" t="n">
        <x:v>0.7316</x:v>
      </x:c>
      <x:c r="AS19" s="22" t="n">
        <x:v>0.6372</x:v>
      </x:c>
      <x:c r="AT19" s="22" t="n">
        <x:v>1</x:v>
      </x:c>
    </x:row>
    <x:row r="20">
      <x:c r="A20" s="22" t="str">
        <x:v>GAIN_SWEEP</x:v>
      </x:c>
      <x:c r="B20" s="22" t="n">
        <x:v>1</x:v>
      </x:c>
      <x:c r="C20" s="22" t="n">
        <x:v>1</x:v>
      </x:c>
      <x:c r="D20" s="22" t="n">
        <x:v>175</x:v>
      </x:c>
      <x:c r="E20" s="22" t="n">
        <x:v>10</x:v>
      </x:c>
      <x:c r="F20" s="22" t="n">
        <x:v>356.77231</x:v>
      </x:c>
      <x:c r="G20" s="22" t="n">
        <x:v>0.20937</x:v>
      </x:c>
      <x:c r="H20" s="22" t="n">
        <x:v>22.5</x:v>
      </x:c>
      <x:c r="I20" s="22" t="n">
        <x:v>370.50904</x:v>
      </x:c>
      <x:c r="J20" s="22" t="n">
        <x:v>0.16542</x:v>
      </x:c>
      <x:c r="K20" s="22" t="n">
        <x:v>15.62</x:v>
      </x:c>
      <x:c r="L20" s="22" t="n">
        <x:v>174.96994</x:v>
      </x:c>
      <x:c r="M20" s="22" t="n">
        <x:v>0.25144</x:v>
      </x:c>
      <x:c r="N20" s="22" t="n">
        <x:v>21.73</x:v>
      </x:c>
      <x:c r="O20" s="22" t="n">
        <x:v>168.22711</x:v>
      </x:c>
      <x:c r="P20" s="22" t="n">
        <x:v>0.08476</x:v>
      </x:c>
      <x:c r="Q20" s="22" t="n">
        <x:v>175.28491</x:v>
      </x:c>
      <x:c r="R20" s="22" t="n">
        <x:v>0.09803</x:v>
      </x:c>
      <x:c r="S20" s="22" t="n">
        <x:v>174.96994</x:v>
      </x:c>
      <x:c r="T20" s="22" t="n">
        <x:v>0.25144</x:v>
      </x:c>
      <x:c r="U20" s="22" t="n">
        <x:v>175.01063</x:v>
      </x:c>
      <x:c r="V20" s="22" t="n">
        <x:v>0.01063</x:v>
      </x:c>
      <x:c r="W20" s="22" t="n">
        <x:v>0.02886</x:v>
      </x:c>
      <x:c r="X20" s="22" t="n">
        <x:v>0.09803</x:v>
      </x:c>
      <x:c r="Y20" s="22" t="n">
        <x:v>0.25144</x:v>
      </x:c>
      <x:c r="Z20" s="22" t="n">
        <x:v>0.27141</x:v>
      </x:c>
      <x:c r="AA20" s="22" t="n">
        <x:v>11.45</x:v>
      </x:c>
      <x:c r="AB20" s="22" t="str">
        <x:v>Z</x:v>
      </x:c>
      <x:c r="AC20" s="22" t="n">
        <x:v>0.02837</x:v>
      </x:c>
      <x:c r="AD20" s="22" t="n">
        <x:v>-167.74</x:v>
      </x:c>
      <x:c r="AE20" s="22" t="n">
        <x:v>0.059</x:v>
      </x:c>
      <x:c r="AF20" s="22" t="n">
        <x:v>22.82</x:v>
      </x:c>
      <x:c r="AG20" s="22" t="n">
        <x:v>0.09323</x:v>
      </x:c>
      <x:c r="AH20" s="22" t="n">
        <x:v>-108.93</x:v>
      </x:c>
      <x:c r="AI20" s="22" t="n">
        <x:v>0.118</x:v>
      </x:c>
      <x:c r="AJ20" s="22" t="n">
        <x:v>13.94</x:v>
      </x:c>
      <x:c r="AK20" s="22" t="n">
        <x:v>0.26175</x:v>
      </x:c>
      <x:c r="AL20" s="22" t="n">
        <x:v>-159.18</x:v>
      </x:c>
      <x:c r="AM20" s="22" t="n">
        <x:v>0.475</x:v>
      </x:c>
      <x:c r="AN20" s="22" t="n">
        <x:v>1.96</x:v>
      </x:c>
      <x:c r="AO20" s="22" t="n">
        <x:v>0.27953</x:v>
      </x:c>
      <x:c r="AP20" s="22" t="n">
        <x:v>3.11</x:v>
      </x:c>
      <x:c r="AQ20" s="22" t="n">
        <x:v>0.1015</x:v>
      </x:c>
      <x:c r="AR20" s="22" t="n">
        <x:v>0.3335</x:v>
      </x:c>
      <x:c r="AS20" s="22" t="n">
        <x:v>0.9364</x:v>
      </x:c>
      <x:c r="AT20" s="22" t="n">
        <x:v>1</x:v>
      </x:c>
    </x:row>
    <x:row r="21">
      <x:c r="A21" s="22" t="str">
        <x:v>GAIN_SWEEP</x:v>
      </x:c>
      <x:c r="B21" s="22" t="n">
        <x:v>2</x:v>
      </x:c>
      <x:c r="C21" s="22" t="n">
        <x:v>1</x:v>
      </x:c>
      <x:c r="D21" s="22" t="n">
        <x:v>175</x:v>
      </x:c>
      <x:c r="E21" s="22" t="n">
        <x:v>11</x:v>
      </x:c>
      <x:c r="F21" s="22" t="n">
        <x:v>356.70438</x:v>
      </x:c>
      <x:c r="G21" s="22" t="n">
        <x:v>0.20581</x:v>
      </x:c>
      <x:c r="H21" s="22" t="n">
        <x:v>22.53</x:v>
      </x:c>
      <x:c r="I21" s="22" t="n">
        <x:v>706.58318</x:v>
      </x:c>
      <x:c r="J21" s="22" t="n">
        <x:v>0.15074</x:v>
      </x:c>
      <x:c r="K21" s="22" t="n">
        <x:v>15.48</x:v>
      </x:c>
      <x:c r="L21" s="22" t="n">
        <x:v>174.98228</x:v>
      </x:c>
      <x:c r="M21" s="22" t="n">
        <x:v>0.30537</x:v>
      </x:c>
      <x:c r="N21" s="22" t="n">
        <x:v>23.63</x:v>
      </x:c>
      <x:c r="O21" s="22" t="n">
        <x:v>168.30537</x:v>
      </x:c>
      <x:c r="P21" s="22" t="n">
        <x:v>0.0601</x:v>
      </x:c>
      <x:c r="Q21" s="22" t="n">
        <x:v>174.97017</x:v>
      </x:c>
      <x:c r="R21" s="22" t="n">
        <x:v>0.10674</x:v>
      </x:c>
      <x:c r="S21" s="22" t="n">
        <x:v>174.98228</x:v>
      </x:c>
      <x:c r="T21" s="22" t="n">
        <x:v>0.30537</x:v>
      </x:c>
      <x:c r="U21" s="22" t="n">
        <x:v>174.9817</x:v>
      </x:c>
      <x:c r="V21" s="22" t="n">
        <x:v>-0.0183</x:v>
      </x:c>
      <x:c r="W21" s="22" t="n">
        <x:v>0.01803</x:v>
      </x:c>
      <x:c r="X21" s="22" t="n">
        <x:v>0.10674</x:v>
      </x:c>
      <x:c r="Y21" s="22" t="n">
        <x:v>0.30537</x:v>
      </x:c>
      <x:c r="Z21" s="22" t="n">
        <x:v>0.32399</x:v>
      </x:c>
      <x:c r="AA21" s="22" t="n">
        <x:v>15.91</x:v>
      </x:c>
      <x:c r="AB21" s="22" t="str">
        <x:v>Z</x:v>
      </x:c>
      <x:c r="AC21" s="22" t="n">
        <x:v>0.01662</x:v>
      </x:c>
      <x:c r="AD21" s="22" t="n">
        <x:v>-166.49</x:v>
      </x:c>
      <x:c r="AE21" s="22" t="n">
        <x:v>0.037</x:v>
      </x:c>
      <x:c r="AF21" s="22" t="n">
        <x:v>56.81</x:v>
      </x:c>
      <x:c r="AG21" s="22" t="n">
        <x:v>0.10453</x:v>
      </x:c>
      <x:c r="AH21" s="22" t="n">
        <x:v>-97.59</x:v>
      </x:c>
      <x:c r="AI21" s="22" t="n">
        <x:v>0.153</x:v>
      </x:c>
      <x:c r="AJ21" s="22" t="n">
        <x:v>17.29</x:v>
      </x:c>
      <x:c r="AK21" s="22" t="n">
        <x:v>0.30712</x:v>
      </x:c>
      <x:c r="AL21" s="22" t="n">
        <x:v>-156.82</x:v>
      </x:c>
      <x:c r="AM21" s="22" t="n">
        <x:v>0.558</x:v>
      </x:c>
      <x:c r="AN21" s="22" t="n">
        <x:v>5.68</x:v>
      </x:c>
      <x:c r="AO21" s="22" t="n">
        <x:v>0.32541</x:v>
      </x:c>
      <x:c r="AP21" s="22" t="n">
        <x:v>5.03</x:v>
      </x:c>
      <x:c r="AQ21" s="22" t="n">
        <x:v>0.0511</x:v>
      </x:c>
      <x:c r="AR21" s="22" t="n">
        <x:v>0.3212</x:v>
      </x:c>
      <x:c r="AS21" s="22" t="n">
        <x:v>0.9438</x:v>
      </x:c>
      <x:c r="AT21" s="22" t="n">
        <x:v>1</x:v>
      </x:c>
    </x:row>
    <x:row r="22">
      <x:c r="A22" s="22" t="str">
        <x:v>GAIN_SWEEP</x:v>
      </x:c>
      <x:c r="B22" s="22" t="n">
        <x:v>3</x:v>
      </x:c>
      <x:c r="C22" s="22" t="n">
        <x:v>1</x:v>
      </x:c>
      <x:c r="D22" s="22" t="n">
        <x:v>175</x:v>
      </x:c>
      <x:c r="E22" s="22" t="n">
        <x:v>12</x:v>
      </x:c>
      <x:c r="F22" s="22" t="n">
        <x:v>356.7767</x:v>
      </x:c>
      <x:c r="G22" s="22" t="n">
        <x:v>0.19242</x:v>
      </x:c>
      <x:c r="H22" s="22" t="n">
        <x:v>21.58</x:v>
      </x:c>
      <x:c r="I22" s="22" t="n">
        <x:v>388.85725</x:v>
      </x:c>
      <x:c r="J22" s="22" t="n">
        <x:v>0.1718</x:v>
      </x:c>
      <x:c r="K22" s="22" t="n">
        <x:v>16.38</x:v>
      </x:c>
      <x:c r="L22" s="22" t="n">
        <x:v>174.98665</x:v>
      </x:c>
      <x:c r="M22" s="22" t="n">
        <x:v>0.32672</x:v>
      </x:c>
      <x:c r="N22" s="22" t="n">
        <x:v>24.2</x:v>
      </x:c>
      <x:c r="O22" s="22" t="n">
        <x:v>168.27783</x:v>
      </x:c>
      <x:c r="P22" s="22" t="n">
        <x:v>0.0627</x:v>
      </x:c>
      <x:c r="Q22" s="22" t="n">
        <x:v>170.63272</x:v>
      </x:c>
      <x:c r="R22" s="22" t="n">
        <x:v>0.13972</x:v>
      </x:c>
      <x:c r="S22" s="22" t="n">
        <x:v>174.98665</x:v>
      </x:c>
      <x:c r="T22" s="22" t="n">
        <x:v>0.32672</x:v>
      </x:c>
      <x:c r="U22" s="22" t="n">
        <x:v>174.99007</x:v>
      </x:c>
      <x:c r="V22" s="22" t="n">
        <x:v>-0.00993</x:v>
      </x:c>
      <x:c r="W22" s="22" t="n">
        <x:v>0.02431</x:v>
      </x:c>
      <x:c r="X22" s="22" t="n">
        <x:v>0.1183</x:v>
      </x:c>
      <x:c r="Y22" s="22" t="n">
        <x:v>0.32672</x:v>
      </x:c>
      <x:c r="Z22" s="22" t="n">
        <x:v>0.34832</x:v>
      </x:c>
      <x:c r="AA22" s="22" t="n">
        <x:v>15.96</x:v>
      </x:c>
      <x:c r="AB22" s="22" t="str">
        <x:v>Z</x:v>
      </x:c>
      <x:c r="AC22" s="22" t="n">
        <x:v>0.02519</x:v>
      </x:c>
      <x:c r="AD22" s="22" t="n">
        <x:v>178.78</x:v>
      </x:c>
      <x:c r="AE22" s="22" t="n">
        <x:v>0.054</x:v>
      </x:c>
      <x:c r="AF22" s="22" t="n">
        <x:v>27.05</x:v>
      </x:c>
      <x:c r="AG22" s="22" t="n">
        <x:v>0.12771</x:v>
      </x:c>
      <x:c r="AH22" s="22" t="n">
        <x:v>-93.41</x:v>
      </x:c>
      <x:c r="AI22" s="22" t="n">
        <x:v>0.169</x:v>
      </x:c>
      <x:c r="AJ22" s="22" t="n">
        <x:v>13.64</x:v>
      </x:c>
      <x:c r="AK22" s="22" t="n">
        <x:v>0.3308</x:v>
      </x:c>
      <x:c r="AL22" s="22" t="n">
        <x:v>-159.31</x:v>
      </x:c>
      <x:c r="AM22" s="22" t="n">
        <x:v>0.551</x:v>
      </x:c>
      <x:c r="AN22" s="22" t="n">
        <x:v>7.53</x:v>
      </x:c>
      <x:c r="AO22" s="22" t="n">
        <x:v>0.35621</x:v>
      </x:c>
      <x:c r="AP22" s="22" t="n">
        <x:v>5.12</x:v>
      </x:c>
      <x:c r="AQ22" s="22" t="n">
        <x:v>0.0707</x:v>
      </x:c>
      <x:c r="AR22" s="22" t="n">
        <x:v>0.3585</x:v>
      </x:c>
      <x:c r="AS22" s="22" t="n">
        <x:v>0.9287</x:v>
      </x:c>
      <x:c r="AT22" s="22" t="n">
        <x:v>1</x:v>
      </x:c>
    </x:row>
    <x:row r="23">
      <x:c r="A23" s="22" t="str">
        <x:v>GAIN_SWEEP</x:v>
      </x:c>
      <x:c r="B23" s="22" t="n">
        <x:v>4</x:v>
      </x:c>
      <x:c r="C23" s="22" t="n">
        <x:v>1</x:v>
      </x:c>
      <x:c r="D23" s="22" t="n">
        <x:v>175</x:v>
      </x:c>
      <x:c r="E23" s="22" t="n">
        <x:v>13</x:v>
      </x:c>
      <x:c r="F23" s="22" t="n">
        <x:v>356.949</x:v>
      </x:c>
      <x:c r="G23" s="22" t="n">
        <x:v>0.14794</x:v>
      </x:c>
      <x:c r="H23" s="22" t="n">
        <x:v>19.64</x:v>
      </x:c>
      <x:c r="I23" s="22" t="n">
        <x:v>713.96674</x:v>
      </x:c>
      <x:c r="J23" s="22" t="n">
        <x:v>0.18282</x:v>
      </x:c>
      <x:c r="K23" s="22" t="n">
        <x:v>17.01</x:v>
      </x:c>
      <x:c r="L23" s="22" t="n">
        <x:v>175.00773</x:v>
      </x:c>
      <x:c r="M23" s="22" t="n">
        <x:v>0.37096</x:v>
      </x:c>
      <x:c r="N23" s="22" t="n">
        <x:v>25.25</x:v>
      </x:c>
      <x:c r="O23" s="22" t="n">
        <x:v>167.91167</x:v>
      </x:c>
      <x:c r="P23" s="22" t="n">
        <x:v>0.05</x:v>
      </x:c>
      <x:c r="Q23" s="22" t="n">
        <x:v>170.96708</x:v>
      </x:c>
      <x:c r="R23" s="22" t="n">
        <x:v>0.17694</x:v>
      </x:c>
      <x:c r="S23" s="22" t="n">
        <x:v>175.00773</x:v>
      </x:c>
      <x:c r="T23" s="22" t="n">
        <x:v>0.37096</x:v>
      </x:c>
      <x:c r="U23" s="22" t="n">
        <x:v>175.00635</x:v>
      </x:c>
      <x:c r="V23" s="22" t="n">
        <x:v>0.00635</x:v>
      </x:c>
      <x:c r="W23" s="22" t="n">
        <x:v>0.01876</x:v>
      </x:c>
      <x:c r="X23" s="22" t="n">
        <x:v>0.12091</x:v>
      </x:c>
      <x:c r="Y23" s="22" t="n">
        <x:v>0.37096</x:v>
      </x:c>
      <x:c r="Z23" s="22" t="n">
        <x:v>0.39062</x:v>
      </x:c>
      <x:c r="AA23" s="22" t="n">
        <x:v>17.06</x:v>
      </x:c>
      <x:c r="AB23" s="22" t="str">
        <x:v>Z</x:v>
      </x:c>
      <x:c r="AC23" s="22" t="n">
        <x:v>0.02312</x:v>
      </x:c>
      <x:c r="AD23" s="22" t="n">
        <x:v>-176.3</x:v>
      </x:c>
      <x:c r="AE23" s="22" t="n">
        <x:v>0.054</x:v>
      </x:c>
      <x:c r="AF23" s="22" t="n">
        <x:v>32.61</x:v>
      </x:c>
      <x:c r="AG23" s="22" t="n">
        <x:v>0.14219</x:v>
      </x:c>
      <x:c r="AH23" s="22" t="n">
        <x:v>-102.49</x:v>
      </x:c>
      <x:c r="AI23" s="22" t="n">
        <x:v>0.194</x:v>
      </x:c>
      <x:c r="AJ23" s="22" t="n">
        <x:v>28.99</x:v>
      </x:c>
      <x:c r="AK23" s="22" t="n">
        <x:v>0.36051</x:v>
      </x:c>
      <x:c r="AL23" s="22" t="n">
        <x:v>-158.42</x:v>
      </x:c>
      <x:c r="AM23" s="22" t="n">
        <x:v>0.617</x:v>
      </x:c>
      <x:c r="AN23" s="22" t="n">
        <x:v>6.52</x:v>
      </x:c>
      <x:c r="AO23" s="22" t="n">
        <x:v>0.39009</x:v>
      </x:c>
      <x:c r="AP23" s="22" t="n">
        <x:v>5.71</x:v>
      </x:c>
      <x:c r="AQ23" s="22" t="n">
        <x:v>0.0593</x:v>
      </x:c>
      <x:c r="AR23" s="22" t="n">
        <x:v>0.3645</x:v>
      </x:c>
      <x:c r="AS23" s="22" t="n">
        <x:v>0.9242</x:v>
      </x:c>
      <x:c r="AT23" s="22" t="n">
        <x:v>1</x:v>
      </x:c>
    </x:row>
    <x:row r="24">
      <x:c r="A24" s="22" t="str">
        <x:v>GAIN_SWEEP</x:v>
      </x:c>
      <x:c r="B24" s="22" t="n">
        <x:v>5</x:v>
      </x:c>
      <x:c r="C24" s="22" t="n">
        <x:v>1</x:v>
      </x:c>
      <x:c r="D24" s="22" t="n">
        <x:v>175</x:v>
      </x:c>
      <x:c r="E24" s="22" t="n">
        <x:v>14</x:v>
      </x:c>
      <x:c r="F24" s="22" t="n">
        <x:v>356.92225</x:v>
      </x:c>
      <x:c r="G24" s="22" t="n">
        <x:v>0.17791</x:v>
      </x:c>
      <x:c r="H24" s="22" t="n">
        <x:v>21.34</x:v>
      </x:c>
      <x:c r="I24" s="22" t="n">
        <x:v>220.79105</x:v>
      </x:c>
      <x:c r="J24" s="22" t="n">
        <x:v>0.20123</x:v>
      </x:c>
      <x:c r="K24" s="22" t="n">
        <x:v>17.7</x:v>
      </x:c>
      <x:c r="L24" s="22" t="n">
        <x:v>175.00234</x:v>
      </x:c>
      <x:c r="M24" s="22" t="n">
        <x:v>0.40496</x:v>
      </x:c>
      <x:c r="N24" s="22" t="n">
        <x:v>26.09</x:v>
      </x:c>
      <x:c r="O24" s="22" t="n">
        <x:v>168.06588</x:v>
      </x:c>
      <x:c r="P24" s="22" t="n">
        <x:v>0.066</x:v>
      </x:c>
      <x:c r="Q24" s="22" t="n">
        <x:v>174.99525</x:v>
      </x:c>
      <x:c r="R24" s="22" t="n">
        <x:v>0.15189</x:v>
      </x:c>
      <x:c r="S24" s="22" t="n">
        <x:v>175.00234</x:v>
      </x:c>
      <x:c r="T24" s="22" t="n">
        <x:v>0.40496</x:v>
      </x:c>
      <x:c r="U24" s="22" t="n">
        <x:v>175.00115</x:v>
      </x:c>
      <x:c r="V24" s="22" t="n">
        <x:v>0.00115</x:v>
      </x:c>
      <x:c r="W24" s="22" t="n">
        <x:v>0.02277</x:v>
      </x:c>
      <x:c r="X24" s="22" t="n">
        <x:v>0.15189</x:v>
      </x:c>
      <x:c r="Y24" s="22" t="n">
        <x:v>0.40496</x:v>
      </x:c>
      <x:c r="Z24" s="22" t="n">
        <x:v>0.43311</x:v>
      </x:c>
      <x:c r="AA24" s="22" t="n">
        <x:v>17.07</x:v>
      </x:c>
      <x:c r="AB24" s="22" t="str">
        <x:v>Z</x:v>
      </x:c>
      <x:c r="AC24" s="22" t="n">
        <x:v>0.02677</x:v>
      </x:c>
      <x:c r="AD24" s="22" t="n">
        <x:v>-134.74</x:v>
      </x:c>
      <x:c r="AE24" s="22" t="n">
        <x:v>0.06</x:v>
      </x:c>
      <x:c r="AF24" s="22" t="n">
        <x:v>15.79</x:v>
      </x:c>
      <x:c r="AG24" s="22" t="n">
        <x:v>0.15306</x:v>
      </x:c>
      <x:c r="AH24" s="22" t="n">
        <x:v>-95.66</x:v>
      </x:c>
      <x:c r="AI24" s="22" t="n">
        <x:v>0.207</x:v>
      </x:c>
      <x:c r="AJ24" s="22" t="n">
        <x:v>24.29</x:v>
      </x:c>
      <x:c r="AK24" s="22" t="n">
        <x:v>0.39136</x:v>
      </x:c>
      <x:c r="AL24" s="22" t="n">
        <x:v>-159.9</x:v>
      </x:c>
      <x:c r="AM24" s="22" t="n">
        <x:v>0.645</x:v>
      </x:c>
      <x:c r="AN24" s="22" t="n">
        <x:v>2.27</x:v>
      </x:c>
      <x:c r="AO24" s="22" t="n">
        <x:v>0.4223</x:v>
      </x:c>
      <x:c r="AP24" s="22" t="n">
        <x:v>3.29</x:v>
      </x:c>
      <x:c r="AQ24" s="22" t="n">
        <x:v>0.0634</x:v>
      </x:c>
      <x:c r="AR24" s="22" t="n">
        <x:v>0.3625</x:v>
      </x:c>
      <x:c r="AS24" s="22" t="n">
        <x:v>0.9267</x:v>
      </x:c>
      <x:c r="AT24" s="22" t="n">
        <x:v>1</x:v>
      </x:c>
    </x:row>
    <x:row r="25">
      <x:c r="A25" s="22" t="str">
        <x:v>GAIN_SWEEP</x:v>
      </x:c>
      <x:c r="B25" s="22" t="n">
        <x:v>6</x:v>
      </x:c>
      <x:c r="C25" s="22" t="n">
        <x:v>1</x:v>
      </x:c>
      <x:c r="D25" s="22" t="n">
        <x:v>175</x:v>
      </x:c>
      <x:c r="E25" s="22" t="n">
        <x:v>15</x:v>
      </x:c>
      <x:c r="F25" s="22" t="n">
        <x:v>356.78575</x:v>
      </x:c>
      <x:c r="G25" s="22" t="n">
        <x:v>0.19884</x:v>
      </x:c>
      <x:c r="H25" s="22" t="n">
        <x:v>22.18</x:v>
      </x:c>
      <x:c r="I25" s="22" t="n">
        <x:v>320.50892</x:v>
      </x:c>
      <x:c r="J25" s="22" t="n">
        <x:v>0.20478</x:v>
      </x:c>
      <x:c r="K25" s="22" t="n">
        <x:v>16.92</x:v>
      </x:c>
      <x:c r="L25" s="22" t="n">
        <x:v>175.01961</x:v>
      </x:c>
      <x:c r="M25" s="22" t="n">
        <x:v>0.45225</x:v>
      </x:c>
      <x:c r="N25" s="22" t="n">
        <x:v>27.22</x:v>
      </x:c>
      <x:c r="O25" s="22" t="n">
        <x:v>168.03608</x:v>
      </x:c>
      <x:c r="P25" s="22" t="n">
        <x:v>0.05968</x:v>
      </x:c>
      <x:c r="Q25" s="22" t="n">
        <x:v>174.95968</x:v>
      </x:c>
      <x:c r="R25" s="22" t="n">
        <x:v>0.16351</x:v>
      </x:c>
      <x:c r="S25" s="22" t="n">
        <x:v>175.01961</x:v>
      </x:c>
      <x:c r="T25" s="22" t="n">
        <x:v>0.45225</x:v>
      </x:c>
      <x:c r="U25" s="22" t="n">
        <x:v>175.01282</x:v>
      </x:c>
      <x:c r="V25" s="22" t="n">
        <x:v>0.01282</x:v>
      </x:c>
      <x:c r="W25" s="22" t="n">
        <x:v>0.02755</x:v>
      </x:c>
      <x:c r="X25" s="22" t="n">
        <x:v>0.16351</x:v>
      </x:c>
      <x:c r="Y25" s="22" t="n">
        <x:v>0.45225</x:v>
      </x:c>
      <x:c r="Z25" s="22" t="n">
        <x:v>0.48169</x:v>
      </x:c>
      <x:c r="AA25" s="22" t="n">
        <x:v>17.21</x:v>
      </x:c>
      <x:c r="AB25" s="22" t="str">
        <x:v>Z</x:v>
      </x:c>
      <x:c r="AC25" s="22" t="n">
        <x:v>0.02367</x:v>
      </x:c>
      <x:c r="AD25" s="22" t="n">
        <x:v>-158.34</x:v>
      </x:c>
      <x:c r="AE25" s="22" t="n">
        <x:v>0.054</x:v>
      </x:c>
      <x:c r="AF25" s="22" t="n">
        <x:v>31.65</x:v>
      </x:c>
      <x:c r="AG25" s="22" t="n">
        <x:v>0.19369</x:v>
      </x:c>
      <x:c r="AH25" s="22" t="n">
        <x:v>-113.66</x:v>
      </x:c>
      <x:c r="AI25" s="22" t="n">
        <x:v>0.235</x:v>
      </x:c>
      <x:c r="AJ25" s="22" t="n">
        <x:v>25.49</x:v>
      </x:c>
      <x:c r="AK25" s="22" t="n">
        <x:v>0.48801</x:v>
      </x:c>
      <x:c r="AL25" s="22" t="n">
        <x:v>-161.87</x:v>
      </x:c>
      <x:c r="AM25" s="22" t="n">
        <x:v>0.729</x:v>
      </x:c>
      <x:c r="AN25" s="22" t="n">
        <x:v>3.97</x:v>
      </x:c>
      <x:c r="AO25" s="22" t="n">
        <x:v>0.52734</x:v>
      </x:c>
      <x:c r="AP25" s="22" t="n">
        <x:v>4.45</x:v>
      </x:c>
      <x:c r="AQ25" s="22" t="n">
        <x:v>0.0449</x:v>
      </x:c>
      <x:c r="AR25" s="22" t="n">
        <x:v>0.3673</x:v>
      </x:c>
      <x:c r="AS25" s="22" t="n">
        <x:v>0.9254</x:v>
      </x:c>
      <x:c r="AT25" s="22" t="n">
        <x:v>1</x:v>
      </x:c>
    </x:row>
    <x:row r="26">
      <x:c r="A26" s="22" t="str">
        <x:v>GAIN_SWEEP</x:v>
      </x:c>
      <x:c r="B26" s="22" t="n">
        <x:v>1</x:v>
      </x:c>
      <x:c r="C26" s="22" t="n">
        <x:v>1</x:v>
      </x:c>
      <x:c r="D26" s="22" t="n">
        <x:v>200</x:v>
      </x:c>
      <x:c r="E26" s="22" t="n">
        <x:v>10</x:v>
      </x:c>
      <x:c r="F26" s="22" t="n">
        <x:v>563.97227</x:v>
      </x:c>
      <x:c r="G26" s="22" t="n">
        <x:v>0.20142</x:v>
      </x:c>
      <x:c r="H26" s="22" t="n">
        <x:v>22.81</x:v>
      </x:c>
      <x:c r="I26" s="22" t="n">
        <x:v>363.96583</x:v>
      </x:c>
      <x:c r="J26" s="22" t="n">
        <x:v>0.27495</x:v>
      </x:c>
      <x:c r="K26" s="22" t="n">
        <x:v>22.2</x:v>
      </x:c>
      <x:c r="L26" s="22" t="n">
        <x:v>199.98207</x:v>
      </x:c>
      <x:c r="M26" s="22" t="n">
        <x:v>0.36488</x:v>
      </x:c>
      <x:c r="N26" s="22" t="n">
        <x:v>25.12</x:v>
      </x:c>
      <x:c r="O26" s="22" t="n">
        <x:v>200.00556</x:v>
      </x:c>
      <x:c r="P26" s="22" t="n">
        <x:v>0.02825</x:v>
      </x:c>
      <x:c r="Q26" s="22" t="n">
        <x:v>200.03168</x:v>
      </x:c>
      <x:c r="R26" s="22" t="n">
        <x:v>0.13307</x:v>
      </x:c>
      <x:c r="S26" s="22" t="n">
        <x:v>199.98207</x:v>
      </x:c>
      <x:c r="T26" s="22" t="n">
        <x:v>0.36488</x:v>
      </x:c>
      <x:c r="U26" s="22" t="n">
        <x:v>199.98802</x:v>
      </x:c>
      <x:c r="V26" s="22" t="n">
        <x:v>-0.01198</x:v>
      </x:c>
      <x:c r="W26" s="22" t="n">
        <x:v>0.02825</x:v>
      </x:c>
      <x:c r="X26" s="22" t="n">
        <x:v>0.13307</x:v>
      </x:c>
      <x:c r="Y26" s="22" t="n">
        <x:v>0.36488</x:v>
      </x:c>
      <x:c r="Z26" s="22" t="n">
        <x:v>0.38942</x:v>
      </x:c>
      <x:c r="AA26" s="22" t="n">
        <x:v>26.67</x:v>
      </x:c>
      <x:c r="AB26" s="22" t="str">
        <x:v>Z</x:v>
      </x:c>
      <x:c r="AC26" s="22" t="n">
        <x:v>0.03443</x:v>
      </x:c>
      <x:c r="AD26" s="22" t="n">
        <x:v>43.06</x:v>
      </x:c>
      <x:c r="AE26" s="22" t="n">
        <x:v>0.064</x:v>
      </x:c>
      <x:c r="AF26" s="22" t="n">
        <x:v>62.46</x:v>
      </x:c>
      <x:c r="AG26" s="22" t="n">
        <x:v>0.12198</x:v>
      </x:c>
      <x:c r="AH26" s="22" t="n">
        <x:v>-99.66</x:v>
      </x:c>
      <x:c r="AI26" s="22" t="n">
        <x:v>0.144</x:v>
      </x:c>
      <x:c r="AJ26" s="22" t="n">
        <x:v>9.96</x:v>
      </x:c>
      <x:c r="AK26" s="22" t="n">
        <x:v>0.35496</x:v>
      </x:c>
      <x:c r="AL26" s="22" t="n">
        <x:v>156.16</x:v>
      </x:c>
      <x:c r="AM26" s="22" t="n">
        <x:v>0.492</x:v>
      </x:c>
      <x:c r="AN26" s="22" t="n">
        <x:v>4.7</x:v>
      </x:c>
      <x:c r="AO26" s="22" t="n">
        <x:v>0.37754</x:v>
      </x:c>
      <x:c r="AP26" s="22" t="n">
        <x:v>4.57</x:v>
      </x:c>
      <x:c r="AQ26" s="22" t="n">
        <x:v>0.0912</x:v>
      </x:c>
      <x:c r="AR26" s="22" t="n">
        <x:v>0.3231</x:v>
      </x:c>
      <x:c r="AS26" s="22" t="n">
        <x:v>0.9402</x:v>
      </x:c>
      <x:c r="AT26" s="22" t="n">
        <x:v>1</x:v>
      </x:c>
    </x:row>
    <x:row r="27">
      <x:c r="A27" s="22" t="str">
        <x:v>GAIN_SWEEP</x:v>
      </x:c>
      <x:c r="B27" s="22" t="n">
        <x:v>2</x:v>
      </x:c>
      <x:c r="C27" s="22" t="n">
        <x:v>1</x:v>
      </x:c>
      <x:c r="D27" s="22" t="n">
        <x:v>200</x:v>
      </x:c>
      <x:c r="E27" s="22" t="n">
        <x:v>11</x:v>
      </x:c>
      <x:c r="F27" s="22" t="n">
        <x:v>218.08153</x:v>
      </x:c>
      <x:c r="G27" s="22" t="n">
        <x:v>0.16317</x:v>
      </x:c>
      <x:c r="H27" s="22" t="n">
        <x:v>23.19</x:v>
      </x:c>
      <x:c r="I27" s="22" t="n">
        <x:v>145.82269</x:v>
      </x:c>
      <x:c r="J27" s="22" t="n">
        <x:v>0.33914</x:v>
      </x:c>
      <x:c r="K27" s="22" t="n">
        <x:v>24.49</x:v>
      </x:c>
      <x:c r="L27" s="22" t="n">
        <x:v>199.9819</x:v>
      </x:c>
      <x:c r="M27" s="22" t="n">
        <x:v>0.38765</x:v>
      </x:c>
      <x:c r="N27" s="22" t="n">
        <x:v>25.54</x:v>
      </x:c>
      <x:c r="O27" s="22" t="n">
        <x:v>200.03883</x:v>
      </x:c>
      <x:c r="P27" s="22" t="n">
        <x:v>0.02848</x:v>
      </x:c>
      <x:c r="Q27" s="22" t="n">
        <x:v>200.00914</x:v>
      </x:c>
      <x:c r="R27" s="22" t="n">
        <x:v>0.13513</x:v>
      </x:c>
      <x:c r="S27" s="22" t="n">
        <x:v>199.9819</x:v>
      </x:c>
      <x:c r="T27" s="22" t="n">
        <x:v>0.38765</x:v>
      </x:c>
      <x:c r="U27" s="22" t="n">
        <x:v>199.98513</x:v>
      </x:c>
      <x:c r="V27" s="22" t="n">
        <x:v>-0.01487</x:v>
      </x:c>
      <x:c r="W27" s="22" t="n">
        <x:v>0.02848</x:v>
      </x:c>
      <x:c r="X27" s="22" t="n">
        <x:v>0.13513</x:v>
      </x:c>
      <x:c r="Y27" s="22" t="n">
        <x:v>0.38765</x:v>
      </x:c>
      <x:c r="Z27" s="22" t="n">
        <x:v>0.41151</x:v>
      </x:c>
      <x:c r="AA27" s="22" t="n">
        <x:v>28.99</x:v>
      </x:c>
      <x:c r="AB27" s="22" t="str">
        <x:v>Z</x:v>
      </x:c>
      <x:c r="AC27" s="22" t="n">
        <x:v>0.02802</x:v>
      </x:c>
      <x:c r="AD27" s="22" t="n">
        <x:v>136.52</x:v>
      </x:c>
      <x:c r="AE27" s="22" t="n">
        <x:v>0.07</x:v>
      </x:c>
      <x:c r="AF27" s="22" t="n">
        <x:v>23.27</x:v>
      </x:c>
      <x:c r="AG27" s="22" t="n">
        <x:v>0.14224</x:v>
      </x:c>
      <x:c r="AH27" s="22" t="n">
        <x:v>-100.46</x:v>
      </x:c>
      <x:c r="AI27" s="22" t="n">
        <x:v>0.176</x:v>
      </x:c>
      <x:c r="AJ27" s="22" t="n">
        <x:v>18.04</x:v>
      </x:c>
      <x:c r="AK27" s="22" t="n">
        <x:v>0.39975</x:v>
      </x:c>
      <x:c r="AL27" s="22" t="n">
        <x:v>155.7</x:v>
      </x:c>
      <x:c r="AM27" s="22" t="n">
        <x:v>0.604</x:v>
      </x:c>
      <x:c r="AN27" s="22" t="n">
        <x:v>7.4</x:v>
      </x:c>
      <x:c r="AO27" s="22" t="n">
        <x:v>0.42565</x:v>
      </x:c>
      <x:c r="AP27" s="22" t="n">
        <x:v>7.9</x:v>
      </x:c>
      <x:c r="AQ27" s="22" t="n">
        <x:v>0.0658</x:v>
      </x:c>
      <x:c r="AR27" s="22" t="n">
        <x:v>0.3342</x:v>
      </x:c>
      <x:c r="AS27" s="22" t="n">
        <x:v>0.9392</x:v>
      </x:c>
      <x:c r="AT27" s="22" t="n">
        <x:v>1</x:v>
      </x:c>
    </x:row>
    <x:row r="28">
      <x:c r="A28" s="22" t="str">
        <x:v>GAIN_SWEEP</x:v>
      </x:c>
      <x:c r="B28" s="22" t="n">
        <x:v>3</x:v>
      </x:c>
      <x:c r="C28" s="22" t="n">
        <x:v>1</x:v>
      </x:c>
      <x:c r="D28" s="22" t="n">
        <x:v>200</x:v>
      </x:c>
      <x:c r="E28" s="22" t="n">
        <x:v>12</x:v>
      </x:c>
      <x:c r="F28" s="22" t="n">
        <x:v>217.97464</x:v>
      </x:c>
      <x:c r="G28" s="22" t="n">
        <x:v>0.18069</x:v>
      </x:c>
      <x:c r="H28" s="22" t="n">
        <x:v>22.66</x:v>
      </x:c>
      <x:c r="I28" s="22" t="n">
        <x:v>145.97966</x:v>
      </x:c>
      <x:c r="J28" s="22" t="n">
        <x:v>0.3041</x:v>
      </x:c>
      <x:c r="K28" s="22" t="n">
        <x:v>23.99</x:v>
      </x:c>
      <x:c r="L28" s="22" t="n">
        <x:v>200.00425</x:v>
      </x:c>
      <x:c r="M28" s="22" t="n">
        <x:v>0.44704</x:v>
      </x:c>
      <x:c r="N28" s="22" t="n">
        <x:v>28.37</x:v>
      </x:c>
      <x:c r="O28" s="22" t="n">
        <x:v>200.13558</x:v>
      </x:c>
      <x:c r="P28" s="22" t="n">
        <x:v>0.02721</x:v>
      </x:c>
      <x:c r="Q28" s="22" t="n">
        <x:v>200.00838</x:v>
      </x:c>
      <x:c r="R28" s="22" t="n">
        <x:v>0.1554</x:v>
      </x:c>
      <x:c r="S28" s="22" t="n">
        <x:v>200.00425</x:v>
      </x:c>
      <x:c r="T28" s="22" t="n">
        <x:v>0.44704</x:v>
      </x:c>
      <x:c r="U28" s="22" t="n">
        <x:v>200.00513</x:v>
      </x:c>
      <x:c r="V28" s="22" t="n">
        <x:v>0.00513</x:v>
      </x:c>
      <x:c r="W28" s="22" t="n">
        <x:v>0.02721</x:v>
      </x:c>
      <x:c r="X28" s="22" t="n">
        <x:v>0.1554</x:v>
      </x:c>
      <x:c r="Y28" s="22" t="n">
        <x:v>0.44704</x:v>
      </x:c>
      <x:c r="Z28" s="22" t="n">
        <x:v>0.47406</x:v>
      </x:c>
      <x:c r="AA28" s="22" t="n">
        <x:v>27.99</x:v>
      </x:c>
      <x:c r="AB28" s="22" t="str">
        <x:v>Z</x:v>
      </x:c>
      <x:c r="AC28" s="22" t="n">
        <x:v>0.02202</x:v>
      </x:c>
      <x:c r="AD28" s="22" t="n">
        <x:v>-61.41</x:v>
      </x:c>
      <x:c r="AE28" s="22" t="n">
        <x:v>0.045</x:v>
      </x:c>
      <x:c r="AF28" s="22" t="n">
        <x:v>20.87</x:v>
      </x:c>
      <x:c r="AG28" s="22" t="n">
        <x:v>0.14342</x:v>
      </x:c>
      <x:c r="AH28" s="22" t="n">
        <x:v>-95.55</x:v>
      </x:c>
      <x:c r="AI28" s="22" t="n">
        <x:v>0.173</x:v>
      </x:c>
      <x:c r="AJ28" s="22" t="n">
        <x:v>10.58</x:v>
      </x:c>
      <x:c r="AK28" s="22" t="n">
        <x:v>0.44218</x:v>
      </x:c>
      <x:c r="AL28" s="22" t="n">
        <x:v>155.68</x:v>
      </x:c>
      <x:c r="AM28" s="22" t="n">
        <x:v>0.698</x:v>
      </x:c>
      <x:c r="AN28" s="22" t="n">
        <x:v>5.07</x:v>
      </x:c>
      <x:c r="AO28" s="22" t="n">
        <x:v>0.46547</x:v>
      </x:c>
      <x:c r="AP28" s="22" t="n">
        <x:v>5.5</x:v>
      </x:c>
      <x:c r="AQ28" s="22" t="n">
        <x:v>0.0473</x:v>
      </x:c>
      <x:c r="AR28" s="22" t="n">
        <x:v>0.3081</x:v>
      </x:c>
      <x:c r="AS28" s="22" t="n">
        <x:v>0.95</x:v>
      </x:c>
      <x:c r="AT28" s="22" t="n">
        <x:v>1</x:v>
      </x:c>
    </x:row>
    <x:row r="29">
      <x:c r="A29" s="22" t="str">
        <x:v>GAIN_SWEEP</x:v>
      </x:c>
      <x:c r="B29" s="22" t="n">
        <x:v>4</x:v>
      </x:c>
      <x:c r="C29" s="22" t="n">
        <x:v>1</x:v>
      </x:c>
      <x:c r="D29" s="22" t="n">
        <x:v>200</x:v>
      </x:c>
      <x:c r="E29" s="22" t="n">
        <x:v>13</x:v>
      </x:c>
      <x:c r="F29" s="22" t="n">
        <x:v>635.96995</x:v>
      </x:c>
      <x:c r="G29" s="22" t="n">
        <x:v>0.10089</x:v>
      </x:c>
      <x:c r="H29" s="22" t="n">
        <x:v>18.6</x:v>
      </x:c>
      <x:c r="I29" s="22" t="n">
        <x:v>636.02979</x:v>
      </x:c>
      <x:c r="J29" s="22" t="n">
        <x:v>0.27413</x:v>
      </x:c>
      <x:c r="K29" s="22" t="n">
        <x:v>22.71</x:v>
      </x:c>
      <x:c r="L29" s="22" t="n">
        <x:v>200.01136</x:v>
      </x:c>
      <x:c r="M29" s="22" t="n">
        <x:v>0.4909</x:v>
      </x:c>
      <x:c r="N29" s="22" t="n">
        <x:v>29.08</x:v>
      </x:c>
      <x:c r="O29" s="22" t="n">
        <x:v>203.39813</x:v>
      </x:c>
      <x:c r="P29" s="22" t="n">
        <x:v>0.01434</x:v>
      </x:c>
      <x:c r="Q29" s="22" t="n">
        <x:v>200.01333</x:v>
      </x:c>
      <x:c r="R29" s="22" t="n">
        <x:v>0.15879</x:v>
      </x:c>
      <x:c r="S29" s="22" t="n">
        <x:v>200.01136</x:v>
      </x:c>
      <x:c r="T29" s="22" t="n">
        <x:v>0.4909</x:v>
      </x:c>
      <x:c r="U29" s="22" t="n">
        <x:v>200.01177</x:v>
      </x:c>
      <x:c r="V29" s="22" t="n">
        <x:v>0.01177</x:v>
      </x:c>
      <x:c r="W29" s="22" t="n">
        <x:v>0.00909</x:v>
      </x:c>
      <x:c r="X29" s="22" t="n">
        <x:v>0.15879</x:v>
      </x:c>
      <x:c r="Y29" s="22" t="n">
        <x:v>0.4909</x:v>
      </x:c>
      <x:c r="Z29" s="22" t="n">
        <x:v>0.51602</x:v>
      </x:c>
      <x:c r="AA29" s="22" t="n">
        <x:v>28.68</x:v>
      </x:c>
      <x:c r="AB29" s="22" t="str">
        <x:v>Z</x:v>
      </x:c>
      <x:c r="AC29" s="22" t="n">
        <x:v>0.01348</x:v>
      </x:c>
      <x:c r="AD29" s="22" t="n">
        <x:v>53.73</x:v>
      </x:c>
      <x:c r="AE29" s="22" t="n">
        <x:v>0.036</x:v>
      </x:c>
      <x:c r="AF29" s="22" t="n">
        <x:v>37.08</x:v>
      </x:c>
      <x:c r="AG29" s="22" t="n">
        <x:v>0.17755</x:v>
      </x:c>
      <x:c r="AH29" s="22" t="n">
        <x:v>-101.97</x:v>
      </x:c>
      <x:c r="AI29" s="22" t="n">
        <x:v>0.219</x:v>
      </x:c>
      <x:c r="AJ29" s="22" t="n">
        <x:v>10.67</x:v>
      </x:c>
      <x:c r="AK29" s="22" t="n">
        <x:v>0.49018</x:v>
      </x:c>
      <x:c r="AL29" s="22" t="n">
        <x:v>156.17</x:v>
      </x:c>
      <x:c r="AM29" s="22" t="n">
        <x:v>0.746</x:v>
      </x:c>
      <x:c r="AN29" s="22" t="n">
        <x:v>4.68</x:v>
      </x:c>
      <x:c r="AO29" s="22" t="n">
        <x:v>0.52193</x:v>
      </x:c>
      <x:c r="AP29" s="22" t="n">
        <x:v>3.71</x:v>
      </x:c>
      <x:c r="AQ29" s="22" t="n">
        <x:v>0.0258</x:v>
      </x:c>
      <x:c r="AR29" s="22" t="n">
        <x:v>0.3402</x:v>
      </x:c>
      <x:c r="AS29" s="22" t="n">
        <x:v>0.9392</x:v>
      </x:c>
      <x:c r="AT29" s="22" t="n">
        <x:v>1</x:v>
      </x:c>
    </x:row>
    <x:row r="30">
      <x:c r="A30" s="22" t="str">
        <x:v>GAIN_SWEEP</x:v>
      </x:c>
      <x:c r="B30" s="22" t="n">
        <x:v>5</x:v>
      </x:c>
      <x:c r="C30" s="22" t="n">
        <x:v>1</x:v>
      </x:c>
      <x:c r="D30" s="22" t="n">
        <x:v>200</x:v>
      </x:c>
      <x:c r="E30" s="22" t="n">
        <x:v>14</x:v>
      </x:c>
      <x:c r="F30" s="22" t="n">
        <x:v>618.08063</x:v>
      </x:c>
      <x:c r="G30" s="22" t="n">
        <x:v>0.17727</x:v>
      </x:c>
      <x:c r="H30" s="22" t="n">
        <x:v>22.34</x:v>
      </x:c>
      <x:c r="I30" s="22" t="n">
        <x:v>563.97145</x:v>
      </x:c>
      <x:c r="J30" s="22" t="n">
        <x:v>0.24847</x:v>
      </x:c>
      <x:c r="K30" s="22" t="n">
        <x:v>21.94</x:v>
      </x:c>
      <x:c r="L30" s="22" t="n">
        <x:v>199.99637</x:v>
      </x:c>
      <x:c r="M30" s="22" t="n">
        <x:v>0.52189</x:v>
      </x:c>
      <x:c r="N30" s="22" t="n">
        <x:v>28.91</x:v>
      </x:c>
      <x:c r="O30" s="22" t="n">
        <x:v>204.59837</x:v>
      </x:c>
      <x:c r="P30" s="22" t="n">
        <x:v>0.01357</x:v>
      </x:c>
      <x:c r="Q30" s="22" t="n">
        <x:v>200.00984</x:v>
      </x:c>
      <x:c r="R30" s="22" t="n">
        <x:v>0.19059</x:v>
      </x:c>
      <x:c r="S30" s="22" t="n">
        <x:v>199.99637</x:v>
      </x:c>
      <x:c r="T30" s="22" t="n">
        <x:v>0.52189</x:v>
      </x:c>
      <x:c r="U30" s="22" t="n">
        <x:v>199.99815</x:v>
      </x:c>
      <x:c r="V30" s="22" t="n">
        <x:v>-0.00185</x:v>
      </x:c>
      <x:c r="W30" s="22" t="n">
        <x:v>0.01332</x:v>
      </x:c>
      <x:c r="X30" s="22" t="n">
        <x:v>0.19059</x:v>
      </x:c>
      <x:c r="Y30" s="22" t="n">
        <x:v>0.52189</x:v>
      </x:c>
      <x:c r="Z30" s="22" t="n">
        <x:v>0.55577</x:v>
      </x:c>
      <x:c r="AA30" s="22" t="n">
        <x:v>29.95</x:v>
      </x:c>
      <x:c r="AB30" s="22" t="str">
        <x:v>Z</x:v>
      </x:c>
      <x:c r="AC30" s="22" t="n">
        <x:v>0.01617</x:v>
      </x:c>
      <x:c r="AD30" s="22" t="n">
        <x:v>70.15</x:v>
      </x:c>
      <x:c r="AE30" s="22" t="n">
        <x:v>0.034</x:v>
      </x:c>
      <x:c r="AF30" s="22" t="n">
        <x:v>59.97</x:v>
      </x:c>
      <x:c r="AG30" s="22" t="n">
        <x:v>0.18289</x:v>
      </x:c>
      <x:c r="AH30" s="22" t="n">
        <x:v>-96.42</x:v>
      </x:c>
      <x:c r="AI30" s="22" t="n">
        <x:v>0.225</x:v>
      </x:c>
      <x:c r="AJ30" s="22" t="n">
        <x:v>3.63</x:v>
      </x:c>
      <x:c r="AK30" s="22" t="n">
        <x:v>0.5253</x:v>
      </x:c>
      <x:c r="AL30" s="22" t="n">
        <x:v>156.09</x:v>
      </x:c>
      <x:c r="AM30" s="22" t="n">
        <x:v>0.704</x:v>
      </x:c>
      <x:c r="AN30" s="22" t="n">
        <x:v>3.14</x:v>
      </x:c>
      <x:c r="AO30" s="22" t="n">
        <x:v>0.55658</x:v>
      </x:c>
      <x:c r="AP30" s="22" t="n">
        <x:v>2.86</x:v>
      </x:c>
      <x:c r="AQ30" s="22" t="n">
        <x:v>0.029</x:v>
      </x:c>
      <x:c r="AR30" s="22" t="n">
        <x:v>0.3286</x:v>
      </x:c>
      <x:c r="AS30" s="22" t="n">
        <x:v>0.9438</x:v>
      </x:c>
      <x:c r="AT30" s="22" t="n">
        <x:v>1</x:v>
      </x:c>
    </x:row>
    <x:row r="31">
      <x:c r="A31" s="22" t="str">
        <x:v>GAIN_SWEEP</x:v>
      </x:c>
      <x:c r="B31" s="22" t="n">
        <x:v>6</x:v>
      </x:c>
      <x:c r="C31" s="22" t="n">
        <x:v>1</x:v>
      </x:c>
      <x:c r="D31" s="22" t="n">
        <x:v>200</x:v>
      </x:c>
      <x:c r="E31" s="22" t="n">
        <x:v>15</x:v>
      </x:c>
      <x:c r="F31" s="22" t="n">
        <x:v>218.06872</x:v>
      </x:c>
      <x:c r="G31" s="22" t="n">
        <x:v>0.16269</x:v>
      </x:c>
      <x:c r="H31" s="22" t="n">
        <x:v>22</x:v>
      </x:c>
      <x:c r="I31" s="22" t="n">
        <x:v>145.86817</x:v>
      </x:c>
      <x:c r="J31" s="22" t="n">
        <x:v>0.34106</x:v>
      </x:c>
      <x:c r="K31" s="22" t="n">
        <x:v>25.15</x:v>
      </x:c>
      <x:c r="L31" s="22" t="n">
        <x:v>200.0138</x:v>
      </x:c>
      <x:c r="M31" s="22" t="n">
        <x:v>0.57324</x:v>
      </x:c>
      <x:c r="N31" s="22" t="n">
        <x:v>30.3</x:v>
      </x:c>
      <x:c r="O31" s="22" t="n">
        <x:v>200.17714</x:v>
      </x:c>
      <x:c r="P31" s="22" t="n">
        <x:v>0.02874</x:v>
      </x:c>
      <x:c r="Q31" s="22" t="n">
        <x:v>200.01591</x:v>
      </x:c>
      <x:c r="R31" s="22" t="n">
        <x:v>0.18908</x:v>
      </x:c>
      <x:c r="S31" s="22" t="n">
        <x:v>200.0138</x:v>
      </x:c>
      <x:c r="T31" s="22" t="n">
        <x:v>0.57324</x:v>
      </x:c>
      <x:c r="U31" s="22" t="n">
        <x:v>200.01438</x:v>
      </x:c>
      <x:c r="V31" s="22" t="n">
        <x:v>0.01438</x:v>
      </x:c>
      <x:c r="W31" s="22" t="n">
        <x:v>0.02874</x:v>
      </x:c>
      <x:c r="X31" s="22" t="n">
        <x:v>0.18908</x:v>
      </x:c>
      <x:c r="Y31" s="22" t="n">
        <x:v>0.57324</x:v>
      </x:c>
      <x:c r="Z31" s="22" t="n">
        <x:v>0.60431</x:v>
      </x:c>
      <x:c r="AA31" s="22" t="n">
        <x:v>30.93</x:v>
      </x:c>
      <x:c r="AB31" s="22" t="str">
        <x:v>Z</x:v>
      </x:c>
      <x:c r="AC31" s="22" t="n">
        <x:v>0.02327</x:v>
      </x:c>
      <x:c r="AD31" s="22" t="n">
        <x:v>-119.78</x:v>
      </x:c>
      <x:c r="AE31" s="22" t="n">
        <x:v>0.053</x:v>
      </x:c>
      <x:c r="AF31" s="22" t="n">
        <x:v>68.61</x:v>
      </x:c>
      <x:c r="AG31" s="22" t="n">
        <x:v>0.20091</x:v>
      </x:c>
      <x:c r="AH31" s="22" t="n">
        <x:v>-105.15</x:v>
      </x:c>
      <x:c r="AI31" s="22" t="n">
        <x:v>0.24</x:v>
      </x:c>
      <x:c r="AJ31" s="22" t="n">
        <x:v>4.56</x:v>
      </x:c>
      <x:c r="AK31" s="22" t="n">
        <x:v>0.58172</x:v>
      </x:c>
      <x:c r="AL31" s="22" t="n">
        <x:v>154.86</x:v>
      </x:c>
      <x:c r="AM31" s="22" t="n">
        <x:v>0.772</x:v>
      </x:c>
      <x:c r="AN31" s="22" t="n">
        <x:v>3.37</x:v>
      </x:c>
      <x:c r="AO31" s="22" t="n">
        <x:v>0.61603</x:v>
      </x:c>
      <x:c r="AP31" s="22" t="n">
        <x:v>3.58</x:v>
      </x:c>
      <x:c r="AQ31" s="22" t="n">
        <x:v>0.0378</x:v>
      </x:c>
      <x:c r="AR31" s="22" t="n">
        <x:v>0.3261</x:v>
      </x:c>
      <x:c r="AS31" s="22" t="n">
        <x:v>0.9443</x:v>
      </x:c>
      <x:c r="AT31" s="22" t="n">
        <x:v>1</x:v>
      </x:c>
    </x:row>
    <x:row r="32">
      <x:c r="A32" s="22" t="str">
        <x:v>GAIN_SWEEP</x:v>
      </x:c>
      <x:c r="B32" s="22" t="n">
        <x:v>1</x:v>
      </x:c>
      <x:c r="C32" s="22" t="n">
        <x:v>1</x:v>
      </x:c>
      <x:c r="D32" s="22" t="n">
        <x:v>225</x:v>
      </x:c>
      <x:c r="E32" s="22" t="n">
        <x:v>10</x:v>
      </x:c>
      <x:c r="F32" s="22" t="n">
        <x:v>443.13389</x:v>
      </x:c>
      <x:c r="G32" s="22" t="n">
        <x:v>0.10968</x:v>
      </x:c>
      <x:c r="H32" s="22" t="n">
        <x:v>16.14</x:v>
      </x:c>
      <x:c r="I32" s="22" t="n">
        <x:v>661.07618</x:v>
      </x:c>
      <x:c r="J32" s="22" t="n">
        <x:v>0.21459</x:v>
      </x:c>
      <x:c r="K32" s="22" t="n">
        <x:v>17.08</x:v>
      </x:c>
      <x:c r="L32" s="22" t="n">
        <x:v>224.99832</x:v>
      </x:c>
      <x:c r="M32" s="22" t="n">
        <x:v>0.26858</x:v>
      </x:c>
      <x:c r="N32" s="22" t="n">
        <x:v>21.96</x:v>
      </x:c>
      <x:c r="O32" s="22" t="n">
        <x:v>218.02655</x:v>
      </x:c>
      <x:c r="P32" s="22" t="n">
        <x:v>0.08346</x:v>
      </x:c>
      <x:c r="Q32" s="22" t="n">
        <x:v>224.99128</x:v>
      </x:c>
      <x:c r="R32" s="22" t="n">
        <x:v>0.16828</x:v>
      </x:c>
      <x:c r="S32" s="22" t="n">
        <x:v>224.99832</x:v>
      </x:c>
      <x:c r="T32" s="22" t="n">
        <x:v>0.26858</x:v>
      </x:c>
      <x:c r="U32" s="22" t="n">
        <x:v>224.99563</x:v>
      </x:c>
      <x:c r="V32" s="22" t="n">
        <x:v>-0.00437</x:v>
      </x:c>
      <x:c r="W32" s="22" t="n">
        <x:v>0.02262</x:v>
      </x:c>
      <x:c r="X32" s="22" t="n">
        <x:v>0.16828</x:v>
      </x:c>
      <x:c r="Y32" s="22" t="n">
        <x:v>0.26858</x:v>
      </x:c>
      <x:c r="Z32" s="22" t="n">
        <x:v>0.31775</x:v>
      </x:c>
      <x:c r="AA32" s="22" t="n">
        <x:v>12.64</x:v>
      </x:c>
      <x:c r="AB32" s="22" t="str">
        <x:v>Z</x:v>
      </x:c>
      <x:c r="AC32" s="22" t="n">
        <x:v>0.02912</x:v>
      </x:c>
      <x:c r="AD32" s="22" t="n">
        <x:v>5.31</x:v>
      </x:c>
      <x:c r="AE32" s="22" t="n">
        <x:v>0.061</x:v>
      </x:c>
      <x:c r="AF32" s="22" t="n">
        <x:v>36.82</x:v>
      </x:c>
      <x:c r="AG32" s="22" t="n">
        <x:v>0.17226</x:v>
      </x:c>
      <x:c r="AH32" s="22" t="n">
        <x:v>-98.99</x:v>
      </x:c>
      <x:c r="AI32" s="22" t="n">
        <x:v>0.19</x:v>
      </x:c>
      <x:c r="AJ32" s="22" t="n">
        <x:v>11.79</x:v>
      </x:c>
      <x:c r="AK32" s="22" t="n">
        <x:v>0.25462</x:v>
      </x:c>
      <x:c r="AL32" s="22" t="n">
        <x:v>150.3</x:v>
      </x:c>
      <x:c r="AM32" s="22" t="n">
        <x:v>0.445</x:v>
      </x:c>
      <x:c r="AN32" s="22" t="n">
        <x:v>6.71</x:v>
      </x:c>
      <x:c r="AO32" s="22" t="n">
        <x:v>0.30934</x:v>
      </x:c>
      <x:c r="AP32" s="22" t="n">
        <x:v>6.45</x:v>
      </x:c>
      <x:c r="AQ32" s="22" t="n">
        <x:v>0.0941</x:v>
      </x:c>
      <x:c r="AR32" s="22" t="n">
        <x:v>0.5569</x:v>
      </x:c>
      <x:c r="AS32" s="22" t="n">
        <x:v>0.8231</x:v>
      </x:c>
      <x:c r="AT32" s="22" t="n">
        <x:v>1</x:v>
      </x:c>
    </x:row>
    <x:row r="33">
      <x:c r="A33" s="22" t="str">
        <x:v>GAIN_SWEEP</x:v>
      </x:c>
      <x:c r="B33" s="22" t="n">
        <x:v>2</x:v>
      </x:c>
      <x:c r="C33" s="22" t="n">
        <x:v>1</x:v>
      </x:c>
      <x:c r="D33" s="22" t="n">
        <x:v>225</x:v>
      </x:c>
      <x:c r="E33" s="22" t="n">
        <x:v>11</x:v>
      </x:c>
      <x:c r="F33" s="22" t="n">
        <x:v>456.81069</x:v>
      </x:c>
      <x:c r="G33" s="22" t="n">
        <x:v>0.12037</x:v>
      </x:c>
      <x:c r="H33" s="22" t="n">
        <x:v>17.7</x:v>
      </x:c>
      <x:c r="I33" s="22" t="n">
        <x:v>225.01946</x:v>
      </x:c>
      <x:c r="J33" s="22" t="n">
        <x:v>0.20025</x:v>
      </x:c>
      <x:c r="K33" s="22" t="n">
        <x:v>17.01</x:v>
      </x:c>
      <x:c r="L33" s="22" t="n">
        <x:v>224.98489</x:v>
      </x:c>
      <x:c r="M33" s="22" t="n">
        <x:v>0.30165</x:v>
      </x:c>
      <x:c r="N33" s="22" t="n">
        <x:v>23.15</x:v>
      </x:c>
      <x:c r="O33" s="22" t="n">
        <x:v>218.19462</x:v>
      </x:c>
      <x:c r="P33" s="22" t="n">
        <x:v>0.05244</x:v>
      </x:c>
      <x:c r="Q33" s="22" t="n">
        <x:v>225.01946</x:v>
      </x:c>
      <x:c r="R33" s="22" t="n">
        <x:v>0.20025</x:v>
      </x:c>
      <x:c r="S33" s="22" t="n">
        <x:v>224.98489</x:v>
      </x:c>
      <x:c r="T33" s="22" t="n">
        <x:v>0.30165</x:v>
      </x:c>
      <x:c r="U33" s="22" t="n">
        <x:v>224.99584</x:v>
      </x:c>
      <x:c r="V33" s="22" t="n">
        <x:v>-0.00416</x:v>
      </x:c>
      <x:c r="W33" s="22" t="n">
        <x:v>0.03411</x:v>
      </x:c>
      <x:c r="X33" s="22" t="n">
        <x:v>0.20025</x:v>
      </x:c>
      <x:c r="Y33" s="22" t="n">
        <x:v>0.30165</x:v>
      </x:c>
      <x:c r="Z33" s="22" t="n">
        <x:v>0.36367</x:v>
      </x:c>
      <x:c r="AA33" s="22" t="n">
        <x:v>17.04</x:v>
      </x:c>
      <x:c r="AB33" s="22" t="str">
        <x:v>Z</x:v>
      </x:c>
      <x:c r="AC33" s="22" t="n">
        <x:v>0.03431</x:v>
      </x:c>
      <x:c r="AD33" s="22" t="n">
        <x:v>7.05</x:v>
      </x:c>
      <x:c r="AE33" s="22" t="n">
        <x:v>0.078</x:v>
      </x:c>
      <x:c r="AF33" s="22" t="n">
        <x:v>23.69</x:v>
      </x:c>
      <x:c r="AG33" s="22" t="n">
        <x:v>0.21817</x:v>
      </x:c>
      <x:c r="AH33" s="22" t="n">
        <x:v>-98.54</x:v>
      </x:c>
      <x:c r="AI33" s="22" t="n">
        <x:v>0.251</x:v>
      </x:c>
      <x:c r="AJ33" s="22" t="n">
        <x:v>12.23</x:v>
      </x:c>
      <x:c r="AK33" s="22" t="n">
        <x:v>0.29637</x:v>
      </x:c>
      <x:c r="AL33" s="22" t="n">
        <x:v>148.64</x:v>
      </x:c>
      <x:c r="AM33" s="22" t="n">
        <x:v>0.503</x:v>
      </x:c>
      <x:c r="AN33" s="22" t="n">
        <x:v>5.14</x:v>
      </x:c>
      <x:c r="AO33" s="22" t="n">
        <x:v>0.37023</x:v>
      </x:c>
      <x:c r="AP33" s="22" t="n">
        <x:v>5.66</x:v>
      </x:c>
      <x:c r="AQ33" s="22" t="n">
        <x:v>0.0927</x:v>
      </x:c>
      <x:c r="AR33" s="22" t="n">
        <x:v>0.5893</x:v>
      </x:c>
      <x:c r="AS33" s="22" t="n">
        <x:v>0.8005</x:v>
      </x:c>
      <x:c r="AT33" s="22" t="n">
        <x:v>1</x:v>
      </x:c>
    </x:row>
    <x:row r="34">
      <x:c r="A34" s="22" t="str">
        <x:v>GAIN_SWEEP</x:v>
      </x:c>
      <x:c r="B34" s="22" t="n">
        <x:v>3</x:v>
      </x:c>
      <x:c r="C34" s="22" t="n">
        <x:v>1</x:v>
      </x:c>
      <x:c r="D34" s="22" t="n">
        <x:v>225</x:v>
      </x:c>
      <x:c r="E34" s="22" t="n">
        <x:v>12</x:v>
      </x:c>
      <x:c r="F34" s="22" t="n">
        <x:v>689.11793</x:v>
      </x:c>
      <x:c r="G34" s="22" t="n">
        <x:v>0.13065</x:v>
      </x:c>
      <x:c r="H34" s="22" t="n">
        <x:v>17.8</x:v>
      </x:c>
      <x:c r="I34" s="22" t="n">
        <x:v>225.00716</x:v>
      </x:c>
      <x:c r="J34" s="22" t="n">
        <x:v>0.22084</x:v>
      </x:c>
      <x:c r="K34" s="22" t="n">
        <x:v>17.23</x:v>
      </x:c>
      <x:c r="L34" s="22" t="n">
        <x:v>224.99115</x:v>
      </x:c>
      <x:c r="M34" s="22" t="n">
        <x:v>0.32912</x:v>
      </x:c>
      <x:c r="N34" s="22" t="n">
        <x:v>24.17</x:v>
      </x:c>
      <x:c r="O34" s="22" t="n">
        <x:v>217.863</x:v>
      </x:c>
      <x:c r="P34" s="22" t="n">
        <x:v>0.07215</x:v>
      </x:c>
      <x:c r="Q34" s="22" t="n">
        <x:v>225.00716</x:v>
      </x:c>
      <x:c r="R34" s="22" t="n">
        <x:v>0.22084</x:v>
      </x:c>
      <x:c r="S34" s="22" t="n">
        <x:v>224.99115</x:v>
      </x:c>
      <x:c r="T34" s="22" t="n">
        <x:v>0.32912</x:v>
      </x:c>
      <x:c r="U34" s="22" t="n">
        <x:v>224.99715</x:v>
      </x:c>
      <x:c r="V34" s="22" t="n">
        <x:v>-0.00285</x:v>
      </x:c>
      <x:c r="W34" s="22" t="n">
        <x:v>0.03301</x:v>
      </x:c>
      <x:c r="X34" s="22" t="n">
        <x:v>0.22084</x:v>
      </x:c>
      <x:c r="Y34" s="22" t="n">
        <x:v>0.32912</x:v>
      </x:c>
      <x:c r="Z34" s="22" t="n">
        <x:v>0.39772</x:v>
      </x:c>
      <x:c r="AA34" s="22" t="n">
        <x:v>16.92</x:v>
      </x:c>
      <x:c r="AB34" s="22" t="str">
        <x:v>Z</x:v>
      </x:c>
      <x:c r="AC34" s="22" t="n">
        <x:v>0.03503</x:v>
      </x:c>
      <x:c r="AD34" s="22" t="n">
        <x:v>6.87</x:v>
      </x:c>
      <x:c r="AE34" s="22" t="n">
        <x:v>0.073</x:v>
      </x:c>
      <x:c r="AF34" s="22" t="n">
        <x:v>25.11</x:v>
      </x:c>
      <x:c r="AG34" s="22" t="n">
        <x:v>0.21998</x:v>
      </x:c>
      <x:c r="AH34" s="22" t="n">
        <x:v>-98.15</x:v>
      </x:c>
      <x:c r="AI34" s="22" t="n">
        <x:v>0.238</x:v>
      </x:c>
      <x:c r="AJ34" s="22" t="n">
        <x:v>14.39</x:v>
      </x:c>
      <x:c r="AK34" s="22" t="n">
        <x:v>0.33806</x:v>
      </x:c>
      <x:c r="AL34" s="22" t="n">
        <x:v>149.52</x:v>
      </x:c>
      <x:c r="AM34" s="22" t="n">
        <x:v>0.553</x:v>
      </x:c>
      <x:c r="AN34" s="22" t="n">
        <x:v>5.81</x:v>
      </x:c>
      <x:c r="AO34" s="22" t="n">
        <x:v>0.40602</x:v>
      </x:c>
      <x:c r="AP34" s="22" t="n">
        <x:v>4.11</x:v>
      </x:c>
      <x:c r="AQ34" s="22" t="n">
        <x:v>0.0863</x:v>
      </x:c>
      <x:c r="AR34" s="22" t="n">
        <x:v>0.5418</x:v>
      </x:c>
      <x:c r="AS34" s="22" t="n">
        <x:v>0.8326</x:v>
      </x:c>
      <x:c r="AT34" s="22" t="n">
        <x:v>1</x:v>
      </x:c>
    </x:row>
    <x:row r="35">
      <x:c r="A35" s="22" t="str">
        <x:v>GAIN_SWEEP</x:v>
      </x:c>
      <x:c r="B35" s="22" t="n">
        <x:v>4</x:v>
      </x:c>
      <x:c r="C35" s="22" t="n">
        <x:v>1</x:v>
      </x:c>
      <x:c r="D35" s="22" t="n">
        <x:v>225</x:v>
      </x:c>
      <x:c r="E35" s="22" t="n">
        <x:v>13</x:v>
      </x:c>
      <x:c r="F35" s="22" t="n">
        <x:v>689.15683</x:v>
      </x:c>
      <x:c r="G35" s="22" t="n">
        <x:v>0.12067</x:v>
      </x:c>
      <x:c r="H35" s="22" t="n">
        <x:v>17.42</x:v>
      </x:c>
      <x:c r="I35" s="22" t="n">
        <x:v>271.40303</x:v>
      </x:c>
      <x:c r="J35" s="22" t="n">
        <x:v>0.30288</x:v>
      </x:c>
      <x:c r="K35" s="22" t="n">
        <x:v>19.87</x:v>
      </x:c>
      <x:c r="L35" s="22" t="n">
        <x:v>225.01706</x:v>
      </x:c>
      <x:c r="M35" s="22" t="n">
        <x:v>0.36659</x:v>
      </x:c>
      <x:c r="N35" s="22" t="n">
        <x:v>24.71</x:v>
      </x:c>
      <x:c r="O35" s="22" t="n">
        <x:v>217.75862</x:v>
      </x:c>
      <x:c r="P35" s="22" t="n">
        <x:v>0.05809</x:v>
      </x:c>
      <x:c r="Q35" s="22" t="n">
        <x:v>225.01237</x:v>
      </x:c>
      <x:c r="R35" s="22" t="n">
        <x:v>0.2396</x:v>
      </x:c>
      <x:c r="S35" s="22" t="n">
        <x:v>225.01706</x:v>
      </x:c>
      <x:c r="T35" s="22" t="n">
        <x:v>0.36659</x:v>
      </x:c>
      <x:c r="U35" s="22" t="n">
        <x:v>225.01591</x:v>
      </x:c>
      <x:c r="V35" s="22" t="n">
        <x:v>0.01591</x:v>
      </x:c>
      <x:c r="W35" s="22" t="n">
        <x:v>0.0343</x:v>
      </x:c>
      <x:c r="X35" s="22" t="n">
        <x:v>0.2396</x:v>
      </x:c>
      <x:c r="Y35" s="22" t="n">
        <x:v>0.36659</x:v>
      </x:c>
      <x:c r="Z35" s="22" t="n">
        <x:v>0.43929</x:v>
      </x:c>
      <x:c r="AA35" s="22" t="n">
        <x:v>18.56</x:v>
      </x:c>
      <x:c r="AB35" s="22" t="str">
        <x:v>Z</x:v>
      </x:c>
      <x:c r="AC35" s="22" t="n">
        <x:v>0.03017</x:v>
      </x:c>
      <x:c r="AD35" s="22" t="n">
        <x:v>10.58</x:v>
      </x:c>
      <x:c r="AE35" s="22" t="n">
        <x:v>0.069</x:v>
      </x:c>
      <x:c r="AF35" s="22" t="n">
        <x:v>54.34</x:v>
      </x:c>
      <x:c r="AG35" s="22" t="n">
        <x:v>0.24237</x:v>
      </x:c>
      <x:c r="AH35" s="22" t="n">
        <x:v>-97.85</x:v>
      </x:c>
      <x:c r="AI35" s="22" t="n">
        <x:v>0.258</x:v>
      </x:c>
      <x:c r="AJ35" s="22" t="n">
        <x:v>8.07</x:v>
      </x:c>
      <x:c r="AK35" s="22" t="n">
        <x:v>0.36402</x:v>
      </x:c>
      <x:c r="AL35" s="22" t="n">
        <x:v>145.84</x:v>
      </x:c>
      <x:c r="AM35" s="22" t="n">
        <x:v>0.593</x:v>
      </x:c>
      <x:c r="AN35" s="22" t="n">
        <x:v>7.11</x:v>
      </x:c>
      <x:c r="AO35" s="22" t="n">
        <x:v>0.43918</x:v>
      </x:c>
      <x:c r="AP35" s="22" t="n">
        <x:v>4.7</x:v>
      </x:c>
      <x:c r="AQ35" s="22" t="n">
        <x:v>0.0687</x:v>
      </x:c>
      <x:c r="AR35" s="22" t="n">
        <x:v>0.5519</x:v>
      </x:c>
      <x:c r="AS35" s="22" t="n">
        <x:v>0.8289</x:v>
      </x:c>
      <x:c r="AT35" s="22" t="n">
        <x:v>1</x:v>
      </x:c>
    </x:row>
    <x:row r="36">
      <x:c r="A36" s="22" t="str">
        <x:v>GAIN_SWEEP</x:v>
      </x:c>
      <x:c r="B36" s="22" t="n">
        <x:v>5</x:v>
      </x:c>
      <x:c r="C36" s="22" t="n">
        <x:v>1</x:v>
      </x:c>
      <x:c r="D36" s="22" t="n">
        <x:v>225</x:v>
      </x:c>
      <x:c r="E36" s="22" t="n">
        <x:v>14</x:v>
      </x:c>
      <x:c r="F36" s="22" t="n">
        <x:v>689.04717</x:v>
      </x:c>
      <x:c r="G36" s="22" t="n">
        <x:v>0.15444</x:v>
      </x:c>
      <x:c r="H36" s="22" t="n">
        <x:v>19.22</x:v>
      </x:c>
      <x:c r="I36" s="22" t="n">
        <x:v>224.95165</x:v>
      </x:c>
      <x:c r="J36" s="22" t="n">
        <x:v>0.26094</x:v>
      </x:c>
      <x:c r="K36" s="22" t="n">
        <x:v>19.15</x:v>
      </x:c>
      <x:c r="L36" s="22" t="n">
        <x:v>224.97173</x:v>
      </x:c>
      <x:c r="M36" s="22" t="n">
        <x:v>0.40556</x:v>
      </x:c>
      <x:c r="N36" s="22" t="n">
        <x:v>25.62</x:v>
      </x:c>
      <x:c r="O36" s="22" t="n">
        <x:v>217.94544</x:v>
      </x:c>
      <x:c r="P36" s="22" t="n">
        <x:v>0.07097</x:v>
      </x:c>
      <x:c r="Q36" s="22" t="n">
        <x:v>224.95165</x:v>
      </x:c>
      <x:c r="R36" s="22" t="n">
        <x:v>0.26094</x:v>
      </x:c>
      <x:c r="S36" s="22" t="n">
        <x:v>224.97173</x:v>
      </x:c>
      <x:c r="T36" s="22" t="n">
        <x:v>0.40556</x:v>
      </x:c>
      <x:c r="U36" s="22" t="n">
        <x:v>224.96636</x:v>
      </x:c>
      <x:c r="V36" s="22" t="n">
        <x:v>-0.03364</x:v>
      </x:c>
      <x:c r="W36" s="22" t="n">
        <x:v>0.03164</x:v>
      </x:c>
      <x:c r="X36" s="22" t="n">
        <x:v>0.26094</x:v>
      </x:c>
      <x:c r="Y36" s="22" t="n">
        <x:v>0.40556</x:v>
      </x:c>
      <x:c r="Z36" s="22" t="n">
        <x:v>0.48329</x:v>
      </x:c>
      <x:c r="AA36" s="22" t="n">
        <x:v>18.07</x:v>
      </x:c>
      <x:c r="AB36" s="22" t="str">
        <x:v>Z</x:v>
      </x:c>
      <x:c r="AC36" s="22" t="n">
        <x:v>0.03888</x:v>
      </x:c>
      <x:c r="AD36" s="22" t="n">
        <x:v>-2.58</x:v>
      </x:c>
      <x:c r="AE36" s="22" t="n">
        <x:v>0.08</x:v>
      </x:c>
      <x:c r="AF36" s="22" t="n">
        <x:v>12.94</x:v>
      </x:c>
      <x:c r="AG36" s="22" t="n">
        <x:v>0.27116</x:v>
      </x:c>
      <x:c r="AH36" s="22" t="n">
        <x:v>-103.6</x:v>
      </x:c>
      <x:c r="AI36" s="22" t="n">
        <x:v>0.311</x:v>
      </x:c>
      <x:c r="AJ36" s="22" t="n">
        <x:v>10.05</x:v>
      </x:c>
      <x:c r="AK36" s="22" t="n">
        <x:v>0.39951</x:v>
      </x:c>
      <x:c r="AL36" s="22" t="n">
        <x:v>146.46</x:v>
      </x:c>
      <x:c r="AM36" s="22" t="n">
        <x:v>0.615</x:v>
      </x:c>
      <x:c r="AN36" s="22" t="n">
        <x:v>4.61</x:v>
      </x:c>
      <x:c r="AO36" s="22" t="n">
        <x:v>0.48479</x:v>
      </x:c>
      <x:c r="AP36" s="22" t="n">
        <x:v>5.21</x:v>
      </x:c>
      <x:c r="AQ36" s="22" t="n">
        <x:v>0.0802</x:v>
      </x:c>
      <x:c r="AR36" s="22" t="n">
        <x:v>0.5593</x:v>
      </x:c>
      <x:c r="AS36" s="22" t="n">
        <x:v>0.8241</x:v>
      </x:c>
      <x:c r="AT36" s="22" t="n">
        <x:v>1</x:v>
      </x:c>
    </x:row>
    <x:row r="37">
      <x:c r="A37" s="22" t="str">
        <x:v>GAIN_SWEEP</x:v>
      </x:c>
      <x:c r="B37" s="22" t="n">
        <x:v>6</x:v>
      </x:c>
      <x:c r="C37" s="22" t="n">
        <x:v>1</x:v>
      </x:c>
      <x:c r="D37" s="22" t="n">
        <x:v>225</x:v>
      </x:c>
      <x:c r="E37" s="22" t="n">
        <x:v>15</x:v>
      </x:c>
      <x:c r="F37" s="22" t="n">
        <x:v>443.16156</x:v>
      </x:c>
      <x:c r="G37" s="22" t="n">
        <x:v>0.10092</x:v>
      </x:c>
      <x:c r="H37" s="22" t="n">
        <x:v>15.55</x:v>
      </x:c>
      <x:c r="I37" s="22" t="n">
        <x:v>225.04429</x:v>
      </x:c>
      <x:c r="J37" s="22" t="n">
        <x:v>0.28576</x:v>
      </x:c>
      <x:c r="K37" s="22" t="n">
        <x:v>19.8</x:v>
      </x:c>
      <x:c r="L37" s="22" t="n">
        <x:v>225.00477</x:v>
      </x:c>
      <x:c r="M37" s="22" t="n">
        <x:v>0.4355</x:v>
      </x:c>
      <x:c r="N37" s="22" t="n">
        <x:v>26.67</x:v>
      </x:c>
      <x:c r="O37" s="22" t="n">
        <x:v>218.16852</x:v>
      </x:c>
      <x:c r="P37" s="22" t="n">
        <x:v>0.07328</x:v>
      </x:c>
      <x:c r="Q37" s="22" t="n">
        <x:v>225.04429</x:v>
      </x:c>
      <x:c r="R37" s="22" t="n">
        <x:v>0.28576</x:v>
      </x:c>
      <x:c r="S37" s="22" t="n">
        <x:v>225.00477</x:v>
      </x:c>
      <x:c r="T37" s="22" t="n">
        <x:v>0.4355</x:v>
      </x:c>
      <x:c r="U37" s="22" t="n">
        <x:v>225.01735</x:v>
      </x:c>
      <x:c r="V37" s="22" t="n">
        <x:v>0.01735</x:v>
      </x:c>
      <x:c r="W37" s="22" t="n">
        <x:v>0.04029</x:v>
      </x:c>
      <x:c r="X37" s="22" t="n">
        <x:v>0.28576</x:v>
      </x:c>
      <x:c r="Y37" s="22" t="n">
        <x:v>0.4355</x:v>
      </x:c>
      <x:c r="Z37" s="22" t="n">
        <x:v>0.52244</x:v>
      </x:c>
      <x:c r="AA37" s="22" t="n">
        <x:v>18.71</x:v>
      </x:c>
      <x:c r="AB37" s="22" t="str">
        <x:v>Z</x:v>
      </x:c>
      <x:c r="AC37" s="22" t="n">
        <x:v>0.03635</x:v>
      </x:c>
      <x:c r="AD37" s="22" t="n">
        <x:v>0.45</x:v>
      </x:c>
      <x:c r="AE37" s="22" t="n">
        <x:v>0.081</x:v>
      </x:c>
      <x:c r="AF37" s="22" t="n">
        <x:v>26.9</x:v>
      </x:c>
      <x:c r="AG37" s="22" t="n">
        <x:v>0.28218</x:v>
      </x:c>
      <x:c r="AH37" s="22" t="n">
        <x:v>-99.34</x:v>
      </x:c>
      <x:c r="AI37" s="22" t="n">
        <x:v>0.32</x:v>
      </x:c>
      <x:c r="AJ37" s="22" t="n">
        <x:v>6.52</x:v>
      </x:c>
      <x:c r="AK37" s="22" t="n">
        <x:v>0.43474</x:v>
      </x:c>
      <x:c r="AL37" s="22" t="n">
        <x:v>147.16</x:v>
      </x:c>
      <x:c r="AM37" s="22" t="n">
        <x:v>0.673</x:v>
      </x:c>
      <x:c r="AN37" s="22" t="n">
        <x:v>4.12</x:v>
      </x:c>
      <x:c r="AO37" s="22" t="n">
        <x:v>0.51993</x:v>
      </x:c>
      <x:c r="AP37" s="22" t="n">
        <x:v>3.19</x:v>
      </x:c>
      <x:c r="AQ37" s="22" t="n">
        <x:v>0.0699</x:v>
      </x:c>
      <x:c r="AR37" s="22" t="n">
        <x:v>0.5427</x:v>
      </x:c>
      <x:c r="AS37" s="22" t="n">
        <x:v>0.8362</x:v>
      </x:c>
      <x:c r="AT37" s="22" t="n">
        <x:v>1</x:v>
      </x:c>
    </x:row>
    <x:row r="38">
      <x:c r="A38" s="22" t="str">
        <x:v>GAIN_SWEEP</x:v>
      </x:c>
      <x:c r="B38" s="22" t="n">
        <x:v>1</x:v>
      </x:c>
      <x:c r="C38" s="22" t="n">
        <x:v>1</x:v>
      </x:c>
      <x:c r="D38" s="22" t="n">
        <x:v>250</x:v>
      </x:c>
      <x:c r="E38" s="22" t="n">
        <x:v>10</x:v>
      </x:c>
      <x:c r="F38" s="22" t="n">
        <x:v>167.80516</x:v>
      </x:c>
      <x:c r="G38" s="22" t="n">
        <x:v>0.25315</x:v>
      </x:c>
      <x:c r="H38" s="22" t="n">
        <x:v>23.44</x:v>
      </x:c>
      <x:c r="I38" s="22" t="n">
        <x:v>246.61231</x:v>
      </x:c>
      <x:c r="J38" s="22" t="n">
        <x:v>0.26146</x:v>
      </x:c>
      <x:c r="K38" s="22" t="n">
        <x:v>21.36</x:v>
      </x:c>
      <x:c r="L38" s="22" t="n">
        <x:v>249.98241</x:v>
      </x:c>
      <x:c r="M38" s="22" t="n">
        <x:v>0.54212</x:v>
      </x:c>
      <x:c r="N38" s="22" t="n">
        <x:v>28.59</x:v>
      </x:c>
      <x:c r="O38" s="22" t="n">
        <x:v>246.63471</x:v>
      </x:c>
      <x:c r="P38" s="22" t="n">
        <x:v>0.04873</x:v>
      </x:c>
      <x:c r="Q38" s="22" t="n">
        <x:v>246.61231</x:v>
      </x:c>
      <x:c r="R38" s="22" t="n">
        <x:v>0.26146</x:v>
      </x:c>
      <x:c r="S38" s="22" t="n">
        <x:v>249.98241</x:v>
      </x:c>
      <x:c r="T38" s="22" t="n">
        <x:v>0.54212</x:v>
      </x:c>
      <x:c r="U38" s="22" t="n">
        <x:v>249.98779</x:v>
      </x:c>
      <x:c r="V38" s="22" t="n">
        <x:v>-0.01221</x:v>
      </x:c>
      <x:c r="W38" s="22" t="n">
        <x:v>0.04657</x:v>
      </x:c>
      <x:c r="X38" s="22" t="n">
        <x:v>0.2432</x:v>
      </x:c>
      <x:c r="Y38" s="22" t="n">
        <x:v>0.54212</x:v>
      </x:c>
      <x:c r="Z38" s="22" t="n">
        <x:v>0.59599</x:v>
      </x:c>
      <x:c r="AA38" s="22" t="n">
        <x:v>24.32</x:v>
      </x:c>
      <x:c r="AB38" s="22" t="str">
        <x:v>Z</x:v>
      </x:c>
      <x:c r="AC38" s="22" t="n">
        <x:v>0.04737</x:v>
      </x:c>
      <x:c r="AD38" s="22" t="n">
        <x:v>-65.95</x:v>
      </x:c>
      <x:c r="AE38" s="22" t="n">
        <x:v>0.076</x:v>
      </x:c>
      <x:c r="AF38" s="22" t="n">
        <x:v>49.81</x:v>
      </x:c>
      <x:c r="AG38" s="22" t="n">
        <x:v>0.26909</x:v>
      </x:c>
      <x:c r="AH38" s="22" t="n">
        <x:v>-121.84</x:v>
      </x:c>
      <x:c r="AI38" s="22" t="n">
        <x:v>0.308</x:v>
      </x:c>
      <x:c r="AJ38" s="22" t="n">
        <x:v>27.91</x:v>
      </x:c>
      <x:c r="AK38" s="22" t="n">
        <x:v>0.53948</x:v>
      </x:c>
      <x:c r="AL38" s="22" t="n">
        <x:v>134.54</x:v>
      </x:c>
      <x:c r="AM38" s="22" t="n">
        <x:v>0.725</x:v>
      </x:c>
      <x:c r="AN38" s="22" t="n">
        <x:v>4.93</x:v>
      </x:c>
      <x:c r="AO38" s="22" t="n">
        <x:v>0.60838</x:v>
      </x:c>
      <x:c r="AP38" s="22" t="n">
        <x:v>6.1</x:v>
      </x:c>
      <x:c r="AQ38" s="22" t="n">
        <x:v>0.0779</x:v>
      </x:c>
      <x:c r="AR38" s="22" t="n">
        <x:v>0.4423</x:v>
      </x:c>
      <x:c r="AS38" s="22" t="n">
        <x:v>0.8868</x:v>
      </x:c>
      <x:c r="AT38" s="22" t="n">
        <x:v>1</x:v>
      </x:c>
    </x:row>
    <x:row r="39">
      <x:c r="A39" s="22" t="str">
        <x:v>GAIN_SWEEP</x:v>
      </x:c>
      <x:c r="B39" s="22" t="n">
        <x:v>2</x:v>
      </x:c>
      <x:c r="C39" s="22" t="n">
        <x:v>1</x:v>
      </x:c>
      <x:c r="D39" s="22" t="n">
        <x:v>250</x:v>
      </x:c>
      <x:c r="E39" s="22" t="n">
        <x:v>11</x:v>
      </x:c>
      <x:c r="F39" s="22" t="n">
        <x:v>332.08991</x:v>
      </x:c>
      <x:c r="G39" s="22" t="n">
        <x:v>0.28063</x:v>
      </x:c>
      <x:c r="H39" s="22" t="n">
        <x:v>25.02</x:v>
      </x:c>
      <x:c r="I39" s="22" t="n">
        <x:v>250.02973</x:v>
      </x:c>
      <x:c r="J39" s="22" t="n">
        <x:v>0.27498</x:v>
      </x:c>
      <x:c r="K39" s="22" t="n">
        <x:v>22.63</x:v>
      </x:c>
      <x:c r="L39" s="22" t="n">
        <x:v>250.00495</x:v>
      </x:c>
      <x:c r="M39" s="22" t="n">
        <x:v>0.6072</x:v>
      </x:c>
      <x:c r="N39" s="22" t="n">
        <x:v>29.72</x:v>
      </x:c>
      <x:c r="O39" s="22" t="n">
        <x:v>249.97829</x:v>
      </x:c>
      <x:c r="P39" s="22" t="n">
        <x:v>0.07607</x:v>
      </x:c>
      <x:c r="Q39" s="22" t="n">
        <x:v>250.02973</x:v>
      </x:c>
      <x:c r="R39" s="22" t="n">
        <x:v>0.27498</x:v>
      </x:c>
      <x:c r="S39" s="22" t="n">
        <x:v>250.00495</x:v>
      </x:c>
      <x:c r="T39" s="22" t="n">
        <x:v>0.6072</x:v>
      </x:c>
      <x:c r="U39" s="22" t="n">
        <x:v>250.00866</x:v>
      </x:c>
      <x:c r="V39" s="22" t="n">
        <x:v>0.00866</x:v>
      </x:c>
      <x:c r="W39" s="22" t="n">
        <x:v>0.07607</x:v>
      </x:c>
      <x:c r="X39" s="22" t="n">
        <x:v>0.27498</x:v>
      </x:c>
      <x:c r="Y39" s="22" t="n">
        <x:v>0.6072</x:v>
      </x:c>
      <x:c r="Z39" s="22" t="n">
        <x:v>0.67089</x:v>
      </x:c>
      <x:c r="AA39" s="22" t="n">
        <x:v>23.02</x:v>
      </x:c>
      <x:c r="AB39" s="22" t="str">
        <x:v>Z</x:v>
      </x:c>
      <x:c r="AC39" s="22" t="n">
        <x:v>0.07181</x:v>
      </x:c>
      <x:c r="AD39" s="22" t="n">
        <x:v>-75.73</x:v>
      </x:c>
      <x:c r="AE39" s="22" t="n">
        <x:v>0.121</x:v>
      </x:c>
      <x:c r="AF39" s="22" t="n">
        <x:v>29.74</x:v>
      </x:c>
      <x:c r="AG39" s="22" t="n">
        <x:v>0.26745</x:v>
      </x:c>
      <x:c r="AH39" s="22" t="n">
        <x:v>-126.75</x:v>
      </x:c>
      <x:c r="AI39" s="22" t="n">
        <x:v>0.33</x:v>
      </x:c>
      <x:c r="AJ39" s="22" t="n">
        <x:v>36.18</x:v>
      </x:c>
      <x:c r="AK39" s="22" t="n">
        <x:v>0.59796</x:v>
      </x:c>
      <x:c r="AL39" s="22" t="n">
        <x:v>135.23</x:v>
      </x:c>
      <x:c r="AM39" s="22" t="n">
        <x:v>0.772</x:v>
      </x:c>
      <x:c r="AN39" s="22" t="n">
        <x:v>2.32</x:v>
      </x:c>
      <x:c r="AO39" s="22" t="n">
        <x:v>0.66363</x:v>
      </x:c>
      <x:c r="AP39" s="22" t="n">
        <x:v>7.23</x:v>
      </x:c>
      <x:c r="AQ39" s="22" t="n">
        <x:v>0.1082</x:v>
      </x:c>
      <x:c r="AR39" s="22" t="n">
        <x:v>0.403</x:v>
      </x:c>
      <x:c r="AS39" s="22" t="n">
        <x:v>0.901</x:v>
      </x:c>
      <x:c r="AT39" s="22" t="n">
        <x:v>1</x:v>
      </x:c>
    </x:row>
    <x:row r="40">
      <x:c r="A40" s="22" t="str">
        <x:v>GAIN_SWEEP</x:v>
      </x:c>
      <x:c r="B40" s="22" t="n">
        <x:v>3</x:v>
      </x:c>
      <x:c r="C40" s="22" t="n">
        <x:v>1</x:v>
      </x:c>
      <x:c r="D40" s="22" t="n">
        <x:v>250</x:v>
      </x:c>
      <x:c r="E40" s="22" t="n">
        <x:v>12</x:v>
      </x:c>
      <x:c r="F40" s="22" t="n">
        <x:v>331.99701</x:v>
      </x:c>
      <x:c r="G40" s="22" t="n">
        <x:v>0.29997</x:v>
      </x:c>
      <x:c r="H40" s="22" t="n">
        <x:v>24.96</x:v>
      </x:c>
      <x:c r="I40" s="22" t="n">
        <x:v>414.03442</x:v>
      </x:c>
      <x:c r="J40" s="22" t="n">
        <x:v>0.3449</x:v>
      </x:c>
      <x:c r="K40" s="22" t="n">
        <x:v>23.13</x:v>
      </x:c>
      <x:c r="L40" s="22" t="n">
        <x:v>249.98593</x:v>
      </x:c>
      <x:c r="M40" s="22" t="n">
        <x:v>0.64232</x:v>
      </x:c>
      <x:c r="N40" s="22" t="n">
        <x:v>29.65</x:v>
      </x:c>
      <x:c r="O40" s="22" t="n">
        <x:v>250.00151</x:v>
      </x:c>
      <x:c r="P40" s="22" t="n">
        <x:v>0.06089</x:v>
      </x:c>
      <x:c r="Q40" s="22" t="n">
        <x:v>249.98944</x:v>
      </x:c>
      <x:c r="R40" s="22" t="n">
        <x:v>0.30932</x:v>
      </x:c>
      <x:c r="S40" s="22" t="n">
        <x:v>249.98593</x:v>
      </x:c>
      <x:c r="T40" s="22" t="n">
        <x:v>0.64232</x:v>
      </x:c>
      <x:c r="U40" s="22" t="n">
        <x:v>249.9867</x:v>
      </x:c>
      <x:c r="V40" s="22" t="n">
        <x:v>-0.0133</x:v>
      </x:c>
      <x:c r="W40" s="22" t="n">
        <x:v>0.06089</x:v>
      </x:c>
      <x:c r="X40" s="22" t="n">
        <x:v>0.30932</x:v>
      </x:c>
      <x:c r="Y40" s="22" t="n">
        <x:v>0.64232</x:v>
      </x:c>
      <x:c r="Z40" s="22" t="n">
        <x:v>0.71551</x:v>
      </x:c>
      <x:c r="AA40" s="22" t="n">
        <x:v>23.21</x:v>
      </x:c>
      <x:c r="AB40" s="22" t="str">
        <x:v>Z</x:v>
      </x:c>
      <x:c r="AC40" s="22" t="n">
        <x:v>0.08014</x:v>
      </x:c>
      <x:c r="AD40" s="22" t="n">
        <x:v>-81.6</x:v>
      </x:c>
      <x:c r="AE40" s="22" t="n">
        <x:v>0.132</x:v>
      </x:c>
      <x:c r="AF40" s="22" t="n">
        <x:v>39.94</x:v>
      </x:c>
      <x:c r="AG40" s="22" t="n">
        <x:v>0.29112</x:v>
      </x:c>
      <x:c r="AH40" s="22" t="n">
        <x:v>-131.6</x:v>
      </x:c>
      <x:c r="AI40" s="22" t="n">
        <x:v>0.32</x:v>
      </x:c>
      <x:c r="AJ40" s="22" t="n">
        <x:v>34.62</x:v>
      </x:c>
      <x:c r="AK40" s="22" t="n">
        <x:v>0.65061</x:v>
      </x:c>
      <x:c r="AL40" s="22" t="n">
        <x:v>133.99</x:v>
      </x:c>
      <x:c r="AM40" s="22" t="n">
        <x:v>0.778</x:v>
      </x:c>
      <x:c r="AN40" s="22" t="n">
        <x:v>3.61</x:v>
      </x:c>
      <x:c r="AO40" s="22" t="n">
        <x:v>0.72237</x:v>
      </x:c>
      <x:c r="AP40" s="22" t="n">
        <x:v>6.98</x:v>
      </x:c>
      <x:c r="AQ40" s="22" t="n">
        <x:v>0.1109</x:v>
      </x:c>
      <x:c r="AR40" s="22" t="n">
        <x:v>0.403</x:v>
      </x:c>
      <x:c r="AS40" s="22" t="n">
        <x:v>0.9007</x:v>
      </x:c>
      <x:c r="AT40" s="22" t="n">
        <x:v>1</x:v>
      </x:c>
    </x:row>
    <x:row r="41">
      <x:c r="A41" s="22" t="str">
        <x:v>GAIN_SWEEP</x:v>
      </x:c>
      <x:c r="B41" s="22" t="n">
        <x:v>4</x:v>
      </x:c>
      <x:c r="C41" s="22" t="n">
        <x:v>1</x:v>
      </x:c>
      <x:c r="D41" s="22" t="n">
        <x:v>250</x:v>
      </x:c>
      <x:c r="E41" s="22" t="n">
        <x:v>13</x:v>
      </x:c>
      <x:c r="F41" s="22" t="n">
        <x:v>167.80995</x:v>
      </x:c>
      <x:c r="G41" s="22" t="n">
        <x:v>0.2054</x:v>
      </x:c>
      <x:c r="H41" s="22" t="n">
        <x:v>22.84</x:v>
      </x:c>
      <x:c r="I41" s="22" t="n">
        <x:v>249.90292</x:v>
      </x:c>
      <x:c r="J41" s="22" t="n">
        <x:v>0.33593</x:v>
      </x:c>
      <x:c r="K41" s="22" t="n">
        <x:v>23.56</x:v>
      </x:c>
      <x:c r="L41" s="22" t="n">
        <x:v>249.99875</x:v>
      </x:c>
      <x:c r="M41" s="22" t="n">
        <x:v>0.68324</x:v>
      </x:c>
      <x:c r="N41" s="22" t="n">
        <x:v>30.06</x:v>
      </x:c>
      <x:c r="O41" s="22" t="n">
        <x:v>250.05694</x:v>
      </x:c>
      <x:c r="P41" s="22" t="n">
        <x:v>0.07228</x:v>
      </x:c>
      <x:c r="Q41" s="22" t="n">
        <x:v>249.90292</x:v>
      </x:c>
      <x:c r="R41" s="22" t="n">
        <x:v>0.33593</x:v>
      </x:c>
      <x:c r="S41" s="22" t="n">
        <x:v>249.99875</x:v>
      </x:c>
      <x:c r="T41" s="22" t="n">
        <x:v>0.68324</x:v>
      </x:c>
      <x:c r="U41" s="22" t="n">
        <x:v>249.98056</x:v>
      </x:c>
      <x:c r="V41" s="22" t="n">
        <x:v>-0.01944</x:v>
      </x:c>
      <x:c r="W41" s="22" t="n">
        <x:v>0.07228</x:v>
      </x:c>
      <x:c r="X41" s="22" t="n">
        <x:v>0.33593</x:v>
      </x:c>
      <x:c r="Y41" s="22" t="n">
        <x:v>0.68324</x:v>
      </x:c>
      <x:c r="Z41" s="22" t="n">
        <x:v>0.76478</x:v>
      </x:c>
      <x:c r="AA41" s="22" t="n">
        <x:v>24.64</x:v>
      </x:c>
      <x:c r="AB41" s="22" t="str">
        <x:v>Z</x:v>
      </x:c>
      <x:c r="AC41" s="22" t="n">
        <x:v>0.07325</x:v>
      </x:c>
      <x:c r="AD41" s="22" t="n">
        <x:v>-80.32</x:v>
      </x:c>
      <x:c r="AE41" s="22" t="n">
        <x:v>0.149</x:v>
      </x:c>
      <x:c r="AF41" s="22" t="n">
        <x:v>28.03</x:v>
      </x:c>
      <x:c r="AG41" s="22" t="n">
        <x:v>0.37631</x:v>
      </x:c>
      <x:c r="AH41" s="22" t="n">
        <x:v>-118.7</x:v>
      </x:c>
      <x:c r="AI41" s="22" t="n">
        <x:v>0.425</x:v>
      </x:c>
      <x:c r="AJ41" s="22" t="n">
        <x:v>15.24</x:v>
      </x:c>
      <x:c r="AK41" s="22" t="n">
        <x:v>0.69531</x:v>
      </x:c>
      <x:c r="AL41" s="22" t="n">
        <x:v>133.84</x:v>
      </x:c>
      <x:c r="AM41" s="22" t="n">
        <x:v>0.791</x:v>
      </x:c>
      <x:c r="AN41" s="22" t="n">
        <x:v>1.63</x:v>
      </x:c>
      <x:c r="AO41" s="22" t="n">
        <x:v>0.79558</x:v>
      </x:c>
      <x:c r="AP41" s="22" t="n">
        <x:v>3.35</x:v>
      </x:c>
      <x:c r="AQ41" s="22" t="n">
        <x:v>0.0921</x:v>
      </x:c>
      <x:c r="AR41" s="22" t="n">
        <x:v>0.473</x:v>
      </x:c>
      <x:c r="AS41" s="22" t="n">
        <x:v>0.874</x:v>
      </x:c>
      <x:c r="AT41" s="22" t="n">
        <x:v>1</x:v>
      </x:c>
    </x:row>
    <x:row r="42">
      <x:c r="A42" s="22" t="str">
        <x:v>GAIN_SWEEP</x:v>
      </x:c>
      <x:c r="B42" s="22" t="n">
        <x:v>5</x:v>
      </x:c>
      <x:c r="C42" s="22" t="n">
        <x:v>1</x:v>
      </x:c>
      <x:c r="D42" s="22" t="n">
        <x:v>250</x:v>
      </x:c>
      <x:c r="E42" s="22" t="n">
        <x:v>14</x:v>
      </x:c>
      <x:c r="F42" s="22" t="n">
        <x:v>167.7997</x:v>
      </x:c>
      <x:c r="G42" s="22" t="n">
        <x:v>0.32366</x:v>
      </x:c>
      <x:c r="H42" s="22" t="n">
        <x:v>25.07</x:v>
      </x:c>
      <x:c r="I42" s="22" t="n">
        <x:v>250.05301</x:v>
      </x:c>
      <x:c r="J42" s="22" t="n">
        <x:v>0.36164</x:v>
      </x:c>
      <x:c r="K42" s="22" t="n">
        <x:v>23.67</x:v>
      </x:c>
      <x:c r="L42" s="22" t="n">
        <x:v>249.9905</x:v>
      </x:c>
      <x:c r="M42" s="22" t="n">
        <x:v>0.74153</x:v>
      </x:c>
      <x:c r="N42" s="22" t="n">
        <x:v>30.9</x:v>
      </x:c>
      <x:c r="O42" s="22" t="n">
        <x:v>250.14033</x:v>
      </x:c>
      <x:c r="P42" s="22" t="n">
        <x:v>0.08008</x:v>
      </x:c>
      <x:c r="Q42" s="22" t="n">
        <x:v>250.05301</x:v>
      </x:c>
      <x:c r="R42" s="22" t="n">
        <x:v>0.36164</x:v>
      </x:c>
      <x:c r="S42" s="22" t="n">
        <x:v>249.9905</x:v>
      </x:c>
      <x:c r="T42" s="22" t="n">
        <x:v>0.74153</x:v>
      </x:c>
      <x:c r="U42" s="22" t="n">
        <x:v>250.00374</x:v>
      </x:c>
      <x:c r="V42" s="22" t="n">
        <x:v>0.00374</x:v>
      </x:c>
      <x:c r="W42" s="22" t="n">
        <x:v>0.08008</x:v>
      </x:c>
      <x:c r="X42" s="22" t="n">
        <x:v>0.36164</x:v>
      </x:c>
      <x:c r="Y42" s="22" t="n">
        <x:v>0.74153</x:v>
      </x:c>
      <x:c r="Z42" s="22" t="n">
        <x:v>0.82889</x:v>
      </x:c>
      <x:c r="AA42" s="22" t="n">
        <x:v>24.74</x:v>
      </x:c>
      <x:c r="AB42" s="22" t="str">
        <x:v>Z</x:v>
      </x:c>
      <x:c r="AC42" s="22" t="n">
        <x:v>0.08008</x:v>
      </x:c>
      <x:c r="AD42" s="22" t="n">
        <x:v>-71.83</x:v>
      </x:c>
      <x:c r="AE42" s="22" t="n">
        <x:v>0.121</x:v>
      </x:c>
      <x:c r="AF42" s="22" t="n">
        <x:v>45.74</x:v>
      </x:c>
      <x:c r="AG42" s="22" t="n">
        <x:v>0.37511</x:v>
      </x:c>
      <x:c r="AH42" s="22" t="n">
        <x:v>-121.65</x:v>
      </x:c>
      <x:c r="AI42" s="22" t="n">
        <x:v>0.398</x:v>
      </x:c>
      <x:c r="AJ42" s="22" t="n">
        <x:v>25.09</x:v>
      </x:c>
      <x:c r="AK42" s="22" t="n">
        <x:v>0.75536</x:v>
      </x:c>
      <x:c r="AL42" s="22" t="n">
        <x:v>132.71</x:v>
      </x:c>
      <x:c r="AM42" s="22" t="n">
        <x:v>0.801</x:v>
      </x:c>
      <x:c r="AN42" s="22" t="n">
        <x:v>2.02</x:v>
      </x:c>
      <x:c r="AO42" s="22" t="n">
        <x:v>0.85091</x:v>
      </x:c>
      <x:c r="AP42" s="22" t="n">
        <x:v>5.86</x:v>
      </x:c>
      <x:c r="AQ42" s="22" t="n">
        <x:v>0.0941</x:v>
      </x:c>
      <x:c r="AR42" s="22" t="n">
        <x:v>0.4408</x:v>
      </x:c>
      <x:c r="AS42" s="22" t="n">
        <x:v>0.8877</x:v>
      </x:c>
      <x:c r="AT42" s="22" t="n">
        <x:v>1</x:v>
      </x:c>
    </x:row>
    <x:row r="43">
      <x:c r="A43" s="22" t="str">
        <x:v>GAIN_SWEEP</x:v>
      </x:c>
      <x:c r="B43" s="22" t="n">
        <x:v>6</x:v>
      </x:c>
      <x:c r="C43" s="22" t="n">
        <x:v>1</x:v>
      </x:c>
      <x:c r="D43" s="22" t="n">
        <x:v>250</x:v>
      </x:c>
      <x:c r="E43" s="22" t="n">
        <x:v>15</x:v>
      </x:c>
      <x:c r="F43" s="22" t="n">
        <x:v>167.71578</x:v>
      </x:c>
      <x:c r="G43" s="22" t="n">
        <x:v>0.29487</x:v>
      </x:c>
      <x:c r="H43" s="22" t="n">
        <x:v>25.97</x:v>
      </x:c>
      <x:c r="I43" s="22" t="n">
        <x:v>249.9232</x:v>
      </x:c>
      <x:c r="J43" s="22" t="n">
        <x:v>0.41045</x:v>
      </x:c>
      <x:c r="K43" s="22" t="n">
        <x:v>25.21</x:v>
      </x:c>
      <x:c r="L43" s="22" t="n">
        <x:v>250.00126</x:v>
      </x:c>
      <x:c r="M43" s="22" t="n">
        <x:v>0.80453</x:v>
      </x:c>
      <x:c r="N43" s="22" t="n">
        <x:v>31.75</x:v>
      </x:c>
      <x:c r="O43" s="22" t="n">
        <x:v>249.98142</x:v>
      </x:c>
      <x:c r="P43" s="22" t="n">
        <x:v>0.09001</x:v>
      </x:c>
      <x:c r="Q43" s="22" t="n">
        <x:v>249.9232</x:v>
      </x:c>
      <x:c r="R43" s="22" t="n">
        <x:v>0.41045</x:v>
      </x:c>
      <x:c r="S43" s="22" t="n">
        <x:v>250.00126</x:v>
      </x:c>
      <x:c r="T43" s="22" t="n">
        <x:v>0.80453</x:v>
      </x:c>
      <x:c r="U43" s="22" t="n">
        <x:v>249.98487</x:v>
      </x:c>
      <x:c r="V43" s="22" t="n">
        <x:v>-0.01513</x:v>
      </x:c>
      <x:c r="W43" s="22" t="n">
        <x:v>0.09001</x:v>
      </x:c>
      <x:c r="X43" s="22" t="n">
        <x:v>0.41045</x:v>
      </x:c>
      <x:c r="Y43" s="22" t="n">
        <x:v>0.80453</x:v>
      </x:c>
      <x:c r="Z43" s="22" t="n">
        <x:v>0.90766</x:v>
      </x:c>
      <x:c r="AA43" s="22" t="n">
        <x:v>25.45</x:v>
      </x:c>
      <x:c r="AB43" s="22" t="str">
        <x:v>Z</x:v>
      </x:c>
      <x:c r="AC43" s="22" t="n">
        <x:v>0.0975</x:v>
      </x:c>
      <x:c r="AD43" s="22" t="n">
        <x:v>-77.7</x:v>
      </x:c>
      <x:c r="AE43" s="22" t="n">
        <x:v>0.188</x:v>
      </x:c>
      <x:c r="AF43" s="22" t="n">
        <x:v>25.17</x:v>
      </x:c>
      <x:c r="AG43" s="22" t="n">
        <x:v>0.40939</x:v>
      </x:c>
      <x:c r="AH43" s="22" t="n">
        <x:v>-122.41</x:v>
      </x:c>
      <x:c r="AI43" s="22" t="n">
        <x:v>0.459</x:v>
      </x:c>
      <x:c r="AJ43" s="22" t="n">
        <x:v>22.23</x:v>
      </x:c>
      <x:c r="AK43" s="22" t="n">
        <x:v>0.7997</x:v>
      </x:c>
      <x:c r="AL43" s="22" t="n">
        <x:v>130.13</x:v>
      </x:c>
      <x:c r="AM43" s="22" t="n">
        <x:v>0.823</x:v>
      </x:c>
      <x:c r="AN43" s="22" t="n">
        <x:v>2.67</x:v>
      </x:c>
      <x:c r="AO43" s="22" t="n">
        <x:v>0.90656</x:v>
      </x:c>
      <x:c r="AP43" s="22" t="n">
        <x:v>5.85</x:v>
      </x:c>
      <x:c r="AQ43" s="22" t="n">
        <x:v>0.1076</x:v>
      </x:c>
      <x:c r="AR43" s="22" t="n">
        <x:v>0.4516</x:v>
      </x:c>
      <x:c r="AS43" s="22" t="n">
        <x:v>0.8821</x:v>
      </x:c>
      <x:c r="AT43" s="22" t="n">
        <x:v>1</x:v>
      </x:c>
    </x:row>
    <x:row r="44">
      <x:c r="A44" s="22" t="str">
        <x:v>GAIN_SWEEP</x:v>
      </x:c>
      <x:c r="B44" s="22" t="n">
        <x:v>1</x:v>
      </x:c>
      <x:c r="C44" s="22" t="n">
        <x:v>1</x:v>
      </x:c>
      <x:c r="D44" s="22" t="n">
        <x:v>275</x:v>
      </x:c>
      <x:c r="E44" s="22" t="n">
        <x:v>10</x:v>
      </x:c>
      <x:c r="F44" s="22" t="n">
        <x:v>342.95521</x:v>
      </x:c>
      <x:c r="G44" s="22" t="n">
        <x:v>0.16959</x:v>
      </x:c>
      <x:c r="H44" s="22" t="n">
        <x:v>19.52</x:v>
      </x:c>
      <x:c r="I44" s="22" t="n">
        <x:v>274.93546</x:v>
      </x:c>
      <x:c r="J44" s="22" t="n">
        <x:v>0.30145</x:v>
      </x:c>
      <x:c r="K44" s="22" t="n">
        <x:v>19.78</x:v>
      </x:c>
      <x:c r="L44" s="22" t="n">
        <x:v>274.99333</x:v>
      </x:c>
      <x:c r="M44" s="22" t="n">
        <x:v>0.69624</x:v>
      </x:c>
      <x:c r="N44" s="22" t="n">
        <x:v>30.03</x:v>
      </x:c>
      <x:c r="O44" s="22" t="n">
        <x:v>274.983</x:v>
      </x:c>
      <x:c r="P44" s="22" t="n">
        <x:v>0.11139</x:v>
      </x:c>
      <x:c r="Q44" s="22" t="n">
        <x:v>274.93546</x:v>
      </x:c>
      <x:c r="R44" s="22" t="n">
        <x:v>0.30145</x:v>
      </x:c>
      <x:c r="S44" s="22" t="n">
        <x:v>274.99333</x:v>
      </x:c>
      <x:c r="T44" s="22" t="n">
        <x:v>0.69624</x:v>
      </x:c>
      <x:c r="U44" s="22" t="n">
        <x:v>274.98412</x:v>
      </x:c>
      <x:c r="V44" s="22" t="n">
        <x:v>-0.01588</x:v>
      </x:c>
      <x:c r="W44" s="22" t="n">
        <x:v>0.11139</x:v>
      </x:c>
      <x:c r="X44" s="22" t="n">
        <x:v>0.30145</x:v>
      </x:c>
      <x:c r="Y44" s="22" t="n">
        <x:v>0.69624</x:v>
      </x:c>
      <x:c r="Z44" s="22" t="n">
        <x:v>0.76683</x:v>
      </x:c>
      <x:c r="AA44" s="22" t="n">
        <x:v>27.64</x:v>
      </x:c>
      <x:c r="AB44" s="22" t="str">
        <x:v>Z</x:v>
      </x:c>
      <x:c r="AC44" s="22" t="n">
        <x:v>0.11984</x:v>
      </x:c>
      <x:c r="AD44" s="22" t="n">
        <x:v>-114.94</x:v>
      </x:c>
      <x:c r="AE44" s="22" t="n">
        <x:v>0.222</x:v>
      </x:c>
      <x:c r="AF44" s="22" t="n">
        <x:v>11.8</x:v>
      </x:c>
      <x:c r="AG44" s="22" t="n">
        <x:v>0.28688</x:v>
      </x:c>
      <x:c r="AH44" s="22" t="n">
        <x:v>-130.77</x:v>
      </x:c>
      <x:c r="AI44" s="22" t="n">
        <x:v>0.301</x:v>
      </x:c>
      <x:c r="AJ44" s="22" t="n">
        <x:v>10.1</x:v>
      </x:c>
      <x:c r="AK44" s="22" t="n">
        <x:v>0.67702</x:v>
      </x:c>
      <x:c r="AL44" s="22" t="n">
        <x:v>105.48</x:v>
      </x:c>
      <x:c r="AM44" s="22" t="n">
        <x:v>0.74</x:v>
      </x:c>
      <x:c r="AN44" s="22" t="n">
        <x:v>3.42</x:v>
      </x:c>
      <x:c r="AO44" s="22" t="n">
        <x:v>0.74558</x:v>
      </x:c>
      <x:c r="AP44" s="22" t="n">
        <x:v>2.97</x:v>
      </x:c>
      <x:c r="AQ44" s="22" t="n">
        <x:v>0.1607</x:v>
      </x:c>
      <x:c r="AR44" s="22" t="n">
        <x:v>0.3848</x:v>
      </x:c>
      <x:c r="AS44" s="22" t="n">
        <x:v>0.908</x:v>
      </x:c>
      <x:c r="AT44" s="22" t="n">
        <x:v>1</x:v>
      </x:c>
    </x:row>
    <x:row r="45">
      <x:c r="A45" s="22" t="str">
        <x:v>GAIN_SWEEP</x:v>
      </x:c>
      <x:c r="B45" s="22" t="n">
        <x:v>2</x:v>
      </x:c>
      <x:c r="C45" s="22" t="n">
        <x:v>1</x:v>
      </x:c>
      <x:c r="D45" s="22" t="n">
        <x:v>275</x:v>
      </x:c>
      <x:c r="E45" s="22" t="n">
        <x:v>11</x:v>
      </x:c>
      <x:c r="F45" s="22" t="n">
        <x:v>342.94304</x:v>
      </x:c>
      <x:c r="G45" s="22" t="n">
        <x:v>0.14737</x:v>
      </x:c>
      <x:c r="H45" s="22" t="n">
        <x:v>18.69</x:v>
      </x:c>
      <x:c r="I45" s="22" t="n">
        <x:v>275.00236</x:v>
      </x:c>
      <x:c r="J45" s="22" t="n">
        <x:v>0.326</x:v>
      </x:c>
      <x:c r="K45" s="22" t="n">
        <x:v>20.93</x:v>
      </x:c>
      <x:c r="L45" s="22" t="n">
        <x:v>275.00443</x:v>
      </x:c>
      <x:c r="M45" s="22" t="n">
        <x:v>0.75612</x:v>
      </x:c>
      <x:c r="N45" s="22" t="n">
        <x:v>30.44</x:v>
      </x:c>
      <x:c r="O45" s="22" t="n">
        <x:v>275.01232</x:v>
      </x:c>
      <x:c r="P45" s="22" t="n">
        <x:v>0.12622</x:v>
      </x:c>
      <x:c r="Q45" s="22" t="n">
        <x:v>275.00236</x:v>
      </x:c>
      <x:c r="R45" s="22" t="n">
        <x:v>0.326</x:v>
      </x:c>
      <x:c r="S45" s="22" t="n">
        <x:v>275.00443</x:v>
      </x:c>
      <x:c r="T45" s="22" t="n">
        <x:v>0.75612</x:v>
      </x:c>
      <x:c r="U45" s="22" t="n">
        <x:v>275.00429</x:v>
      </x:c>
      <x:c r="V45" s="22" t="n">
        <x:v>0.00429</x:v>
      </x:c>
      <x:c r="W45" s="22" t="n">
        <x:v>0.12622</x:v>
      </x:c>
      <x:c r="X45" s="22" t="n">
        <x:v>0.326</x:v>
      </x:c>
      <x:c r="Y45" s="22" t="n">
        <x:v>0.75612</x:v>
      </x:c>
      <x:c r="Z45" s="22" t="n">
        <x:v>0.83302</x:v>
      </x:c>
      <x:c r="AA45" s="22" t="n">
        <x:v>31.74</x:v>
      </x:c>
      <x:c r="AB45" s="22" t="str">
        <x:v>Z</x:v>
      </x:c>
      <x:c r="AC45" s="22" t="n">
        <x:v>0.12748</x:v>
      </x:c>
      <x:c r="AD45" s="22" t="n">
        <x:v>-122.1</x:v>
      </x:c>
      <x:c r="AE45" s="22" t="n">
        <x:v>0.256</x:v>
      </x:c>
      <x:c r="AF45" s="22" t="n">
        <x:v>6.06</x:v>
      </x:c>
      <x:c r="AG45" s="22" t="n">
        <x:v>0.3248</x:v>
      </x:c>
      <x:c r="AH45" s="22" t="n">
        <x:v>-126.2</x:v>
      </x:c>
      <x:c r="AI45" s="22" t="n">
        <x:v>0.371</x:v>
      </x:c>
      <x:c r="AJ45" s="22" t="n">
        <x:v>3.33</x:v>
      </x:c>
      <x:c r="AK45" s="22" t="n">
        <x:v>0.7784</x:v>
      </x:c>
      <x:c r="AL45" s="22" t="n">
        <x:v>103.82</x:v>
      </x:c>
      <x:c r="AM45" s="22" t="n">
        <x:v>0.793</x:v>
      </x:c>
      <x:c r="AN45" s="22" t="n">
        <x:v>2.97</x:v>
      </x:c>
      <x:c r="AO45" s="22" t="n">
        <x:v>0.8532</x:v>
      </x:c>
      <x:c r="AP45" s="22" t="n">
        <x:v>2.14</x:v>
      </x:c>
      <x:c r="AQ45" s="22" t="n">
        <x:v>0.1494</x:v>
      </x:c>
      <x:c r="AR45" s="22" t="n">
        <x:v>0.3807</x:v>
      </x:c>
      <x:c r="AS45" s="22" t="n">
        <x:v>0.9123</x:v>
      </x:c>
      <x:c r="AT45" s="22" t="n">
        <x:v>1</x:v>
      </x:c>
    </x:row>
    <x:row r="46">
      <x:c r="A46" s="22" t="str">
        <x:v>GAIN_SWEEP</x:v>
      </x:c>
      <x:c r="B46" s="22" t="n">
        <x:v>3</x:v>
      </x:c>
      <x:c r="C46" s="22" t="n">
        <x:v>1</x:v>
      </x:c>
      <x:c r="D46" s="22" t="n">
        <x:v>275</x:v>
      </x:c>
      <x:c r="E46" s="22" t="n">
        <x:v>12</x:v>
      </x:c>
      <x:c r="F46" s="22" t="n">
        <x:v>689.21994</x:v>
      </x:c>
      <x:c r="G46" s="22" t="n">
        <x:v>0.17377</x:v>
      </x:c>
      <x:c r="H46" s="22" t="n">
        <x:v>19.63</x:v>
      </x:c>
      <x:c r="I46" s="22" t="n">
        <x:v>274.98872</x:v>
      </x:c>
      <x:c r="J46" s="22" t="n">
        <x:v>0.37383</x:v>
      </x:c>
      <x:c r="K46" s="22" t="n">
        <x:v>21.95</x:v>
      </x:c>
      <x:c r="L46" s="22" t="n">
        <x:v>274.99846</x:v>
      </x:c>
      <x:c r="M46" s="22" t="n">
        <x:v>0.83412</x:v>
      </x:c>
      <x:c r="N46" s="22" t="n">
        <x:v>31.24</x:v>
      </x:c>
      <x:c r="O46" s="22" t="n">
        <x:v>275.0001</x:v>
      </x:c>
      <x:c r="P46" s="22" t="n">
        <x:v>0.14124</x:v>
      </x:c>
      <x:c r="Q46" s="22" t="n">
        <x:v>274.98872</x:v>
      </x:c>
      <x:c r="R46" s="22" t="n">
        <x:v>0.37383</x:v>
      </x:c>
      <x:c r="S46" s="22" t="n">
        <x:v>274.99846</x:v>
      </x:c>
      <x:c r="T46" s="22" t="n">
        <x:v>0.83412</x:v>
      </x:c>
      <x:c r="U46" s="22" t="n">
        <x:v>274.9969</x:v>
      </x:c>
      <x:c r="V46" s="22" t="n">
        <x:v>-0.0031</x:v>
      </x:c>
      <x:c r="W46" s="22" t="n">
        <x:v>0.14124</x:v>
      </x:c>
      <x:c r="X46" s="22" t="n">
        <x:v>0.37383</x:v>
      </x:c>
      <x:c r="Y46" s="22" t="n">
        <x:v>0.83412</x:v>
      </x:c>
      <x:c r="Z46" s="22" t="n">
        <x:v>0.92491</x:v>
      </x:c>
      <x:c r="AA46" s="22" t="n">
        <x:v>30.36</x:v>
      </x:c>
      <x:c r="AB46" s="22" t="str">
        <x:v>Z</x:v>
      </x:c>
      <x:c r="AC46" s="22" t="n">
        <x:v>0.15274</x:v>
      </x:c>
      <x:c r="AD46" s="22" t="n">
        <x:v>-119.51</x:v>
      </x:c>
      <x:c r="AE46" s="22" t="n">
        <x:v>0.285</x:v>
      </x:c>
      <x:c r="AF46" s="22" t="n">
        <x:v>4.24</x:v>
      </x:c>
      <x:c r="AG46" s="22" t="n">
        <x:v>0.3539</x:v>
      </x:c>
      <x:c r="AH46" s="22" t="n">
        <x:v>-131.08</x:v>
      </x:c>
      <x:c r="AI46" s="22" t="n">
        <x:v>0.39</x:v>
      </x:c>
      <x:c r="AJ46" s="22" t="n">
        <x:v>12.09</x:v>
      </x:c>
      <x:c r="AK46" s="22" t="n">
        <x:v>0.83416</x:v>
      </x:c>
      <x:c r="AL46" s="22" t="n">
        <x:v>103.24</x:v>
      </x:c>
      <x:c r="AM46" s="22" t="n">
        <x:v>0.799</x:v>
      </x:c>
      <x:c r="AN46" s="22" t="n">
        <x:v>2.74</x:v>
      </x:c>
      <x:c r="AO46" s="22" t="n">
        <x:v>0.91966</x:v>
      </x:c>
      <x:c r="AP46" s="22" t="n">
        <x:v>2.85</x:v>
      </x:c>
      <x:c r="AQ46" s="22" t="n">
        <x:v>0.1661</x:v>
      </x:c>
      <x:c r="AR46" s="22" t="n">
        <x:v>0.3848</x:v>
      </x:c>
      <x:c r="AS46" s="22" t="n">
        <x:v>0.907</x:v>
      </x:c>
      <x:c r="AT46" s="22" t="n">
        <x:v>1</x:v>
      </x:c>
    </x:row>
    <x:row r="47">
      <x:c r="A47" s="22" t="str">
        <x:v>GAIN_SWEEP</x:v>
      </x:c>
      <x:c r="B47" s="22" t="n">
        <x:v>4</x:v>
      </x:c>
      <x:c r="C47" s="22" t="n">
        <x:v>1</x:v>
      </x:c>
      <x:c r="D47" s="22" t="n">
        <x:v>275</x:v>
      </x:c>
      <x:c r="E47" s="22" t="n">
        <x:v>13</x:v>
      </x:c>
      <x:c r="F47" s="22" t="n">
        <x:v>275.01518</x:v>
      </x:c>
      <x:c r="G47" s="22" t="n">
        <x:v>0.16179</x:v>
      </x:c>
      <x:c r="H47" s="22" t="n">
        <x:v>19.11</x:v>
      </x:c>
      <x:c r="I47" s="22" t="n">
        <x:v>275.01887</x:v>
      </x:c>
      <x:c r="J47" s="22" t="n">
        <x:v>0.4092</x:v>
      </x:c>
      <x:c r="K47" s="22" t="n">
        <x:v>23.11</x:v>
      </x:c>
      <x:c r="L47" s="22" t="n">
        <x:v>274.99504</x:v>
      </x:c>
      <x:c r="M47" s="22" t="n">
        <x:v>0.90375</x:v>
      </x:c>
      <x:c r="N47" s="22" t="n">
        <x:v>31.68</x:v>
      </x:c>
      <x:c r="O47" s="22" t="n">
        <x:v>275.01518</x:v>
      </x:c>
      <x:c r="P47" s="22" t="n">
        <x:v>0.16179</x:v>
      </x:c>
      <x:c r="Q47" s="22" t="n">
        <x:v>275.01887</x:v>
      </x:c>
      <x:c r="R47" s="22" t="n">
        <x:v>0.4092</x:v>
      </x:c>
      <x:c r="S47" s="22" t="n">
        <x:v>274.99504</x:v>
      </x:c>
      <x:c r="T47" s="22" t="n">
        <x:v>0.90375</x:v>
      </x:c>
      <x:c r="U47" s="22" t="n">
        <x:v>274.99952</x:v>
      </x:c>
      <x:c r="V47" s="22" t="n">
        <x:v>-0.00048</x:v>
      </x:c>
      <x:c r="W47" s="22" t="n">
        <x:v>0.16179</x:v>
      </x:c>
      <x:c r="X47" s="22" t="n">
        <x:v>0.4092</x:v>
      </x:c>
      <x:c r="Y47" s="22" t="n">
        <x:v>0.90375</x:v>
      </x:c>
      <x:c r="Z47" s="22" t="n">
        <x:v>1.00518</x:v>
      </x:c>
      <x:c r="AA47" s="22" t="n">
        <x:v>31.45</x:v>
      </x:c>
      <x:c r="AB47" s="22" t="str">
        <x:v>Z</x:v>
      </x:c>
      <x:c r="AC47" s="22" t="n">
        <x:v>0.15189</x:v>
      </x:c>
      <x:c r="AD47" s="22" t="n">
        <x:v>-122.58</x:v>
      </x:c>
      <x:c r="AE47" s="22" t="n">
        <x:v>0.312</x:v>
      </x:c>
      <x:c r="AF47" s="22" t="n">
        <x:v>10.4</x:v>
      </x:c>
      <x:c r="AG47" s="22" t="n">
        <x:v>0.41263</x:v>
      </x:c>
      <x:c r="AH47" s="22" t="n">
        <x:v>-128.87</x:v>
      </x:c>
      <x:c r="AI47" s="22" t="n">
        <x:v>0.468</x:v>
      </x:c>
      <x:c r="AJ47" s="22" t="n">
        <x:v>5.53</x:v>
      </x:c>
      <x:c r="AK47" s="22" t="n">
        <x:v>0.9097</x:v>
      </x:c>
      <x:c r="AL47" s="22" t="n">
        <x:v>103.3</x:v>
      </x:c>
      <x:c r="AM47" s="22" t="n">
        <x:v>0.84</x:v>
      </x:c>
      <x:c r="AN47" s="22" t="n">
        <x:v>1.22</x:v>
      </x:c>
      <x:c r="AO47" s="22" t="n">
        <x:v>1.01068</x:v>
      </x:c>
      <x:c r="AP47" s="22" t="n">
        <x:v>1.21</x:v>
      </x:c>
      <x:c r="AQ47" s="22" t="n">
        <x:v>0.1503</x:v>
      </x:c>
      <x:c r="AR47" s="22" t="n">
        <x:v>0.4083</x:v>
      </x:c>
      <x:c r="AS47" s="22" t="n">
        <x:v>0.9001</x:v>
      </x:c>
      <x:c r="AT47" s="22" t="n">
        <x:v>1</x:v>
      </x:c>
    </x:row>
    <x:row r="48">
      <x:c r="A48" s="22" t="str">
        <x:v>GAIN_SWEEP</x:v>
      </x:c>
      <x:c r="B48" s="22" t="n">
        <x:v>5</x:v>
      </x:c>
      <x:c r="C48" s="22" t="n">
        <x:v>1</x:v>
      </x:c>
      <x:c r="D48" s="22" t="n">
        <x:v>275</x:v>
      </x:c>
      <x:c r="E48" s="22" t="n">
        <x:v>14</x:v>
      </x:c>
      <x:c r="F48" s="22" t="n">
        <x:v>274.97188</x:v>
      </x:c>
      <x:c r="G48" s="22" t="n">
        <x:v>0.17524</x:v>
      </x:c>
      <x:c r="H48" s="22" t="n">
        <x:v>19.85</x:v>
      </x:c>
      <x:c r="I48" s="22" t="n">
        <x:v>275.01532</x:v>
      </x:c>
      <x:c r="J48" s="22" t="n">
        <x:v>0.44435</x:v>
      </x:c>
      <x:c r="K48" s="22" t="n">
        <x:v>23.52</x:v>
      </x:c>
      <x:c r="L48" s="22" t="n">
        <x:v>275.0034</x:v>
      </x:c>
      <x:c r="M48" s="22" t="n">
        <x:v>0.98567</x:v>
      </x:c>
      <x:c r="N48" s="22" t="n">
        <x:v>32.42</x:v>
      </x:c>
      <x:c r="O48" s="22" t="n">
        <x:v>274.97188</x:v>
      </x:c>
      <x:c r="P48" s="22" t="n">
        <x:v>0.17524</x:v>
      </x:c>
      <x:c r="Q48" s="22" t="n">
        <x:v>275.01532</x:v>
      </x:c>
      <x:c r="R48" s="22" t="n">
        <x:v>0.44435</x:v>
      </x:c>
      <x:c r="S48" s="22" t="n">
        <x:v>275.0034</x:v>
      </x:c>
      <x:c r="T48" s="22" t="n">
        <x:v>0.98567</x:v>
      </x:c>
      <x:c r="U48" s="22" t="n">
        <x:v>275.00454</x:v>
      </x:c>
      <x:c r="V48" s="22" t="n">
        <x:v>0.00454</x:v>
      </x:c>
      <x:c r="W48" s="22" t="n">
        <x:v>0.17524</x:v>
      </x:c>
      <x:c r="X48" s="22" t="n">
        <x:v>0.44435</x:v>
      </x:c>
      <x:c r="Y48" s="22" t="n">
        <x:v>0.98567</x:v>
      </x:c>
      <x:c r="Z48" s="22" t="n">
        <x:v>1.09531</x:v>
      </x:c>
      <x:c r="AA48" s="22" t="n">
        <x:v>31.59</x:v>
      </x:c>
      <x:c r="AB48" s="22" t="str">
        <x:v>Z</x:v>
      </x:c>
      <x:c r="AC48" s="22" t="n">
        <x:v>0.17025</x:v>
      </x:c>
      <x:c r="AD48" s="22" t="n">
        <x:v>-126.58</x:v>
      </x:c>
      <x:c r="AE48" s="22" t="n">
        <x:v>0.326</x:v>
      </x:c>
      <x:c r="AF48" s="22" t="n">
        <x:v>9.56</x:v>
      </x:c>
      <x:c r="AG48" s="22" t="n">
        <x:v>0.43518</x:v>
      </x:c>
      <x:c r="AH48" s="22" t="n">
        <x:v>-128.35</x:v>
      </x:c>
      <x:c r="AI48" s="22" t="n">
        <x:v>0.467</x:v>
      </x:c>
      <x:c r="AJ48" s="22" t="n">
        <x:v>4.34</x:v>
      </x:c>
      <x:c r="AK48" s="22" t="n">
        <x:v>0.99126</x:v>
      </x:c>
      <x:c r="AL48" s="22" t="n">
        <x:v>102.74</x:v>
      </x:c>
      <x:c r="AM48" s="22" t="n">
        <x:v>0.853</x:v>
      </x:c>
      <x:c r="AN48" s="22" t="n">
        <x:v>2.12</x:v>
      </x:c>
      <x:c r="AO48" s="22" t="n">
        <x:v>1.09613</x:v>
      </x:c>
      <x:c r="AP48" s="22" t="n">
        <x:v>1.81</x:v>
      </x:c>
      <x:c r="AQ48" s="22" t="n">
        <x:v>0.1553</x:v>
      </x:c>
      <x:c r="AR48" s="22" t="n">
        <x:v>0.397</x:v>
      </x:c>
      <x:c r="AS48" s="22" t="n">
        <x:v>0.9043</x:v>
      </x:c>
      <x:c r="AT48" s="22" t="n">
        <x:v>1</x:v>
      </x:c>
    </x:row>
    <x:row r="49">
      <x:c r="A49" s="22" t="str">
        <x:v>GAIN_SWEEP</x:v>
      </x:c>
      <x:c r="B49" s="22" t="n">
        <x:v>6</x:v>
      </x:c>
      <x:c r="C49" s="22" t="n">
        <x:v>1</x:v>
      </x:c>
      <x:c r="D49" s="22" t="n">
        <x:v>275</x:v>
      </x:c>
      <x:c r="E49" s="22" t="n">
        <x:v>15</x:v>
      </x:c>
      <x:c r="F49" s="22" t="n">
        <x:v>275.00668</x:v>
      </x:c>
      <x:c r="G49" s="22" t="n">
        <x:v>0.19857</x:v>
      </x:c>
      <x:c r="H49" s="22" t="n">
        <x:v>20.55</x:v>
      </x:c>
      <x:c r="I49" s="22" t="n">
        <x:v>274.9702</x:v>
      </x:c>
      <x:c r="J49" s="22" t="n">
        <x:v>0.47487</x:v>
      </x:c>
      <x:c r="K49" s="22" t="n">
        <x:v>23.28</x:v>
      </x:c>
      <x:c r="L49" s="22" t="n">
        <x:v>275.00285</x:v>
      </x:c>
      <x:c r="M49" s="22" t="n">
        <x:v>1.05757</x:v>
      </x:c>
      <x:c r="N49" s="22" t="n">
        <x:v>32.85</x:v>
      </x:c>
      <x:c r="O49" s="22" t="n">
        <x:v>275.00668</x:v>
      </x:c>
      <x:c r="P49" s="22" t="n">
        <x:v>0.19857</x:v>
      </x:c>
      <x:c r="Q49" s="22" t="n">
        <x:v>274.9702</x:v>
      </x:c>
      <x:c r="R49" s="22" t="n">
        <x:v>0.47487</x:v>
      </x:c>
      <x:c r="S49" s="22" t="n">
        <x:v>275.00285</x:v>
      </x:c>
      <x:c r="T49" s="22" t="n">
        <x:v>1.05757</x:v>
      </x:c>
      <x:c r="U49" s="22" t="n">
        <x:v>274.99763</x:v>
      </x:c>
      <x:c r="V49" s="22" t="n">
        <x:v>-0.00237</x:v>
      </x:c>
      <x:c r="W49" s="22" t="n">
        <x:v>0.19857</x:v>
      </x:c>
      <x:c r="X49" s="22" t="n">
        <x:v>0.47487</x:v>
      </x:c>
      <x:c r="Y49" s="22" t="n">
        <x:v>1.05757</x:v>
      </x:c>
      <x:c r="Z49" s="22" t="n">
        <x:v>1.17617</x:v>
      </x:c>
      <x:c r="AA49" s="22" t="n">
        <x:v>32.79</x:v>
      </x:c>
      <x:c r="AB49" s="22" t="str">
        <x:v>Z</x:v>
      </x:c>
      <x:c r="AC49" s="22" t="n">
        <x:v>0.1935</x:v>
      </x:c>
      <x:c r="AD49" s="22" t="n">
        <x:v>-124.87</x:v>
      </x:c>
      <x:c r="AE49" s="22" t="n">
        <x:v>0.359</x:v>
      </x:c>
      <x:c r="AF49" s="22" t="n">
        <x:v>7.53</x:v>
      </x:c>
      <x:c r="AG49" s="22" t="n">
        <x:v>0.50459</x:v>
      </x:c>
      <x:c r="AH49" s="22" t="n">
        <x:v>-128.19</x:v>
      </x:c>
      <x:c r="AI49" s="22" t="n">
        <x:v>0.494</x:v>
      </x:c>
      <x:c r="AJ49" s="22" t="n">
        <x:v>11.99</x:v>
      </x:c>
      <x:c r="AK49" s="22" t="n">
        <x:v>1.0661</x:v>
      </x:c>
      <x:c r="AL49" s="22" t="n">
        <x:v>101.38</x:v>
      </x:c>
      <x:c r="AM49" s="22" t="n">
        <x:v>0.862</x:v>
      </x:c>
      <x:c r="AN49" s="22" t="n">
        <x:v>1.1</x:v>
      </x:c>
      <x:c r="AO49" s="22" t="n">
        <x:v>1.19635</x:v>
      </x:c>
      <x:c r="AP49" s="22" t="n">
        <x:v>2.25</x:v>
      </x:c>
      <x:c r="AQ49" s="22" t="n">
        <x:v>0.1617</x:v>
      </x:c>
      <x:c r="AR49" s="22" t="n">
        <x:v>0.4218</x:v>
      </x:c>
      <x:c r="AS49" s="22" t="n">
        <x:v>0.8911</x:v>
      </x:c>
      <x:c r="AT49" s="22" t="n">
        <x:v>1</x:v>
      </x:c>
    </x:row>
    <x:row r="50">
      <x:c r="A50" s="22" t="str">
        <x:v>GAIN_SWEEP</x:v>
      </x:c>
      <x:c r="B50" s="22" t="n">
        <x:v>1</x:v>
      </x:c>
      <x:c r="C50" s="22" t="n">
        <x:v>1</x:v>
      </x:c>
      <x:c r="D50" s="22" t="n">
        <x:v>300</x:v>
      </x:c>
      <x:c r="E50" s="22" t="n">
        <x:v>10</x:v>
      </x:c>
      <x:c r="F50" s="22" t="n">
        <x:v>299.98395</x:v>
      </x:c>
      <x:c r="G50" s="22" t="n">
        <x:v>0.21889</x:v>
      </x:c>
      <x:c r="H50" s="22" t="n">
        <x:v>22.48</x:v>
      </x:c>
      <x:c r="I50" s="22" t="n">
        <x:v>300.03091</x:v>
      </x:c>
      <x:c r="J50" s="22" t="n">
        <x:v>0.38978</x:v>
      </x:c>
      <x:c r="K50" s="22" t="n">
        <x:v>22.75</x:v>
      </x:c>
      <x:c r="L50" s="22" t="n">
        <x:v>300.00609</x:v>
      </x:c>
      <x:c r="M50" s="22" t="n">
        <x:v>0.61047</x:v>
      </x:c>
      <x:c r="N50" s="22" t="n">
        <x:v>29.1</x:v>
      </x:c>
      <x:c r="O50" s="22" t="n">
        <x:v>299.98395</x:v>
      </x:c>
      <x:c r="P50" s="22" t="n">
        <x:v>0.21889</x:v>
      </x:c>
      <x:c r="Q50" s="22" t="n">
        <x:v>300.03091</x:v>
      </x:c>
      <x:c r="R50" s="22" t="n">
        <x:v>0.38978</x:v>
      </x:c>
      <x:c r="S50" s="22" t="n">
        <x:v>300.00609</x:v>
      </x:c>
      <x:c r="T50" s="22" t="n">
        <x:v>0.61047</x:v>
      </x:c>
      <x:c r="U50" s="22" t="n">
        <x:v>300.01084</x:v>
      </x:c>
      <x:c r="V50" s="22" t="n">
        <x:v>0.01084</x:v>
      </x:c>
      <x:c r="W50" s="22" t="n">
        <x:v>0.21889</x:v>
      </x:c>
      <x:c r="X50" s="22" t="n">
        <x:v>0.38978</x:v>
      </x:c>
      <x:c r="Y50" s="22" t="n">
        <x:v>0.61047</x:v>
      </x:c>
      <x:c r="Z50" s="22" t="n">
        <x:v>0.75665</x:v>
      </x:c>
      <x:c r="AA50" s="22" t="n">
        <x:v>30.08</x:v>
      </x:c>
      <x:c r="AB50" s="22" t="str">
        <x:v>Z</x:v>
      </x:c>
      <x:c r="AC50" s="22" t="n">
        <x:v>0.23242</x:v>
      </x:c>
      <x:c r="AD50" s="22" t="n">
        <x:v>-168.41</x:v>
      </x:c>
      <x:c r="AE50" s="22" t="n">
        <x:v>0.412</x:v>
      </x:c>
      <x:c r="AF50" s="22" t="n">
        <x:v>7.22</x:v>
      </x:c>
      <x:c r="AG50" s="22" t="n">
        <x:v>0.3742</x:v>
      </x:c>
      <x:c r="AH50" s="22" t="n">
        <x:v>-145.04</x:v>
      </x:c>
      <x:c r="AI50" s="22" t="n">
        <x:v>0.352</x:v>
      </x:c>
      <x:c r="AJ50" s="22" t="n">
        <x:v>6.7</x:v>
      </x:c>
      <x:c r="AK50" s="22" t="n">
        <x:v>0.62642</x:v>
      </x:c>
      <x:c r="AL50" s="22" t="n">
        <x:v>61.43</x:v>
      </x:c>
      <x:c r="AM50" s="22" t="n">
        <x:v>0.73</x:v>
      </x:c>
      <x:c r="AN50" s="22" t="n">
        <x:v>3.15</x:v>
      </x:c>
      <x:c r="AO50" s="22" t="n">
        <x:v>0.76602</x:v>
      </x:c>
      <x:c r="AP50" s="22" t="n">
        <x:v>3.86</x:v>
      </x:c>
      <x:c r="AQ50" s="22" t="n">
        <x:v>0.3034</x:v>
      </x:c>
      <x:c r="AR50" s="22" t="n">
        <x:v>0.4885</x:v>
      </x:c>
      <x:c r="AS50" s="22" t="n">
        <x:v>0.8178</x:v>
      </x:c>
      <x:c r="AT50" s="22" t="n">
        <x:v>1</x:v>
      </x:c>
    </x:row>
    <x:row r="51">
      <x:c r="A51" s="22" t="str">
        <x:v>GAIN_SWEEP</x:v>
      </x:c>
      <x:c r="B51" s="22" t="n">
        <x:v>2</x:v>
      </x:c>
      <x:c r="C51" s="22" t="n">
        <x:v>1</x:v>
      </x:c>
      <x:c r="D51" s="22" t="n">
        <x:v>300</x:v>
      </x:c>
      <x:c r="E51" s="22" t="n">
        <x:v>11</x:v>
      </x:c>
      <x:c r="F51" s="22" t="n">
        <x:v>300.02582</x:v>
      </x:c>
      <x:c r="G51" s="22" t="n">
        <x:v>0.26428</x:v>
      </x:c>
      <x:c r="H51" s="22" t="n">
        <x:v>24.67</x:v>
      </x:c>
      <x:c r="I51" s="22" t="n">
        <x:v>299.98136</x:v>
      </x:c>
      <x:c r="J51" s="22" t="n">
        <x:v>0.44026</x:v>
      </x:c>
      <x:c r="K51" s="22" t="n">
        <x:v>24.9</x:v>
      </x:c>
      <x:c r="L51" s="22" t="n">
        <x:v>300.00901</x:v>
      </x:c>
      <x:c r="M51" s="22" t="n">
        <x:v>0.68859</x:v>
      </x:c>
      <x:c r="N51" s="22" t="n">
        <x:v>30.78</x:v>
      </x:c>
      <x:c r="O51" s="22" t="n">
        <x:v>300.02582</x:v>
      </x:c>
      <x:c r="P51" s="22" t="n">
        <x:v>0.26428</x:v>
      </x:c>
      <x:c r="Q51" s="22" t="n">
        <x:v>299.98136</x:v>
      </x:c>
      <x:c r="R51" s="22" t="n">
        <x:v>0.44026</x:v>
      </x:c>
      <x:c r="S51" s="22" t="n">
        <x:v>300.00901</x:v>
      </x:c>
      <x:c r="T51" s="22" t="n">
        <x:v>0.68859</x:v>
      </x:c>
      <x:c r="U51" s="22" t="n">
        <x:v>300.00336</x:v>
      </x:c>
      <x:c r="V51" s="22" t="n">
        <x:v>0.00336</x:v>
      </x:c>
      <x:c r="W51" s="22" t="n">
        <x:v>0.26428</x:v>
      </x:c>
      <x:c r="X51" s="22" t="n">
        <x:v>0.44026</x:v>
      </x:c>
      <x:c r="Y51" s="22" t="n">
        <x:v>0.68859</x:v>
      </x:c>
      <x:c r="Z51" s="22" t="n">
        <x:v>0.85897</x:v>
      </x:c>
      <x:c r="AA51" s="22" t="n">
        <x:v>31.61</x:v>
      </x:c>
      <x:c r="AB51" s="22" t="str">
        <x:v>Z</x:v>
      </x:c>
      <x:c r="AC51" s="22" t="n">
        <x:v>0.2517</x:v>
      </x:c>
      <x:c r="AD51" s="22" t="n">
        <x:v>-169.69</x:v>
      </x:c>
      <x:c r="AE51" s="22" t="n">
        <x:v>0.456</x:v>
      </x:c>
      <x:c r="AF51" s="22" t="n">
        <x:v>7.27</x:v>
      </x:c>
      <x:c r="AG51" s="22" t="n">
        <x:v>0.43632</x:v>
      </x:c>
      <x:c r="AH51" s="22" t="n">
        <x:v>-143.31</x:v>
      </x:c>
      <x:c r="AI51" s="22" t="n">
        <x:v>0.486</x:v>
      </x:c>
      <x:c r="AJ51" s="22" t="n">
        <x:v>5.32</x:v>
      </x:c>
      <x:c r="AK51" s="22" t="n">
        <x:v>0.67708</x:v>
      </x:c>
      <x:c r="AL51" s="22" t="n">
        <x:v>60.89</x:v>
      </x:c>
      <x:c r="AM51" s="22" t="n">
        <x:v>0.778</x:v>
      </x:c>
      <x:c r="AN51" s="22" t="n">
        <x:v>3</x:v>
      </x:c>
      <x:c r="AO51" s="22" t="n">
        <x:v>0.84422</x:v>
      </x:c>
      <x:c r="AP51" s="22" t="n">
        <x:v>2.93</x:v>
      </x:c>
      <x:c r="AQ51" s="22" t="n">
        <x:v>0.2981</x:v>
      </x:c>
      <x:c r="AR51" s="22" t="n">
        <x:v>0.5168</x:v>
      </x:c>
      <x:c r="AS51" s="22" t="n">
        <x:v>0.802</x:v>
      </x:c>
      <x:c r="AT51" s="22" t="n">
        <x:v>1</x:v>
      </x:c>
    </x:row>
    <x:row r="52">
      <x:c r="A52" s="22" t="str">
        <x:v>GAIN_SWEEP</x:v>
      </x:c>
      <x:c r="B52" s="22" t="n">
        <x:v>3</x:v>
      </x:c>
      <x:c r="C52" s="22" t="n">
        <x:v>1</x:v>
      </x:c>
      <x:c r="D52" s="22" t="n">
        <x:v>300</x:v>
      </x:c>
      <x:c r="E52" s="22" t="n">
        <x:v>12</x:v>
      </x:c>
      <x:c r="F52" s="22" t="n">
        <x:v>299.98409</x:v>
      </x:c>
      <x:c r="G52" s="22" t="n">
        <x:v>0.2765</x:v>
      </x:c>
      <x:c r="H52" s="22" t="n">
        <x:v>24.24</x:v>
      </x:c>
      <x:c r="I52" s="22" t="n">
        <x:v>299.9892</x:v>
      </x:c>
      <x:c r="J52" s="22" t="n">
        <x:v>0.47417</x:v>
      </x:c>
      <x:c r="K52" s="22" t="n">
        <x:v>25.36</x:v>
      </x:c>
      <x:c r="L52" s="22" t="n">
        <x:v>300.01805</x:v>
      </x:c>
      <x:c r="M52" s="22" t="n">
        <x:v>0.71982</x:v>
      </x:c>
      <x:c r="N52" s="22" t="n">
        <x:v>30.73</x:v>
      </x:c>
      <x:c r="O52" s="22" t="n">
        <x:v>299.98409</x:v>
      </x:c>
      <x:c r="P52" s="22" t="n">
        <x:v>0.2765</x:v>
      </x:c>
      <x:c r="Q52" s="22" t="n">
        <x:v>299.9892</x:v>
      </x:c>
      <x:c r="R52" s="22" t="n">
        <x:v>0.47417</x:v>
      </x:c>
      <x:c r="S52" s="22" t="n">
        <x:v>300.01805</x:v>
      </x:c>
      <x:c r="T52" s="22" t="n">
        <x:v>0.71982</x:v>
      </x:c>
      <x:c r="U52" s="22" t="n">
        <x:v>300.0069</x:v>
      </x:c>
      <x:c r="V52" s="22" t="n">
        <x:v>0.0069</x:v>
      </x:c>
      <x:c r="W52" s="22" t="n">
        <x:v>0.2765</x:v>
      </x:c>
      <x:c r="X52" s="22" t="n">
        <x:v>0.47417</x:v>
      </x:c>
      <x:c r="Y52" s="22" t="n">
        <x:v>0.71982</x:v>
      </x:c>
      <x:c r="Z52" s="22" t="n">
        <x:v>0.90523</x:v>
      </x:c>
      <x:c r="AA52" s="22" t="n">
        <x:v>33.2</x:v>
      </x:c>
      <x:c r="AB52" s="22" t="str">
        <x:v>Z</x:v>
      </x:c>
      <x:c r="AC52" s="22" t="n">
        <x:v>0.28444</x:v>
      </x:c>
      <x:c r="AD52" s="22" t="n">
        <x:v>-173.17</x:v>
      </x:c>
      <x:c r="AE52" s="22" t="n">
        <x:v>0.461</x:v>
      </x:c>
      <x:c r="AF52" s="22" t="n">
        <x:v>2.81</x:v>
      </x:c>
      <x:c r="AG52" s="22" t="n">
        <x:v>0.48143</x:v>
      </x:c>
      <x:c r="AH52" s="22" t="n">
        <x:v>-145.02</x:v>
      </x:c>
      <x:c r="AI52" s="22" t="n">
        <x:v>0.495</x:v>
      </x:c>
      <x:c r="AJ52" s="22" t="n">
        <x:v>3.16</x:v>
      </x:c>
      <x:c r="AK52" s="22" t="n">
        <x:v>0.73669</x:v>
      </x:c>
      <x:c r="AL52" s="22" t="n">
        <x:v>60.22</x:v>
      </x:c>
      <x:c r="AM52" s="22" t="n">
        <x:v>0.782</x:v>
      </x:c>
      <x:c r="AN52" s="22" t="n">
        <x:v>3.86</x:v>
      </x:c>
      <x:c r="AO52" s="22" t="n">
        <x:v>0.92513</x:v>
      </x:c>
      <x:c r="AP52" s="22" t="n">
        <x:v>2.46</x:v>
      </x:c>
      <x:c r="AQ52" s="22" t="n">
        <x:v>0.3075</x:v>
      </x:c>
      <x:c r="AR52" s="22" t="n">
        <x:v>0.5204</x:v>
      </x:c>
      <x:c r="AS52" s="22" t="n">
        <x:v>0.7963</x:v>
      </x:c>
      <x:c r="AT52" s="22" t="n">
        <x:v>1</x:v>
      </x:c>
    </x:row>
    <x:row r="53">
      <x:c r="A53" s="22" t="str">
        <x:v>GAIN_SWEEP</x:v>
      </x:c>
      <x:c r="B53" s="22" t="n">
        <x:v>4</x:v>
      </x:c>
      <x:c r="C53" s="22" t="n">
        <x:v>1</x:v>
      </x:c>
      <x:c r="D53" s="22" t="n">
        <x:v>300</x:v>
      </x:c>
      <x:c r="E53" s="22" t="n">
        <x:v>13</x:v>
      </x:c>
      <x:c r="F53" s="22" t="n">
        <x:v>299.99859</x:v>
      </x:c>
      <x:c r="G53" s="22" t="n">
        <x:v>0.28835</x:v>
      </x:c>
      <x:c r="H53" s="22" t="n">
        <x:v>25.4</x:v>
      </x:c>
      <x:c r="I53" s="22" t="n">
        <x:v>300.00932</x:v>
      </x:c>
      <x:c r="J53" s="22" t="n">
        <x:v>0.52997</x:v>
      </x:c>
      <x:c r="K53" s="22" t="n">
        <x:v>27.4</x:v>
      </x:c>
      <x:c r="L53" s="22" t="n">
        <x:v>300.00041</x:v>
      </x:c>
      <x:c r="M53" s="22" t="n">
        <x:v>0.7786</x:v>
      </x:c>
      <x:c r="N53" s="22" t="n">
        <x:v>31.49</x:v>
      </x:c>
      <x:c r="O53" s="22" t="n">
        <x:v>299.99859</x:v>
      </x:c>
      <x:c r="P53" s="22" t="n">
        <x:v>0.28835</x:v>
      </x:c>
      <x:c r="Q53" s="22" t="n">
        <x:v>300.00932</x:v>
      </x:c>
      <x:c r="R53" s="22" t="n">
        <x:v>0.52997</x:v>
      </x:c>
      <x:c r="S53" s="22" t="n">
        <x:v>300.00041</x:v>
      </x:c>
      <x:c r="T53" s="22" t="n">
        <x:v>0.7786</x:v>
      </x:c>
      <x:c r="U53" s="22" t="n">
        <x:v>300.00284</x:v>
      </x:c>
      <x:c r="V53" s="22" t="n">
        <x:v>0.00284</x:v>
      </x:c>
      <x:c r="W53" s="22" t="n">
        <x:v>0.28835</x:v>
      </x:c>
      <x:c r="X53" s="22" t="n">
        <x:v>0.52997</x:v>
      </x:c>
      <x:c r="Y53" s="22" t="n">
        <x:v>0.7786</x:v>
      </x:c>
      <x:c r="Z53" s="22" t="n">
        <x:v>0.98501</x:v>
      </x:c>
      <x:c r="AA53" s="22" t="n">
        <x:v>33.19</x:v>
      </x:c>
      <x:c r="AB53" s="22" t="str">
        <x:v>Z</x:v>
      </x:c>
      <x:c r="AC53" s="22" t="n">
        <x:v>0.31419</x:v>
      </x:c>
      <x:c r="AD53" s="22" t="n">
        <x:v>-173.55</x:v>
      </x:c>
      <x:c r="AE53" s="22" t="n">
        <x:v>0.575</x:v>
      </x:c>
      <x:c r="AF53" s="22" t="n">
        <x:v>5.08</x:v>
      </x:c>
      <x:c r="AG53" s="22" t="n">
        <x:v>0.52991</x:v>
      </x:c>
      <x:c r="AH53" s="22" t="n">
        <x:v>-145.42</x:v>
      </x:c>
      <x:c r="AI53" s="22" t="n">
        <x:v>0.563</x:v>
      </x:c>
      <x:c r="AJ53" s="22" t="n">
        <x:v>3.18</x:v>
      </x:c>
      <x:c r="AK53" s="22" t="n">
        <x:v>0.77607</x:v>
      </x:c>
      <x:c r="AL53" s="22" t="n">
        <x:v>59.25</x:v>
      </x:c>
      <x:c r="AM53" s="22" t="n">
        <x:v>0.819</x:v>
      </x:c>
      <x:c r="AN53" s="22" t="n">
        <x:v>0.96</x:v>
      </x:c>
      <x:c r="AO53" s="22" t="n">
        <x:v>0.99104</x:v>
      </x:c>
      <x:c r="AP53" s="22" t="n">
        <x:v>1.32</x:v>
      </x:c>
      <x:c r="AQ53" s="22" t="n">
        <x:v>0.317</x:v>
      </x:c>
      <x:c r="AR53" s="22" t="n">
        <x:v>0.5347</x:v>
      </x:c>
      <x:c r="AS53" s="22" t="n">
        <x:v>0.7831</x:v>
      </x:c>
      <x:c r="AT53" s="22" t="n">
        <x:v>1</x:v>
      </x:c>
    </x:row>
    <x:row r="54">
      <x:c r="A54" s="22" t="str">
        <x:v>GAIN_SWEEP</x:v>
      </x:c>
      <x:c r="B54" s="22" t="n">
        <x:v>5</x:v>
      </x:c>
      <x:c r="C54" s="22" t="n">
        <x:v>1</x:v>
      </x:c>
      <x:c r="D54" s="22" t="n">
        <x:v>300</x:v>
      </x:c>
      <x:c r="E54" s="22" t="n">
        <x:v>14</x:v>
      </x:c>
      <x:c r="F54" s="22" t="n">
        <x:v>300.0028</x:v>
      </x:c>
      <x:c r="G54" s="22" t="n">
        <x:v>0.34679</x:v>
      </x:c>
      <x:c r="H54" s="22" t="n">
        <x:v>26.29</x:v>
      </x:c>
      <x:c r="I54" s="22" t="n">
        <x:v>299.99544</x:v>
      </x:c>
      <x:c r="J54" s="22" t="n">
        <x:v>0.56215</x:v>
      </x:c>
      <x:c r="K54" s="22" t="n">
        <x:v>26.68</x:v>
      </x:c>
      <x:c r="L54" s="22" t="n">
        <x:v>299.99582</x:v>
      </x:c>
      <x:c r="M54" s="22" t="n">
        <x:v>0.83682</x:v>
      </x:c>
      <x:c r="N54" s="22" t="n">
        <x:v>31.63</x:v>
      </x:c>
      <x:c r="O54" s="22" t="n">
        <x:v>300.0028</x:v>
      </x:c>
      <x:c r="P54" s="22" t="n">
        <x:v>0.34679</x:v>
      </x:c>
      <x:c r="Q54" s="22" t="n">
        <x:v>299.99544</x:v>
      </x:c>
      <x:c r="R54" s="22" t="n">
        <x:v>0.56215</x:v>
      </x:c>
      <x:c r="S54" s="22" t="n">
        <x:v>299.99582</x:v>
      </x:c>
      <x:c r="T54" s="22" t="n">
        <x:v>0.83682</x:v>
      </x:c>
      <x:c r="U54" s="22" t="n">
        <x:v>299.99646</x:v>
      </x:c>
      <x:c r="V54" s="22" t="n">
        <x:v>-0.00354</x:v>
      </x:c>
      <x:c r="W54" s="22" t="n">
        <x:v>0.34679</x:v>
      </x:c>
      <x:c r="X54" s="22" t="n">
        <x:v>0.56215</x:v>
      </x:c>
      <x:c r="Y54" s="22" t="n">
        <x:v>0.83682</x:v>
      </x:c>
      <x:c r="Z54" s="22" t="n">
        <x:v>1.06608</x:v>
      </x:c>
      <x:c r="AA54" s="22" t="n">
        <x:v>35.04</x:v>
      </x:c>
      <x:c r="AB54" s="22" t="str">
        <x:v>Z</x:v>
      </x:c>
      <x:c r="AC54" s="22" t="n">
        <x:v>0.35319</x:v>
      </x:c>
      <x:c r="AD54" s="22" t="n">
        <x:v>-174.45</x:v>
      </x:c>
      <x:c r="AE54" s="22" t="n">
        <x:v>0.565</x:v>
      </x:c>
      <x:c r="AF54" s="22" t="n">
        <x:v>9.31</x:v>
      </x:c>
      <x:c r="AG54" s="22" t="n">
        <x:v>0.56732</x:v>
      </x:c>
      <x:c r="AH54" s="22" t="n">
        <x:v>-146.09</x:v>
      </x:c>
      <x:c r="AI54" s="22" t="n">
        <x:v>0.555</x:v>
      </x:c>
      <x:c r="AJ54" s="22" t="n">
        <x:v>4.13</x:v>
      </x:c>
      <x:c r="AK54" s="22" t="n">
        <x:v>0.83853</x:v>
      </x:c>
      <x:c r="AL54" s="22" t="n">
        <x:v>58.92</x:v>
      </x:c>
      <x:c r="AM54" s="22" t="n">
        <x:v>0.813</x:v>
      </x:c>
      <x:c r="AN54" s="22" t="n">
        <x:v>0.89</x:v>
      </x:c>
      <x:c r="AO54" s="22" t="n">
        <x:v>1.07281</x:v>
      </x:c>
      <x:c r="AP54" s="22" t="n">
        <x:v>1.25</x:v>
      </x:c>
      <x:c r="AQ54" s="22" t="n">
        <x:v>0.3292</x:v>
      </x:c>
      <x:c r="AR54" s="22" t="n">
        <x:v>0.5288</x:v>
      </x:c>
      <x:c r="AS54" s="22" t="n">
        <x:v>0.7816</x:v>
      </x:c>
      <x:c r="AT54" s="22" t="n">
        <x:v>1</x:v>
      </x:c>
    </x:row>
    <x:row r="55">
      <x:c r="A55" s="22" t="str">
        <x:v>GAIN_SWEEP</x:v>
      </x:c>
      <x:c r="B55" s="22" t="n">
        <x:v>6</x:v>
      </x:c>
      <x:c r="C55" s="22" t="n">
        <x:v>1</x:v>
      </x:c>
      <x:c r="D55" s="22" t="n">
        <x:v>300</x:v>
      </x:c>
      <x:c r="E55" s="22" t="n">
        <x:v>15</x:v>
      </x:c>
      <x:c r="F55" s="22" t="n">
        <x:v>300.00934</x:v>
      </x:c>
      <x:c r="G55" s="22" t="n">
        <x:v>0.36229</x:v>
      </x:c>
      <x:c r="H55" s="22" t="n">
        <x:v>26.86</x:v>
      </x:c>
      <x:c r="I55" s="22" t="n">
        <x:v>300.00651</x:v>
      </x:c>
      <x:c r="J55" s="22" t="n">
        <x:v>0.62205</x:v>
      </x:c>
      <x:c r="K55" s="22" t="n">
        <x:v>27.59</x:v>
      </x:c>
      <x:c r="L55" s="22" t="n">
        <x:v>300.00303</x:v>
      </x:c>
      <x:c r="M55" s="22" t="n">
        <x:v>0.87894</x:v>
      </x:c>
      <x:c r="N55" s="22" t="n">
        <x:v>32.1</x:v>
      </x:c>
      <x:c r="O55" s="22" t="n">
        <x:v>300.00934</x:v>
      </x:c>
      <x:c r="P55" s="22" t="n">
        <x:v>0.36229</x:v>
      </x:c>
      <x:c r="Q55" s="22" t="n">
        <x:v>300.00651</x:v>
      </x:c>
      <x:c r="R55" s="22" t="n">
        <x:v>0.62205</x:v>
      </x:c>
      <x:c r="S55" s="22" t="n">
        <x:v>300.00303</x:v>
      </x:c>
      <x:c r="T55" s="22" t="n">
        <x:v>0.87894</x:v>
      </x:c>
      <x:c r="U55" s="22" t="n">
        <x:v>300.00472</x:v>
      </x:c>
      <x:c r="V55" s="22" t="n">
        <x:v>0.00472</x:v>
      </x:c>
      <x:c r="W55" s="22" t="n">
        <x:v>0.36229</x:v>
      </x:c>
      <x:c r="X55" s="22" t="n">
        <x:v>0.62205</x:v>
      </x:c>
      <x:c r="Y55" s="22" t="n">
        <x:v>0.87894</x:v>
      </x:c>
      <x:c r="Z55" s="22" t="n">
        <x:v>1.13611</x:v>
      </x:c>
      <x:c r="AA55" s="22" t="n">
        <x:v>35.36</x:v>
      </x:c>
      <x:c r="AB55" s="22" t="str">
        <x:v>Z</x:v>
      </x:c>
      <x:c r="AC55" s="22" t="n">
        <x:v>0.37804</x:v>
      </x:c>
      <x:c r="AD55" s="22" t="n">
        <x:v>-177.22</x:v>
      </x:c>
      <x:c r="AE55" s="22" t="n">
        <x:v>0.606</x:v>
      </x:c>
      <x:c r="AF55" s="22" t="n">
        <x:v>6.6</x:v>
      </x:c>
      <x:c r="AG55" s="22" t="n">
        <x:v>0.63158</x:v>
      </x:c>
      <x:c r="AH55" s="22" t="n">
        <x:v>-145.46</x:v>
      </x:c>
      <x:c r="AI55" s="22" t="n">
        <x:v>0.601</x:v>
      </x:c>
      <x:c r="AJ55" s="22" t="n">
        <x:v>3.17</x:v>
      </x:c>
      <x:c r="AK55" s="22" t="n">
        <x:v>0.87515</x:v>
      </x:c>
      <x:c r="AL55" s="22" t="n">
        <x:v>57.69</x:v>
      </x:c>
      <x:c r="AM55" s="22" t="n">
        <x:v>0.831</x:v>
      </x:c>
      <x:c r="AN55" s="22" t="n">
        <x:v>1.63</x:v>
      </x:c>
      <x:c r="AO55" s="22" t="n">
        <x:v>1.1439</x:v>
      </x:c>
      <x:c r="AP55" s="22" t="n">
        <x:v>1.26</x:v>
      </x:c>
      <x:c r="AQ55" s="22" t="n">
        <x:v>0.3305</x:v>
      </x:c>
      <x:c r="AR55" s="22" t="n">
        <x:v>0.5521</x:v>
      </x:c>
      <x:c r="AS55" s="22" t="n">
        <x:v>0.7651</x:v>
      </x:c>
      <x:c r="AT55" s="22" t="n">
        <x:v>1</x:v>
      </x:c>
    </x:row>
    <x:row r="56">
      <x:c r="A56" s="22" t="str">
        <x:v>GAIN_SWEEP</x:v>
      </x:c>
      <x:c r="B56" s="22" t="n">
        <x:v>1</x:v>
      </x:c>
      <x:c r="C56" s="22" t="n">
        <x:v>1</x:v>
      </x:c>
      <x:c r="D56" s="22" t="n">
        <x:v>325</x:v>
      </x:c>
      <x:c r="E56" s="22" t="n">
        <x:v>10</x:v>
      </x:c>
      <x:c r="F56" s="22" t="n">
        <x:v>324.98172</x:v>
      </x:c>
      <x:c r="G56" s="22" t="n">
        <x:v>0.29911</x:v>
      </x:c>
      <x:c r="H56" s="22" t="n">
        <x:v>23.37</x:v>
      </x:c>
      <x:c r="I56" s="22" t="n">
        <x:v>324.98626</x:v>
      </x:c>
      <x:c r="J56" s="22" t="n">
        <x:v>0.48857</x:v>
      </x:c>
      <x:c r="K56" s="22" t="n">
        <x:v>23.39</x:v>
      </x:c>
      <x:c r="L56" s="22" t="n">
        <x:v>692.83098</x:v>
      </x:c>
      <x:c r="M56" s="22" t="n">
        <x:v>0.16054</x:v>
      </x:c>
      <x:c r="N56" s="22" t="n">
        <x:v>18.01</x:v>
      </x:c>
      <x:c r="O56" s="22" t="n">
        <x:v>324.98172</x:v>
      </x:c>
      <x:c r="P56" s="22" t="n">
        <x:v>0.29911</x:v>
      </x:c>
      <x:c r="Q56" s="22" t="n">
        <x:v>324.98626</x:v>
      </x:c>
      <x:c r="R56" s="22" t="n">
        <x:v>0.48857</x:v>
      </x:c>
      <x:c r="S56" s="22" t="n">
        <x:v>325.01361</x:v>
      </x:c>
      <x:c r="T56" s="22" t="n">
        <x:v>0.09197</x:v>
      </x:c>
      <x:c r="U56" s="22" t="n">
        <x:v>324.98574</x:v>
      </x:c>
      <x:c r="V56" s="22" t="n">
        <x:v>-0.01426</x:v>
      </x:c>
      <x:c r="W56" s="22" t="n">
        <x:v>0.29911</x:v>
      </x:c>
      <x:c r="X56" s="22" t="n">
        <x:v>0.48857</x:v>
      </x:c>
      <x:c r="Y56" s="22" t="n">
        <x:v>0.09197</x:v>
      </x:c>
      <x:c r="Z56" s="22" t="n">
        <x:v>0.5802</x:v>
      </x:c>
      <x:c r="AA56" s="22" t="n">
        <x:v>25.83</x:v>
      </x:c>
      <x:c r="AB56" s="22" t="str">
        <x:v>Y</x:v>
      </x:c>
      <x:c r="AC56" s="22" t="n">
        <x:v>0.28951</x:v>
      </x:c>
      <x:c r="AD56" s="22" t="n">
        <x:v>112.18</x:v>
      </x:c>
      <x:c r="AE56" s="22" t="n">
        <x:v>0.447</x:v>
      </x:c>
      <x:c r="AF56" s="22" t="n">
        <x:v>3.36</x:v>
      </x:c>
      <x:c r="AG56" s="22" t="n">
        <x:v>0.46616</x:v>
      </x:c>
      <x:c r="AH56" s="22" t="n">
        <x:v>-165.28</x:v>
      </x:c>
      <x:c r="AI56" s="22" t="n">
        <x:v>0.425</x:v>
      </x:c>
      <x:c r="AJ56" s="22" t="n">
        <x:v>7.04</x:v>
      </x:c>
      <x:c r="AK56" s="22" t="n">
        <x:v>0.09583</x:v>
      </x:c>
      <x:c r="AL56" s="22" t="n">
        <x:v>106.07</x:v>
      </x:c>
      <x:c r="AM56" s="22" t="n">
        <x:v>0.185</x:v>
      </x:c>
      <x:c r="AN56" s="22" t="n">
        <x:v>27.05</x:v>
      </x:c>
      <x:c r="AO56" s="22" t="n">
        <x:v>0.55811</x:v>
      </x:c>
      <x:c r="AP56" s="22" t="n">
        <x:v>3.45</x:v>
      </x:c>
      <x:c r="AQ56" s="22" t="n">
        <x:v>0.5187</x:v>
      </x:c>
      <x:c r="AR56" s="22" t="n">
        <x:v>0.8353</x:v>
      </x:c>
      <x:c r="AS56" s="22" t="n">
        <x:v>0.1717</x:v>
      </x:c>
      <x:c r="AT56" s="22" t="n">
        <x:v>1</x:v>
      </x:c>
    </x:row>
    <x:row r="57">
      <x:c r="A57" s="22" t="str">
        <x:v>GAIN_SWEEP</x:v>
      </x:c>
      <x:c r="B57" s="22" t="n">
        <x:v>2</x:v>
      </x:c>
      <x:c r="C57" s="22" t="n">
        <x:v>1</x:v>
      </x:c>
      <x:c r="D57" s="22" t="n">
        <x:v>325</x:v>
      </x:c>
      <x:c r="E57" s="22" t="n">
        <x:v>11</x:v>
      </x:c>
      <x:c r="F57" s="22" t="n">
        <x:v>325.01899</x:v>
      </x:c>
      <x:c r="G57" s="22" t="n">
        <x:v>0.32306</x:v>
      </x:c>
      <x:c r="H57" s="22" t="n">
        <x:v>24.42</x:v>
      </x:c>
      <x:c r="I57" s="22" t="n">
        <x:v>325.00492</x:v>
      </x:c>
      <x:c r="J57" s="22" t="n">
        <x:v>0.51267</x:v>
      </x:c>
      <x:c r="K57" s="22" t="n">
        <x:v>24.32</x:v>
      </x:c>
      <x:c r="L57" s="22" t="n">
        <x:v>692.74732</x:v>
      </x:c>
      <x:c r="M57" s="22" t="n">
        <x:v>0.15493</x:v>
      </x:c>
      <x:c r="N57" s="22" t="n">
        <x:v>17.74</x:v>
      </x:c>
      <x:c r="O57" s="22" t="n">
        <x:v>325.01899</x:v>
      </x:c>
      <x:c r="P57" s="22" t="n">
        <x:v>0.32306</x:v>
      </x:c>
      <x:c r="Q57" s="22" t="n">
        <x:v>325.00492</x:v>
      </x:c>
      <x:c r="R57" s="22" t="n">
        <x:v>0.51267</x:v>
      </x:c>
      <x:c r="S57" s="22" t="n">
        <x:v>324.91645</x:v>
      </x:c>
      <x:c r="T57" s="22" t="n">
        <x:v>0.10217</x:v>
      </x:c>
      <x:c r="U57" s="22" t="n">
        <x:v>325.00635</x:v>
      </x:c>
      <x:c r="V57" s="22" t="n">
        <x:v>0.00635</x:v>
      </x:c>
      <x:c r="W57" s="22" t="n">
        <x:v>0.32306</x:v>
      </x:c>
      <x:c r="X57" s="22" t="n">
        <x:v>0.51267</x:v>
      </x:c>
      <x:c r="Y57" s="22" t="n">
        <x:v>0.10217</x:v>
      </x:c>
      <x:c r="Z57" s="22" t="n">
        <x:v>0.61452</x:v>
      </x:c>
      <x:c r="AA57" s="22" t="n">
        <x:v>27.47</x:v>
      </x:c>
      <x:c r="AB57" s="22" t="str">
        <x:v>Y</x:v>
      </x:c>
      <x:c r="AC57" s="22" t="n">
        <x:v>0.32115</x:v>
      </x:c>
      <x:c r="AD57" s="22" t="n">
        <x:v>110.72</x:v>
      </x:c>
      <x:c r="AE57" s="22" t="n">
        <x:v>0.486</x:v>
      </x:c>
      <x:c r="AF57" s="22" t="n">
        <x:v>3.95</x:v>
      </x:c>
      <x:c r="AG57" s="22" t="n">
        <x:v>0.51531</x:v>
      </x:c>
      <x:c r="AH57" s="22" t="n">
        <x:v>-163.59</x:v>
      </x:c>
      <x:c r="AI57" s="22" t="n">
        <x:v>0.505</x:v>
      </x:c>
      <x:c r="AJ57" s="22" t="n">
        <x:v>5.33</x:v>
      </x:c>
      <x:c r="AK57" s="22" t="n">
        <x:v>0.11418</x:v>
      </x:c>
      <x:c r="AL57" s="22" t="n">
        <x:v>117.63</x:v>
      </x:c>
      <x:c r="AM57" s="22" t="n">
        <x:v>0.213</x:v>
      </x:c>
      <x:c r="AN57" s="22" t="n">
        <x:v>11.03</x:v>
      </x:c>
      <x:c r="AO57" s="22" t="n">
        <x:v>0.61822</x:v>
      </x:c>
      <x:c r="AP57" s="22" t="n">
        <x:v>3.52</x:v>
      </x:c>
      <x:c r="AQ57" s="22" t="n">
        <x:v>0.5195</x:v>
      </x:c>
      <x:c r="AR57" s="22" t="n">
        <x:v>0.8335</x:v>
      </x:c>
      <x:c r="AS57" s="22" t="n">
        <x:v>0.1847</x:v>
      </x:c>
      <x:c r="AT57" s="22" t="n">
        <x:v>1</x:v>
      </x:c>
    </x:row>
    <x:row r="58">
      <x:c r="A58" s="22" t="str">
        <x:v>GAIN_SWEEP</x:v>
      </x:c>
      <x:c r="B58" s="22" t="n">
        <x:v>3</x:v>
      </x:c>
      <x:c r="C58" s="22" t="n">
        <x:v>1</x:v>
      </x:c>
      <x:c r="D58" s="22" t="n">
        <x:v>325</x:v>
      </x:c>
      <x:c r="E58" s="22" t="n">
        <x:v>12</x:v>
      </x:c>
      <x:c r="F58" s="22" t="n">
        <x:v>324.99254</x:v>
      </x:c>
      <x:c r="G58" s="22" t="n">
        <x:v>0.3492</x:v>
      </x:c>
      <x:c r="H58" s="22" t="n">
        <x:v>24.84</x:v>
      </x:c>
      <x:c r="I58" s="22" t="n">
        <x:v>325.00881</x:v>
      </x:c>
      <x:c r="J58" s="22" t="n">
        <x:v>0.55566</x:v>
      </x:c>
      <x:c r="K58" s="22" t="n">
        <x:v>24.41</x:v>
      </x:c>
      <x:c r="L58" s="22" t="n">
        <x:v>692.65845</x:v>
      </x:c>
      <x:c r="M58" s="22" t="n">
        <x:v>0.16447</x:v>
      </x:c>
      <x:c r="N58" s="22" t="n">
        <x:v>17.86</x:v>
      </x:c>
      <x:c r="O58" s="22" t="n">
        <x:v>324.99254</x:v>
      </x:c>
      <x:c r="P58" s="22" t="n">
        <x:v>0.3492</x:v>
      </x:c>
      <x:c r="Q58" s="22" t="n">
        <x:v>325.00881</x:v>
      </x:c>
      <x:c r="R58" s="22" t="n">
        <x:v>0.55566</x:v>
      </x:c>
      <x:c r="S58" s="22" t="n">
        <x:v>324.935</x:v>
      </x:c>
      <x:c r="T58" s="22" t="n">
        <x:v>0.14815</x:v>
      </x:c>
      <x:c r="U58" s="22" t="n">
        <x:v>325.0008</x:v>
      </x:c>
      <x:c r="V58" s="22" t="n">
        <x:v>0.0008</x:v>
      </x:c>
      <x:c r="W58" s="22" t="n">
        <x:v>0.3492</x:v>
      </x:c>
      <x:c r="X58" s="22" t="n">
        <x:v>0.55566</x:v>
      </x:c>
      <x:c r="Y58" s="22" t="n">
        <x:v>0.14815</x:v>
      </x:c>
      <x:c r="Z58" s="22" t="n">
        <x:v>0.67279</x:v>
      </x:c>
      <x:c r="AA58" s="22" t="n">
        <x:v>29.55</x:v>
      </x:c>
      <x:c r="AB58" s="22" t="str">
        <x:v>Y</x:v>
      </x:c>
      <x:c r="AC58" s="22" t="n">
        <x:v>0.34656</x:v>
      </x:c>
      <x:c r="AD58" s="22" t="n">
        <x:v>113.02</x:v>
      </x:c>
      <x:c r="AE58" s="22" t="n">
        <x:v>0.526</x:v>
      </x:c>
      <x:c r="AF58" s="22" t="n">
        <x:v>3.95</x:v>
      </x:c>
      <x:c r="AG58" s="22" t="n">
        <x:v>0.56162</x:v>
      </x:c>
      <x:c r="AH58" s="22" t="n">
        <x:v>-165.5</x:v>
      </x:c>
      <x:c r="AI58" s="22" t="n">
        <x:v>0.541</x:v>
      </x:c>
      <x:c r="AJ58" s="22" t="n">
        <x:v>8.94</x:v>
      </x:c>
      <x:c r="AK58" s="22" t="n">
        <x:v>0.14941</x:v>
      </x:c>
      <x:c r="AL58" s="22" t="n">
        <x:v>133.07</x:v>
      </x:c>
      <x:c r="AM58" s="22" t="n">
        <x:v>0.276</x:v>
      </x:c>
      <x:c r="AN58" s="22" t="n">
        <x:v>10.65</x:v>
      </x:c>
      <x:c r="AO58" s="22" t="n">
        <x:v>0.67751</x:v>
      </x:c>
      <x:c r="AP58" s="22" t="n">
        <x:v>5.71</x:v>
      </x:c>
      <x:c r="AQ58" s="22" t="n">
        <x:v>0.5115</x:v>
      </x:c>
      <x:c r="AR58" s="22" t="n">
        <x:v>0.8289</x:v>
      </x:c>
      <x:c r="AS58" s="22" t="n">
        <x:v>0.2205</x:v>
      </x:c>
      <x:c r="AT58" s="22" t="n">
        <x:v>1</x:v>
      </x:c>
    </x:row>
    <x:row r="59">
      <x:c r="A59" s="22" t="str">
        <x:v>GAIN_SWEEP</x:v>
      </x:c>
      <x:c r="B59" s="22" t="n">
        <x:v>4</x:v>
      </x:c>
      <x:c r="C59" s="22" t="n">
        <x:v>1</x:v>
      </x:c>
      <x:c r="D59" s="22" t="n">
        <x:v>325</x:v>
      </x:c>
      <x:c r="E59" s="22" t="n">
        <x:v>13</x:v>
      </x:c>
      <x:c r="F59" s="22" t="n">
        <x:v>324.9819</x:v>
      </x:c>
      <x:c r="G59" s="22" t="n">
        <x:v>0.3791</x:v>
      </x:c>
      <x:c r="H59" s="22" t="n">
        <x:v>25.69</x:v>
      </x:c>
      <x:c r="I59" s="22" t="n">
        <x:v>324.99194</x:v>
      </x:c>
      <x:c r="J59" s="22" t="n">
        <x:v>0.60645</x:v>
      </x:c>
      <x:c r="K59" s="22" t="n">
        <x:v>25.61</x:v>
      </x:c>
      <x:c r="L59" s="22" t="n">
        <x:v>325.00149</x:v>
      </x:c>
      <x:c r="M59" s="22" t="n">
        <x:v>0.16674</x:v>
      </x:c>
      <x:c r="N59" s="22" t="n">
        <x:v>17.97</x:v>
      </x:c>
      <x:c r="O59" s="22" t="n">
        <x:v>324.9819</x:v>
      </x:c>
      <x:c r="P59" s="22" t="n">
        <x:v>0.3791</x:v>
      </x:c>
      <x:c r="Q59" s="22" t="n">
        <x:v>324.99194</x:v>
      </x:c>
      <x:c r="R59" s="22" t="n">
        <x:v>0.60645</x:v>
      </x:c>
      <x:c r="S59" s="22" t="n">
        <x:v>325.00149</x:v>
      </x:c>
      <x:c r="T59" s="22" t="n">
        <x:v>0.16674</x:v>
      </x:c>
      <x:c r="U59" s="22" t="n">
        <x:v>324.98976</x:v>
      </x:c>
      <x:c r="V59" s="22" t="n">
        <x:v>-0.01024</x:v>
      </x:c>
      <x:c r="W59" s="22" t="n">
        <x:v>0.3791</x:v>
      </x:c>
      <x:c r="X59" s="22" t="n">
        <x:v>0.60645</x:v>
      </x:c>
      <x:c r="Y59" s="22" t="n">
        <x:v>0.16674</x:v>
      </x:c>
      <x:c r="Z59" s="22" t="n">
        <x:v>0.73437</x:v>
      </x:c>
      <x:c r="AA59" s="22" t="n">
        <x:v>29.62</x:v>
      </x:c>
      <x:c r="AB59" s="22" t="str">
        <x:v>Y</x:v>
      </x:c>
      <x:c r="AC59" s="22" t="n">
        <x:v>0.37704</x:v>
      </x:c>
      <x:c r="AD59" s="22" t="n">
        <x:v>110.63</x:v>
      </x:c>
      <x:c r="AE59" s="22" t="n">
        <x:v>0.567</x:v>
      </x:c>
      <x:c r="AF59" s="22" t="n">
        <x:v>4.61</x:v>
      </x:c>
      <x:c r="AG59" s="22" t="n">
        <x:v>0.6031</x:v>
      </x:c>
      <x:c r="AH59" s="22" t="n">
        <x:v>-165.3</x:v>
      </x:c>
      <x:c r="AI59" s="22" t="n">
        <x:v>0.575</x:v>
      </x:c>
      <x:c r="AJ59" s="22" t="n">
        <x:v>2.08</x:v>
      </x:c>
      <x:c r="AK59" s="22" t="n">
        <x:v>0.15681</x:v>
      </x:c>
      <x:c r="AL59" s="22" t="n">
        <x:v>123.53</x:v>
      </x:c>
      <x:c r="AM59" s="22" t="n">
        <x:v>0.288</x:v>
      </x:c>
      <x:c r="AN59" s="22" t="n">
        <x:v>12.08</x:v>
      </x:c>
      <x:c r="AO59" s="22" t="n">
        <x:v>0.72866</x:v>
      </x:c>
      <x:c r="AP59" s="22" t="n">
        <x:v>2.15</x:v>
      </x:c>
      <x:c r="AQ59" s="22" t="n">
        <x:v>0.5174</x:v>
      </x:c>
      <x:c r="AR59" s="22" t="n">
        <x:v>0.8277</x:v>
      </x:c>
      <x:c r="AS59" s="22" t="n">
        <x:v>0.2152</x:v>
      </x:c>
      <x:c r="AT59" s="22" t="n">
        <x:v>1</x:v>
      </x:c>
    </x:row>
    <x:row r="60">
      <x:c r="A60" s="22" t="str">
        <x:v>GAIN_SWEEP</x:v>
      </x:c>
      <x:c r="B60" s="22" t="n">
        <x:v>5</x:v>
      </x:c>
      <x:c r="C60" s="22" t="n">
        <x:v>1</x:v>
      </x:c>
      <x:c r="D60" s="22" t="n">
        <x:v>325</x:v>
      </x:c>
      <x:c r="E60" s="22" t="n">
        <x:v>14</x:v>
      </x:c>
      <x:c r="F60" s="22" t="n">
        <x:v>325.00291</x:v>
      </x:c>
      <x:c r="G60" s="22" t="n">
        <x:v>0.41744</x:v>
      </x:c>
      <x:c r="H60" s="22" t="n">
        <x:v>26.03</x:v>
      </x:c>
      <x:c r="I60" s="22" t="n">
        <x:v>325.00554</x:v>
      </x:c>
      <x:c r="J60" s="22" t="n">
        <x:v>0.65042</x:v>
      </x:c>
      <x:c r="K60" s="22" t="n">
        <x:v>26</x:v>
      </x:c>
      <x:c r="L60" s="22" t="n">
        <x:v>325.01913</x:v>
      </x:c>
      <x:c r="M60" s="22" t="n">
        <x:v>0.17635</x:v>
      </x:c>
      <x:c r="N60" s="22" t="n">
        <x:v>18.24</x:v>
      </x:c>
      <x:c r="O60" s="22" t="n">
        <x:v>325.00291</x:v>
      </x:c>
      <x:c r="P60" s="22" t="n">
        <x:v>0.41744</x:v>
      </x:c>
      <x:c r="Q60" s="22" t="n">
        <x:v>325.00554</x:v>
      </x:c>
      <x:c r="R60" s="22" t="n">
        <x:v>0.65042</x:v>
      </x:c>
      <x:c r="S60" s="22" t="n">
        <x:v>325.01913</x:v>
      </x:c>
      <x:c r="T60" s="22" t="n">
        <x:v>0.17635</x:v>
      </x:c>
      <x:c r="U60" s="22" t="n">
        <x:v>325.00549</x:v>
      </x:c>
      <x:c r="V60" s="22" t="n">
        <x:v>0.00549</x:v>
      </x:c>
      <x:c r="W60" s="22" t="n">
        <x:v>0.41744</x:v>
      </x:c>
      <x:c r="X60" s="22" t="n">
        <x:v>0.65042</x:v>
      </x:c>
      <x:c r="Y60" s="22" t="n">
        <x:v>0.17635</x:v>
      </x:c>
      <x:c r="Z60" s="22" t="n">
        <x:v>0.79272</x:v>
      </x:c>
      <x:c r="AA60" s="22" t="n">
        <x:v>28.83</x:v>
      </x:c>
      <x:c r="AB60" s="22" t="str">
        <x:v>Y</x:v>
      </x:c>
      <x:c r="AC60" s="22" t="n">
        <x:v>0.42152</x:v>
      </x:c>
      <x:c r="AD60" s="22" t="n">
        <x:v>109.85</x:v>
      </x:c>
      <x:c r="AE60" s="22" t="n">
        <x:v>0.583</x:v>
      </x:c>
      <x:c r="AF60" s="22" t="n">
        <x:v>3.75</x:v>
      </x:c>
      <x:c r="AG60" s="22" t="n">
        <x:v>0.65547</x:v>
      </x:c>
      <x:c r="AH60" s="22" t="n">
        <x:v>-165.66</x:v>
      </x:c>
      <x:c r="AI60" s="22" t="n">
        <x:v>0.582</x:v>
      </x:c>
      <x:c r="AJ60" s="22" t="n">
        <x:v>5.82</x:v>
      </x:c>
      <x:c r="AK60" s="22" t="n">
        <x:v>0.1914</x:v>
      </x:c>
      <x:c r="AL60" s="22" t="n">
        <x:v>125.13</x:v>
      </x:c>
      <x:c r="AM60" s="22" t="n">
        <x:v>0.337</x:v>
      </x:c>
      <x:c r="AN60" s="22" t="n">
        <x:v>11.41</x:v>
      </x:c>
      <x:c r="AO60" s="22" t="n">
        <x:v>0.80305</x:v>
      </x:c>
      <x:c r="AP60" s="22" t="n">
        <x:v>3.98</x:v>
      </x:c>
      <x:c r="AQ60" s="22" t="n">
        <x:v>0.5249</x:v>
      </x:c>
      <x:c r="AR60" s="22" t="n">
        <x:v>0.8162</x:v>
      </x:c>
      <x:c r="AS60" s="22" t="n">
        <x:v>0.2383</x:v>
      </x:c>
      <x:c r="AT60" s="22" t="n">
        <x:v>1</x:v>
      </x:c>
    </x:row>
    <x:row r="61">
      <x:c r="A61" s="22" t="str">
        <x:v>GAIN_SWEEP</x:v>
      </x:c>
      <x:c r="B61" s="22" t="n">
        <x:v>6</x:v>
      </x:c>
      <x:c r="C61" s="22" t="n">
        <x:v>1</x:v>
      </x:c>
      <x:c r="D61" s="22" t="n">
        <x:v>325</x:v>
      </x:c>
      <x:c r="E61" s="22" t="n">
        <x:v>15</x:v>
      </x:c>
      <x:c r="F61" s="22" t="n">
        <x:v>324.99038</x:v>
      </x:c>
      <x:c r="G61" s="22" t="n">
        <x:v>0.44995</x:v>
      </x:c>
      <x:c r="H61" s="22" t="n">
        <x:v>26.67</x:v>
      </x:c>
      <x:c r="I61" s="22" t="n">
        <x:v>324.99459</x:v>
      </x:c>
      <x:c r="J61" s="22" t="n">
        <x:v>0.70913</x:v>
      </x:c>
      <x:c r="K61" s="22" t="n">
        <x:v>26.53</x:v>
      </x:c>
      <x:c r="L61" s="22" t="n">
        <x:v>325.01338</x:v>
      </x:c>
      <x:c r="M61" s="22" t="n">
        <x:v>0.21548</x:v>
      </x:c>
      <x:c r="N61" s="22" t="n">
        <x:v>19.87</x:v>
      </x:c>
      <x:c r="O61" s="22" t="n">
        <x:v>324.99038</x:v>
      </x:c>
      <x:c r="P61" s="22" t="n">
        <x:v>0.44995</x:v>
      </x:c>
      <x:c r="Q61" s="22" t="n">
        <x:v>324.99459</x:v>
      </x:c>
      <x:c r="R61" s="22" t="n">
        <x:v>0.70913</x:v>
      </x:c>
      <x:c r="S61" s="22" t="n">
        <x:v>325.01338</x:v>
      </x:c>
      <x:c r="T61" s="22" t="n">
        <x:v>0.21548</x:v>
      </x:c>
      <x:c r="U61" s="22" t="n">
        <x:v>324.99462</x:v>
      </x:c>
      <x:c r="V61" s="22" t="n">
        <x:v>-0.00538</x:v>
      </x:c>
      <x:c r="W61" s="22" t="n">
        <x:v>0.44995</x:v>
      </x:c>
      <x:c r="X61" s="22" t="n">
        <x:v>0.70913</x:v>
      </x:c>
      <x:c r="Y61" s="22" t="n">
        <x:v>0.21548</x:v>
      </x:c>
      <x:c r="Z61" s="22" t="n">
        <x:v>0.86704</x:v>
      </x:c>
      <x:c r="AA61" s="22" t="n">
        <x:v>30.57</x:v>
      </x:c>
      <x:c r="AB61" s="22" t="str">
        <x:v>Y</x:v>
      </x:c>
      <x:c r="AC61" s="22" t="n">
        <x:v>0.4409</x:v>
      </x:c>
      <x:c r="AD61" s="22" t="n">
        <x:v>109.73</x:v>
      </x:c>
      <x:c r="AE61" s="22" t="n">
        <x:v>0.605</x:v>
      </x:c>
      <x:c r="AF61" s="22" t="n">
        <x:v>2.18</x:v>
      </x:c>
      <x:c r="AG61" s="22" t="n">
        <x:v>0.7119</x:v>
      </x:c>
      <x:c r="AH61" s="22" t="n">
        <x:v>-165.44</x:v>
      </x:c>
      <x:c r="AI61" s="22" t="n">
        <x:v>0.603</x:v>
      </x:c>
      <x:c r="AJ61" s="22" t="n">
        <x:v>3.12</x:v>
      </x:c>
      <x:c r="AK61" s="22" t="n">
        <x:v>0.21045</x:v>
      </x:c>
      <x:c r="AL61" s="22" t="n">
        <x:v>119.94</x:v>
      </x:c>
      <x:c r="AM61" s="22" t="n">
        <x:v>0.363</x:v>
      </x:c>
      <x:c r="AN61" s="22" t="n">
        <x:v>11.48</x:v>
      </x:c>
      <x:c r="AO61" s="22" t="n">
        <x:v>0.86391</x:v>
      </x:c>
      <x:c r="AP61" s="22" t="n">
        <x:v>1.23</x:v>
      </x:c>
      <x:c r="AQ61" s="22" t="n">
        <x:v>0.5104</x:v>
      </x:c>
      <x:c r="AR61" s="22" t="n">
        <x:v>0.8241</x:v>
      </x:c>
      <x:c r="AS61" s="22" t="n">
        <x:v>0.2436</x:v>
      </x:c>
      <x:c r="AT61" s="22" t="n">
        <x:v>1</x:v>
      </x:c>
    </x:row>
    <x:row r="62">
      <x:c r="A62" s="22" t="str">
        <x:v>GAIN_SWEEP</x:v>
      </x:c>
      <x:c r="B62" s="22" t="n">
        <x:v>1</x:v>
      </x:c>
      <x:c r="C62" s="22" t="n">
        <x:v>1</x:v>
      </x:c>
      <x:c r="D62" s="22" t="n">
        <x:v>350</x:v>
      </x:c>
      <x:c r="E62" s="22" t="n">
        <x:v>10</x:v>
      </x:c>
      <x:c r="F62" s="22" t="n">
        <x:v>714.33119</x:v>
      </x:c>
      <x:c r="G62" s="22" t="n">
        <x:v>0.27741</x:v>
      </x:c>
      <x:c r="H62" s="22" t="n">
        <x:v>22.67</x:v>
      </x:c>
      <x:c r="I62" s="22" t="n">
        <x:v>349.97195</x:v>
      </x:c>
      <x:c r="J62" s="22" t="n">
        <x:v>0.39694</x:v>
      </x:c>
      <x:c r="K62" s="22" t="n">
        <x:v>22.38</x:v>
      </x:c>
      <x:c r="L62" s="22" t="n">
        <x:v>349.9705</x:v>
      </x:c>
      <x:c r="M62" s="22" t="n">
        <x:v>0.66504</x:v>
      </x:c>
      <x:c r="N62" s="22" t="n">
        <x:v>29.18</x:v>
      </x:c>
      <x:c r="O62" s="22" t="n">
        <x:v>349.93633</x:v>
      </x:c>
      <x:c r="P62" s="22" t="n">
        <x:v>0.14161</x:v>
      </x:c>
      <x:c r="Q62" s="22" t="n">
        <x:v>349.97195</x:v>
      </x:c>
      <x:c r="R62" s="22" t="n">
        <x:v>0.39694</x:v>
      </x:c>
      <x:c r="S62" s="22" t="n">
        <x:v>349.9705</x:v>
      </x:c>
      <x:c r="T62" s="22" t="n">
        <x:v>0.66504</x:v>
      </x:c>
      <x:c r="U62" s="22" t="n">
        <x:v>349.96977</x:v>
      </x:c>
      <x:c r="V62" s="22" t="n">
        <x:v>-0.03023</x:v>
      </x:c>
      <x:c r="W62" s="22" t="n">
        <x:v>0.14161</x:v>
      </x:c>
      <x:c r="X62" s="22" t="n">
        <x:v>0.39694</x:v>
      </x:c>
      <x:c r="Y62" s="22" t="n">
        <x:v>0.66504</x:v>
      </x:c>
      <x:c r="Z62" s="22" t="n">
        <x:v>0.78733</x:v>
      </x:c>
      <x:c r="AA62" s="22" t="n">
        <x:v>31.13</x:v>
      </x:c>
      <x:c r="AB62" s="22" t="str">
        <x:v>Z</x:v>
      </x:c>
      <x:c r="AC62" s="22" t="n">
        <x:v>0.1478</x:v>
      </x:c>
      <x:c r="AD62" s="22" t="n">
        <x:v>80.18</x:v>
      </x:c>
      <x:c r="AE62" s="22" t="n">
        <x:v>0.211</x:v>
      </x:c>
      <x:c r="AF62" s="22" t="n">
        <x:v>10.26</x:v>
      </x:c>
      <x:c r="AG62" s="22" t="n">
        <x:v>0.3752</x:v>
      </x:c>
      <x:c r="AH62" s="22" t="n">
        <x:v>-170.67</x:v>
      </x:c>
      <x:c r="AI62" s="22" t="n">
        <x:v>0.372</x:v>
      </x:c>
      <x:c r="AJ62" s="22" t="n">
        <x:v>17.84</x:v>
      </x:c>
      <x:c r="AK62" s="22" t="n">
        <x:v>0.63898</x:v>
      </x:c>
      <x:c r="AL62" s="22" t="n">
        <x:v>101.89</x:v>
      </x:c>
      <x:c r="AM62" s="22" t="n">
        <x:v>0.719</x:v>
      </x:c>
      <x:c r="AN62" s="22" t="n">
        <x:v>2.18</x:v>
      </x:c>
      <x:c r="AO62" s="22" t="n">
        <x:v>0.75772</x:v>
      </x:c>
      <x:c r="AP62" s="22" t="n">
        <x:v>3.9</x:v>
      </x:c>
      <x:c r="AQ62" s="22" t="n">
        <x:v>0.1951</x:v>
      </x:c>
      <x:c r="AR62" s="22" t="n">
        <x:v>0.4952</x:v>
      </x:c>
      <x:c r="AS62" s="22" t="n">
        <x:v>0.8433</x:v>
      </x:c>
      <x:c r="AT62" s="22" t="n">
        <x:v>1</x:v>
      </x:c>
    </x:row>
    <x:row r="63">
      <x:c r="A63" s="22" t="str">
        <x:v>GAIN_SWEEP</x:v>
      </x:c>
      <x:c r="B63" s="22" t="n">
        <x:v>2</x:v>
      </x:c>
      <x:c r="C63" s="22" t="n">
        <x:v>1</x:v>
      </x:c>
      <x:c r="D63" s="22" t="n">
        <x:v>350</x:v>
      </x:c>
      <x:c r="E63" s="22" t="n">
        <x:v>11</x:v>
      </x:c>
      <x:c r="F63" s="22" t="n">
        <x:v>167.88951</x:v>
      </x:c>
      <x:c r="G63" s="22" t="n">
        <x:v>0.27331</x:v>
      </x:c>
      <x:c r="H63" s="22" t="n">
        <x:v>22.77</x:v>
      </x:c>
      <x:c r="I63" s="22" t="n">
        <x:v>350.02058</x:v>
      </x:c>
      <x:c r="J63" s="22" t="n">
        <x:v>0.44405</x:v>
      </x:c>
      <x:c r="K63" s="22" t="n">
        <x:v>23.74</x:v>
      </x:c>
      <x:c r="L63" s="22" t="n">
        <x:v>349.98283</x:v>
      </x:c>
      <x:c r="M63" s="22" t="n">
        <x:v>0.68078</x:v>
      </x:c>
      <x:c r="N63" s="22" t="n">
        <x:v>29.59</x:v>
      </x:c>
      <x:c r="O63" s="22" t="n">
        <x:v>349.99244</x:v>
      </x:c>
      <x:c r="P63" s="22" t="n">
        <x:v>0.16047</x:v>
      </x:c>
      <x:c r="Q63" s="22" t="n">
        <x:v>350.02058</x:v>
      </x:c>
      <x:c r="R63" s="22" t="n">
        <x:v>0.44405</x:v>
      </x:c>
      <x:c r="S63" s="22" t="n">
        <x:v>349.98283</x:v>
      </x:c>
      <x:c r="T63" s="22" t="n">
        <x:v>0.68078</x:v>
      </x:c>
      <x:c r="U63" s="22" t="n">
        <x:v>349.99395</x:v>
      </x:c>
      <x:c r="V63" s="22" t="n">
        <x:v>-0.00605</x:v>
      </x:c>
      <x:c r="W63" s="22" t="n">
        <x:v>0.16047</x:v>
      </x:c>
      <x:c r="X63" s="22" t="n">
        <x:v>0.44405</x:v>
      </x:c>
      <x:c r="Y63" s="22" t="n">
        <x:v>0.68078</x:v>
      </x:c>
      <x:c r="Z63" s="22" t="n">
        <x:v>0.82849</x:v>
      </x:c>
      <x:c r="AA63" s="22" t="n">
        <x:v>31.04</x:v>
      </x:c>
      <x:c r="AB63" s="22" t="str">
        <x:v>Z</x:v>
      </x:c>
      <x:c r="AC63" s="22" t="n">
        <x:v>0.15733</x:v>
      </x:c>
      <x:c r="AD63" s="22" t="n">
        <x:v>90.28</x:v>
      </x:c>
      <x:c r="AE63" s="22" t="n">
        <x:v>0.239</x:v>
      </x:c>
      <x:c r="AF63" s="22" t="n">
        <x:v>5.08</x:v>
      </x:c>
      <x:c r="AG63" s="22" t="n">
        <x:v>0.45961</x:v>
      </x:c>
      <x:c r="AH63" s="22" t="n">
        <x:v>-162.37</x:v>
      </x:c>
      <x:c r="AI63" s="22" t="n">
        <x:v>0.482</x:v>
      </x:c>
      <x:c r="AJ63" s="22" t="n">
        <x:v>12.1</x:v>
      </x:c>
      <x:c r="AK63" s="22" t="n">
        <x:v>0.67689</x:v>
      </x:c>
      <x:c r="AL63" s="22" t="n">
        <x:v>95.61</x:v>
      </x:c>
      <x:c r="AM63" s="22" t="n">
        <x:v>0.741</x:v>
      </x:c>
      <x:c r="AN63" s="22" t="n">
        <x:v>2.19</x:v>
      </x:c>
      <x:c r="AO63" s="22" t="n">
        <x:v>0.83414</x:v>
      </x:c>
      <x:c r="AP63" s="22" t="n">
        <x:v>4.43</x:v>
      </x:c>
      <x:c r="AQ63" s="22" t="n">
        <x:v>0.1886</x:v>
      </x:c>
      <x:c r="AR63" s="22" t="n">
        <x:v>0.551</x:v>
      </x:c>
      <x:c r="AS63" s="22" t="n">
        <x:v>0.8115</x:v>
      </x:c>
      <x:c r="AT63" s="22" t="n">
        <x:v>1</x:v>
      </x:c>
    </x:row>
    <x:row r="64">
      <x:c r="A64" s="22" t="str">
        <x:v>GAIN_SWEEP</x:v>
      </x:c>
      <x:c r="B64" s="22" t="n">
        <x:v>3</x:v>
      </x:c>
      <x:c r="C64" s="22" t="n">
        <x:v>1</x:v>
      </x:c>
      <x:c r="D64" s="22" t="n">
        <x:v>350</x:v>
      </x:c>
      <x:c r="E64" s="22" t="n">
        <x:v>12</x:v>
      </x:c>
      <x:c r="F64" s="22" t="n">
        <x:v>167.69577</x:v>
      </x:c>
      <x:c r="G64" s="22" t="n">
        <x:v>0.27951</x:v>
      </x:c>
      <x:c r="H64" s="22" t="n">
        <x:v>22.79</x:v>
      </x:c>
      <x:c r="I64" s="22" t="n">
        <x:v>350.01153</x:v>
      </x:c>
      <x:c r="J64" s="22" t="n">
        <x:v>0.51923</x:v>
      </x:c>
      <x:c r="K64" s="22" t="n">
        <x:v>24.05</x:v>
      </x:c>
      <x:c r="L64" s="22" t="n">
        <x:v>350.00297</x:v>
      </x:c>
      <x:c r="M64" s="22" t="n">
        <x:v>0.6959</x:v>
      </x:c>
      <x:c r="N64" s="22" t="n">
        <x:v>29.24</x:v>
      </x:c>
      <x:c r="O64" s="22" t="n">
        <x:v>350.01896</x:v>
      </x:c>
      <x:c r="P64" s="22" t="n">
        <x:v>0.1886</x:v>
      </x:c>
      <x:c r="Q64" s="22" t="n">
        <x:v>350.01153</x:v>
      </x:c>
      <x:c r="R64" s="22" t="n">
        <x:v>0.51923</x:v>
      </x:c>
      <x:c r="S64" s="22" t="n">
        <x:v>350.00297</x:v>
      </x:c>
      <x:c r="T64" s="22" t="n">
        <x:v>0.6959</x:v>
      </x:c>
      <x:c r="U64" s="22" t="n">
        <x:v>350.00663</x:v>
      </x:c>
      <x:c r="V64" s="22" t="n">
        <x:v>0.00663</x:v>
      </x:c>
      <x:c r="W64" s="22" t="n">
        <x:v>0.1886</x:v>
      </x:c>
      <x:c r="X64" s="22" t="n">
        <x:v>0.51923</x:v>
      </x:c>
      <x:c r="Y64" s="22" t="n">
        <x:v>0.6959</x:v>
      </x:c>
      <x:c r="Z64" s="22" t="n">
        <x:v>0.88851</x:v>
      </x:c>
      <x:c r="AA64" s="22" t="n">
        <x:v>31.79</x:v>
      </x:c>
      <x:c r="AB64" s="22" t="str">
        <x:v>Z</x:v>
      </x:c>
      <x:c r="AC64" s="22" t="n">
        <x:v>0.19555</x:v>
      </x:c>
      <x:c r="AD64" s="22" t="n">
        <x:v>91.59</x:v>
      </x:c>
      <x:c r="AE64" s="22" t="n">
        <x:v>0.273</x:v>
      </x:c>
      <x:c r="AF64" s="22" t="n">
        <x:v>5.18</x:v>
      </x:c>
      <x:c r="AG64" s="22" t="n">
        <x:v>0.52219</x:v>
      </x:c>
      <x:c r="AH64" s="22" t="n">
        <x:v>-163.48</x:v>
      </x:c>
      <x:c r="AI64" s="22" t="n">
        <x:v>0.466</x:v>
      </x:c>
      <x:c r="AJ64" s="22" t="n">
        <x:v>7.44</x:v>
      </x:c>
      <x:c r="AK64" s="22" t="n">
        <x:v>0.70081</x:v>
      </x:c>
      <x:c r="AL64" s="22" t="n">
        <x:v>88.92</x:v>
      </x:c>
      <x:c r="AM64" s="22" t="n">
        <x:v>0.73</x:v>
      </x:c>
      <x:c r="AN64" s="22" t="n">
        <x:v>2.05</x:v>
      </x:c>
      <x:c r="AO64" s="22" t="n">
        <x:v>0.89607</x:v>
      </x:c>
      <x:c r="AP64" s="22" t="n">
        <x:v>2.96</x:v>
      </x:c>
      <x:c r="AQ64" s="22" t="n">
        <x:v>0.2182</x:v>
      </x:c>
      <x:c r="AR64" s="22" t="n">
        <x:v>0.5828</x:v>
      </x:c>
      <x:c r="AS64" s="22" t="n">
        <x:v>0.7821</x:v>
      </x:c>
      <x:c r="AT64" s="22" t="n">
        <x:v>1</x:v>
      </x:c>
    </x:row>
    <x:row r="65">
      <x:c r="A65" s="22" t="str">
        <x:v>GAIN_SWEEP</x:v>
      </x:c>
      <x:c r="B65" s="22" t="n">
        <x:v>4</x:v>
      </x:c>
      <x:c r="C65" s="22" t="n">
        <x:v>1</x:v>
      </x:c>
      <x:c r="D65" s="22" t="n">
        <x:v>350</x:v>
      </x:c>
      <x:c r="E65" s="22" t="n">
        <x:v>13</x:v>
      </x:c>
      <x:c r="F65" s="22" t="n">
        <x:v>167.95386</x:v>
      </x:c>
      <x:c r="G65" s="22" t="n">
        <x:v>0.22193</x:v>
      </x:c>
      <x:c r="H65" s="22" t="n">
        <x:v>21.29</x:v>
      </x:c>
      <x:c r="I65" s="22" t="n">
        <x:v>349.99145</x:v>
      </x:c>
      <x:c r="J65" s="22" t="n">
        <x:v>0.57619</x:v>
      </x:c>
      <x:c r="K65" s="22" t="n">
        <x:v>24.8</x:v>
      </x:c>
      <x:c r="L65" s="22" t="n">
        <x:v>349.99284</x:v>
      </x:c>
      <x:c r="M65" s="22" t="n">
        <x:v>0.74056</x:v>
      </x:c>
      <x:c r="N65" s="22" t="n">
        <x:v>29.75</x:v>
      </x:c>
      <x:c r="O65" s="22" t="n">
        <x:v>350.00748</x:v>
      </x:c>
      <x:c r="P65" s="22" t="n">
        <x:v>0.19881</x:v>
      </x:c>
      <x:c r="Q65" s="22" t="n">
        <x:v>349.99145</x:v>
      </x:c>
      <x:c r="R65" s="22" t="n">
        <x:v>0.57619</x:v>
      </x:c>
      <x:c r="S65" s="22" t="n">
        <x:v>349.99284</x:v>
      </x:c>
      <x:c r="T65" s="22" t="n">
        <x:v>0.74056</x:v>
      </x:c>
      <x:c r="U65" s="22" t="n">
        <x:v>349.99296</x:v>
      </x:c>
      <x:c r="V65" s="22" t="n">
        <x:v>-0.00704</x:v>
      </x:c>
      <x:c r="W65" s="22" t="n">
        <x:v>0.19881</x:v>
      </x:c>
      <x:c r="X65" s="22" t="n">
        <x:v>0.57619</x:v>
      </x:c>
      <x:c r="Y65" s="22" t="n">
        <x:v>0.74056</x:v>
      </x:c>
      <x:c r="Z65" s="22" t="n">
        <x:v>0.95913</x:v>
      </x:c>
      <x:c r="AA65" s="22" t="n">
        <x:v>31.03</x:v>
      </x:c>
      <x:c r="AB65" s="22" t="str">
        <x:v>Z</x:v>
      </x:c>
      <x:c r="AC65" s="22" t="n">
        <x:v>0.20276</x:v>
      </x:c>
      <x:c r="AD65" s="22" t="n">
        <x:v>97.46</x:v>
      </x:c>
      <x:c r="AE65" s="22" t="n">
        <x:v>0.33</x:v>
      </x:c>
      <x:c r="AF65" s="22" t="n">
        <x:v>3.72</x:v>
      </x:c>
      <x:c r="AG65" s="22" t="n">
        <x:v>0.5775</x:v>
      </x:c>
      <x:c r="AH65" s="22" t="n">
        <x:v>-160.55</x:v>
      </x:c>
      <x:c r="AI65" s="22" t="n">
        <x:v>0.514</x:v>
      </x:c>
      <x:c r="AJ65" s="22" t="n">
        <x:v>5.79</x:v>
      </x:c>
      <x:c r="AK65" s="22" t="n">
        <x:v>0.74143</x:v>
      </x:c>
      <x:c r="AL65" s="22" t="n">
        <x:v>85.07</x:v>
      </x:c>
      <x:c r="AM65" s="22" t="n">
        <x:v>0.768</x:v>
      </x:c>
      <x:c r="AN65" s="22" t="n">
        <x:v>2.64</x:v>
      </x:c>
      <x:c r="AO65" s="22" t="n">
        <x:v>0.96182</x:v>
      </x:c>
      <x:c r="AP65" s="22" t="n">
        <x:v>2.58</x:v>
      </x:c>
      <x:c r="AQ65" s="22" t="n">
        <x:v>0.2108</x:v>
      </x:c>
      <x:c r="AR65" s="22" t="n">
        <x:v>0.6004</x:v>
      </x:c>
      <x:c r="AS65" s="22" t="n">
        <x:v>0.7709</x:v>
      </x:c>
      <x:c r="AT65" s="22" t="n">
        <x:v>1</x:v>
      </x:c>
    </x:row>
    <x:row r="66">
      <x:c r="A66" s="22" t="str">
        <x:v>GAIN_SWEEP</x:v>
      </x:c>
      <x:c r="B66" s="22" t="n">
        <x:v>5</x:v>
      </x:c>
      <x:c r="C66" s="22" t="n">
        <x:v>1</x:v>
      </x:c>
      <x:c r="D66" s="22" t="n">
        <x:v>350</x:v>
      </x:c>
      <x:c r="E66" s="22" t="n">
        <x:v>14</x:v>
      </x:c>
      <x:c r="F66" s="22" t="n">
        <x:v>167.71794</x:v>
      </x:c>
      <x:c r="G66" s="22" t="n">
        <x:v>0.24904</x:v>
      </x:c>
      <x:c r="H66" s="22" t="n">
        <x:v>21.98</x:v>
      </x:c>
      <x:c r="I66" s="22" t="n">
        <x:v>349.98877</x:v>
      </x:c>
      <x:c r="J66" s="22" t="n">
        <x:v>0.62007</x:v>
      </x:c>
      <x:c r="K66" s="22" t="n">
        <x:v>25.39</x:v>
      </x:c>
      <x:c r="L66" s="22" t="n">
        <x:v>350.00126</x:v>
      </x:c>
      <x:c r="M66" s="22" t="n">
        <x:v>0.76921</x:v>
      </x:c>
      <x:c r="N66" s="22" t="n">
        <x:v>29.81</x:v>
      </x:c>
      <x:c r="O66" s="22" t="n">
        <x:v>349.99807</x:v>
      </x:c>
      <x:c r="P66" s="22" t="n">
        <x:v>0.21777</x:v>
      </x:c>
      <x:c r="Q66" s="22" t="n">
        <x:v>349.98877</x:v>
      </x:c>
      <x:c r="R66" s="22" t="n">
        <x:v>0.62007</x:v>
      </x:c>
      <x:c r="S66" s="22" t="n">
        <x:v>350.00126</x:v>
      </x:c>
      <x:c r="T66" s="22" t="n">
        <x:v>0.76921</x:v>
      </x:c>
      <x:c r="U66" s="22" t="n">
        <x:v>349.99642</x:v>
      </x:c>
      <x:c r="V66" s="22" t="n">
        <x:v>-0.00358</x:v>
      </x:c>
      <x:c r="W66" s="22" t="n">
        <x:v>0.21777</x:v>
      </x:c>
      <x:c r="X66" s="22" t="n">
        <x:v>0.62007</x:v>
      </x:c>
      <x:c r="Y66" s="22" t="n">
        <x:v>0.76921</x:v>
      </x:c>
      <x:c r="Z66" s="22" t="n">
        <x:v>1.01173</x:v>
      </x:c>
      <x:c r="AA66" s="22" t="n">
        <x:v>32.17</x:v>
      </x:c>
      <x:c r="AB66" s="22" t="str">
        <x:v>Z</x:v>
      </x:c>
      <x:c r="AC66" s="22" t="n">
        <x:v>0.23705</x:v>
      </x:c>
      <x:c r="AD66" s="22" t="n">
        <x:v>100.34</x:v>
      </x:c>
      <x:c r="AE66" s="22" t="n">
        <x:v>0.357</x:v>
      </x:c>
      <x:c r="AF66" s="22" t="n">
        <x:v>6.05</x:v>
      </x:c>
      <x:c r="AG66" s="22" t="n">
        <x:v>0.64742</x:v>
      </x:c>
      <x:c r="AH66" s="22" t="n">
        <x:v>-156.88</x:v>
      </x:c>
      <x:c r="AI66" s="22" t="n">
        <x:v>0.533</x:v>
      </x:c>
      <x:c r="AJ66" s="22" t="n">
        <x:v>8.22</x:v>
      </x:c>
      <x:c r="AK66" s="22" t="n">
        <x:v>0.78994</x:v>
      </x:c>
      <x:c r="AL66" s="22" t="n">
        <x:v>80.75</x:v>
      </x:c>
      <x:c r="AM66" s="22" t="n">
        <x:v>0.756</x:v>
      </x:c>
      <x:c r="AN66" s="22" t="n">
        <x:v>2.94</x:v>
      </x:c>
      <x:c r="AO66" s="22" t="n">
        <x:v>1.04924</x:v>
      </x:c>
      <x:c r="AP66" s="22" t="n">
        <x:v>3.84</x:v>
      </x:c>
      <x:c r="AQ66" s="22" t="n">
        <x:v>0.2259</x:v>
      </x:c>
      <x:c r="AR66" s="22" t="n">
        <x:v>0.617</x:v>
      </x:c>
      <x:c r="AS66" s="22" t="n">
        <x:v>0.7529</x:v>
      </x:c>
      <x:c r="AT66" s="22" t="n">
        <x:v>1</x:v>
      </x:c>
    </x:row>
    <x:row r="67">
      <x:c r="A67" s="22" t="str">
        <x:v>GAIN_SWEEP</x:v>
      </x:c>
      <x:c r="B67" s="22" t="n">
        <x:v>6</x:v>
      </x:c>
      <x:c r="C67" s="22" t="n">
        <x:v>1</x:v>
      </x:c>
      <x:c r="D67" s="22" t="n">
        <x:v>350</x:v>
      </x:c>
      <x:c r="E67" s="22" t="n">
        <x:v>15</x:v>
      </x:c>
      <x:c r="F67" s="22" t="n">
        <x:v>349.98918</x:v>
      </x:c>
      <x:c r="G67" s="22" t="n">
        <x:v>0.24724</x:v>
      </x:c>
      <x:c r="H67" s="22" t="n">
        <x:v>21.36</x:v>
      </x:c>
      <x:c r="I67" s="22" t="n">
        <x:v>349.9998</x:v>
      </x:c>
      <x:c r="J67" s="22" t="n">
        <x:v>0.708</x:v>
      </x:c>
      <x:c r="K67" s="22" t="n">
        <x:v>26.97</x:v>
      </x:c>
      <x:c r="L67" s="22" t="n">
        <x:v>350.00417</x:v>
      </x:c>
      <x:c r="M67" s="22" t="n">
        <x:v>0.83784</x:v>
      </x:c>
      <x:c r="N67" s="22" t="n">
        <x:v>30.04</x:v>
      </x:c>
      <x:c r="O67" s="22" t="n">
        <x:v>349.98918</x:v>
      </x:c>
      <x:c r="P67" s="22" t="n">
        <x:v>0.24724</x:v>
      </x:c>
      <x:c r="Q67" s="22" t="n">
        <x:v>349.9998</x:v>
      </x:c>
      <x:c r="R67" s="22" t="n">
        <x:v>0.708</x:v>
      </x:c>
      <x:c r="S67" s="22" t="n">
        <x:v>350.00417</x:v>
      </x:c>
      <x:c r="T67" s="22" t="n">
        <x:v>0.83784</x:v>
      </x:c>
      <x:c r="U67" s="22" t="n">
        <x:v>350.00171</x:v>
      </x:c>
      <x:c r="V67" s="22" t="n">
        <x:v>0.00171</x:v>
      </x:c>
      <x:c r="W67" s="22" t="n">
        <x:v>0.24724</x:v>
      </x:c>
      <x:c r="X67" s="22" t="n">
        <x:v>0.708</x:v>
      </x:c>
      <x:c r="Y67" s="22" t="n">
        <x:v>0.83784</x:v>
      </x:c>
      <x:c r="Z67" s="22" t="n">
        <x:v>1.12444</x:v>
      </x:c>
      <x:c r="AA67" s="22" t="n">
        <x:v>33.25</x:v>
      </x:c>
      <x:c r="AB67" s="22" t="str">
        <x:v>Z</x:v>
      </x:c>
      <x:c r="AC67" s="22" t="n">
        <x:v>0.26629</x:v>
      </x:c>
      <x:c r="AD67" s="22" t="n">
        <x:v>104.35</x:v>
      </x:c>
      <x:c r="AE67" s="22" t="n">
        <x:v>0.369</x:v>
      </x:c>
      <x:c r="AF67" s="22" t="n">
        <x:v>11.34</x:v>
      </x:c>
      <x:c r="AG67" s="22" t="n">
        <x:v>0.71421</x:v>
      </x:c>
      <x:c r="AH67" s="22" t="n">
        <x:v>-157.15</x:v>
      </x:c>
      <x:c r="AI67" s="22" t="n">
        <x:v>0.601</x:v>
      </x:c>
      <x:c r="AJ67" s="22" t="n">
        <x:v>5.1</x:v>
      </x:c>
      <x:c r="AK67" s="22" t="n">
        <x:v>0.85805</x:v>
      </x:c>
      <x:c r="AL67" s="22" t="n">
        <x:v>76.72</x:v>
      </x:c>
      <x:c r="AM67" s="22" t="n">
        <x:v>0.775</x:v>
      </x:c>
      <x:c r="AN67" s="22" t="n">
        <x:v>1.93</x:v>
      </x:c>
      <x:c r="AO67" s="22" t="n">
        <x:v>1.14839</x:v>
      </x:c>
      <x:c r="AP67" s="22" t="n">
        <x:v>2.11</x:v>
      </x:c>
      <x:c r="AQ67" s="22" t="n">
        <x:v>0.2319</x:v>
      </x:c>
      <x:c r="AR67" s="22" t="n">
        <x:v>0.6219</x:v>
      </x:c>
      <x:c r="AS67" s="22" t="n">
        <x:v>0.7472</x:v>
      </x:c>
      <x:c r="AT67" s="22" t="n">
        <x:v>1</x:v>
      </x:c>
    </x:row>
  </x:sheetData>
  <x:pageMargins left="0.7" right="0.7" top="0.75" bottom="0.75" header="0.3" footer="0.3"/>
  <x:tableParts count="1">
    <x:tablePart xmlns:r="http://schemas.openxmlformats.org/officeDocument/2006/relationships" r:id="Rb0ab78afe53442a0"/>
  </x:tableParts>
</x:worksheet>
</file>

<file path=xl/worksheets/sheet3.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s>
  <x:sheetData>
    <x:row r="1">
      <x:c r="A1" s="45" t="str">
        <x:v>Mode</x:v>
      </x:c>
      <x:c r="B1" s="45" t="str">
        <x:v>Point</x:v>
      </x:c>
      <x:c r="C1" s="46" t="str">
        <x:v>CmdFreq_Hz</x:v>
      </x:c>
      <x:c r="D1" s="46" t="str">
        <x:v>DAC</x:v>
      </x:c>
      <x:c r="E1" s="45" t="str">
        <x:v>ValidRepeats</x:v>
      </x:c>
      <x:c r="F1" s="47" t="str">
        <x:v>Mean_VectorLocalFreq_Hz</x:v>
      </x:c>
      <x:c r="G1" s="47" t="str">
        <x:v>SD_VectorLocalFreq_Hz</x:v>
      </x:c>
      <x:c r="H1" s="47" t="str">
        <x:v>Mean_X_LocalFreq_Hz</x:v>
      </x:c>
      <x:c r="I1" s="47" t="str">
        <x:v>Mean_Y_LocalFreq_Hz</x:v>
      </x:c>
      <x:c r="J1" s="47" t="str">
        <x:v>Mean_Z_LocalFreq_Hz</x:v>
      </x:c>
      <x:c r="K1" s="47" t="str">
        <x:v>Mean_QuadX_A</x:v>
      </x:c>
      <x:c r="L1" s="47" t="str">
        <x:v>CV_X_pct</x:v>
      </x:c>
      <x:c r="M1" s="47" t="str">
        <x:v>Mean_QuadY_A</x:v>
      </x:c>
      <x:c r="N1" s="47" t="str">
        <x:v>CV_Y_pct</x:v>
      </x:c>
      <x:c r="O1" s="47" t="str">
        <x:v>Mean_QuadZ_A</x:v>
      </x:c>
      <x:c r="P1" s="47" t="str">
        <x:v>CV_Z_pct</x:v>
      </x:c>
      <x:c r="Q1" s="47" t="str">
        <x:v>Mean_QuadTotal_A</x:v>
      </x:c>
      <x:c r="R1" s="47" t="str">
        <x:v>CV_Total_pct</x:v>
      </x:c>
      <x:c r="S1" s="47" t="str">
        <x:v>Mean_X_Fraction</x:v>
      </x:c>
      <x:c r="T1" s="47" t="str">
        <x:v>Mean_Y_Fraction</x:v>
      </x:c>
      <x:c r="U1" s="47" t="str">
        <x:v>Mean_Z_Fraction</x:v>
      </x:c>
      <x:c r="V1" s="47" t="str">
        <x:v>Mean_Y_over_X</x:v>
      </x:c>
      <x:c r="W1" s="47" t="str">
        <x:v>Mean_Z_over_X</x:v>
      </x:c>
      <x:c r="X1" s="47" t="str">
        <x:v>Mean_X_per_DAC</x:v>
      </x:c>
      <x:c r="Y1" s="47" t="str">
        <x:v>Mean_Y_per_DAC</x:v>
      </x:c>
      <x:c r="Z1" s="47" t="str">
        <x:v>Mean_Z_per_DAC</x:v>
      </x:c>
      <x:c r="AA1" s="47" t="str">
        <x:v>Mean_Total_per_DAC</x:v>
      </x:c>
      <x:c r="AB1" s="47" t="str">
        <x:v>Abs_VectorFreqError_Hz</x:v>
      </x:c>
    </x:row>
    <x:row r="2">
      <x:c r="A2" s="22" t="str">
        <x:v>GAIN_SWEEP</x:v>
      </x:c>
      <x:c r="B2" s="22" t="n">
        <x:v>1</x:v>
      </x:c>
      <x:c r="C2" s="22" t="n">
        <x:v>100</x:v>
      </x:c>
      <x:c r="D2" s="22" t="n">
        <x:v>10</x:v>
      </x:c>
      <x:c r="E2" s="22" t="n">
        <x:v>1</x:v>
      </x:c>
      <x:c r="F2" s="22" t="n">
        <x:v>99.99766</x:v>
      </x:c>
      <x:c r="G2" s="22" t="n">
        <x:v>0</x:v>
      </x:c>
      <x:c r="H2" s="22" t="n">
        <x:v>100.01055</x:v>
      </x:c>
      <x:c r="I2" s="22" t="n">
        <x:v>100.01505</x:v>
      </x:c>
      <x:c r="J2" s="22" t="n">
        <x:v>99.99218</x:v>
      </x:c>
      <x:c r="K2" s="22" t="n">
        <x:v>0.20592</x:v>
      </x:c>
      <x:c r="L2" s="22" t="n">
        <x:v>0</x:v>
      </x:c>
      <x:c r="M2" s="22" t="n">
        <x:v>0.11588</x:v>
      </x:c>
      <x:c r="N2" s="22" t="n">
        <x:v>0</x:v>
      </x:c>
      <x:c r="O2" s="22" t="n">
        <x:v>0.36369</x:v>
      </x:c>
      <x:c r="P2" s="22" t="n">
        <x:v>0</x:v>
      </x:c>
      <x:c r="Q2" s="22" t="n">
        <x:v>0.434</x:v>
      </x:c>
      <x:c r="R2" s="22" t="n">
        <x:v>0</x:v>
      </x:c>
      <x:c r="S2" s="22" t="n">
        <x:v>0.4745</x:v>
      </x:c>
      <x:c r="T2" s="22" t="n">
        <x:v>0.267</x:v>
      </x:c>
      <x:c r="U2" s="22" t="n">
        <x:v>0.838</x:v>
      </x:c>
      <x:c r="V2" s="22" t="n">
        <x:v>0.5628</x:v>
      </x:c>
      <x:c r="W2" s="22" t="n">
        <x:v>1.7661</x:v>
      </x:c>
      <x:c r="X2" s="22" t="n">
        <x:v>0.02059</x:v>
      </x:c>
      <x:c r="Y2" s="22" t="n">
        <x:v>0.01159</x:v>
      </x:c>
      <x:c r="Z2" s="22" t="n">
        <x:v>0.03637</x:v>
      </x:c>
      <x:c r="AA2" s="22" t="n">
        <x:v>0.0434</x:v>
      </x:c>
      <x:c r="AB2" s="22" t="n">
        <x:f>ABS(F2-C2)</x:f>
        <x:v>0.0023400000000037835</x:v>
      </x:c>
    </x:row>
    <x:row r="3">
      <x:c r="A3" s="22" t="str">
        <x:v>GAIN_SWEEP</x:v>
      </x:c>
      <x:c r="B3" s="22" t="n">
        <x:v>2</x:v>
      </x:c>
      <x:c r="C3" s="22" t="n">
        <x:v>100</x:v>
      </x:c>
      <x:c r="D3" s="22" t="n">
        <x:v>11</x:v>
      </x:c>
      <x:c r="E3" s="22" t="n">
        <x:v>1</x:v>
      </x:c>
      <x:c r="F3" s="22" t="n">
        <x:v>99.99887</x:v>
      </x:c>
      <x:c r="G3" s="22" t="n">
        <x:v>0</x:v>
      </x:c>
      <x:c r="H3" s="22" t="n">
        <x:v>99.98217</x:v>
      </x:c>
      <x:c r="I3" s="22" t="n">
        <x:v>99.97979</x:v>
      </x:c>
      <x:c r="J3" s="22" t="n">
        <x:v>100.00874</x:v>
      </x:c>
      <x:c r="K3" s="22" t="n">
        <x:v>0.33339</x:v>
      </x:c>
      <x:c r="L3" s="22" t="n">
        <x:v>0</x:v>
      </x:c>
      <x:c r="M3" s="22" t="n">
        <x:v>0.26494</x:v>
      </x:c>
      <x:c r="N3" s="22" t="n">
        <x:v>0</x:v>
      </x:c>
      <x:c r="O3" s="22" t="n">
        <x:v>0.49317</x:v>
      </x:c>
      <x:c r="P3" s="22" t="n">
        <x:v>0</x:v>
      </x:c>
      <x:c r="Q3" s="22" t="n">
        <x:v>0.65179</x:v>
      </x:c>
      <x:c r="R3" s="22" t="n">
        <x:v>0</x:v>
      </x:c>
      <x:c r="S3" s="22" t="n">
        <x:v>0.5115</x:v>
      </x:c>
      <x:c r="T3" s="22" t="n">
        <x:v>0.4065</x:v>
      </x:c>
      <x:c r="U3" s="22" t="n">
        <x:v>0.7566</x:v>
      </x:c>
      <x:c r="V3" s="22" t="n">
        <x:v>0.7947</x:v>
      </x:c>
      <x:c r="W3" s="22" t="n">
        <x:v>1.4793</x:v>
      </x:c>
      <x:c r="X3" s="22" t="n">
        <x:v>0.03031</x:v>
      </x:c>
      <x:c r="Y3" s="22" t="n">
        <x:v>0.02409</x:v>
      </x:c>
      <x:c r="Z3" s="22" t="n">
        <x:v>0.04483</x:v>
      </x:c>
      <x:c r="AA3" s="22" t="n">
        <x:v>0.05925</x:v>
      </x:c>
      <x:c r="AB3" s="22" t="n">
        <x:f>ABS(F3-C3)</x:f>
        <x:v>0.001130000000003406</x:v>
      </x:c>
    </x:row>
    <x:row r="4">
      <x:c r="A4" s="22" t="str">
        <x:v>GAIN_SWEEP</x:v>
      </x:c>
      <x:c r="B4" s="22" t="n">
        <x:v>3</x:v>
      </x:c>
      <x:c r="C4" s="22" t="n">
        <x:v>100</x:v>
      </x:c>
      <x:c r="D4" s="22" t="n">
        <x:v>12</x:v>
      </x:c>
      <x:c r="E4" s="22" t="n">
        <x:v>1</x:v>
      </x:c>
      <x:c r="F4" s="22" t="n">
        <x:v>99.97936</x:v>
      </x:c>
      <x:c r="G4" s="22" t="n">
        <x:v>0</x:v>
      </x:c>
      <x:c r="H4" s="22" t="n">
        <x:v>99.9598</x:v>
      </x:c>
      <x:c r="I4" s="22" t="n">
        <x:v>99.97458</x:v>
      </x:c>
      <x:c r="J4" s="22" t="n">
        <x:v>100.01617</x:v>
      </x:c>
      <x:c r="K4" s="22" t="n">
        <x:v>1.19863</x:v>
      </x:c>
      <x:c r="L4" s="22" t="n">
        <x:v>0</x:v>
      </x:c>
      <x:c r="M4" s="22" t="n">
        <x:v>1.07706</x:v>
      </x:c>
      <x:c r="N4" s="22" t="n">
        <x:v>0</x:v>
      </x:c>
      <x:c r="O4" s="22" t="n">
        <x:v>0.85251</x:v>
      </x:c>
      <x:c r="P4" s="22" t="n">
        <x:v>0</x:v>
      </x:c>
      <x:c r="Q4" s="22" t="n">
        <x:v>1.82322</x:v>
      </x:c>
      <x:c r="R4" s="22" t="n">
        <x:v>0</x:v>
      </x:c>
      <x:c r="S4" s="22" t="n">
        <x:v>0.6574</x:v>
      </x:c>
      <x:c r="T4" s="22" t="n">
        <x:v>0.5907</x:v>
      </x:c>
      <x:c r="U4" s="22" t="n">
        <x:v>0.4676</x:v>
      </x:c>
      <x:c r="V4" s="22" t="n">
        <x:v>0.8986</x:v>
      </x:c>
      <x:c r="W4" s="22" t="n">
        <x:v>0.7112</x:v>
      </x:c>
      <x:c r="X4" s="22" t="n">
        <x:v>0.09989</x:v>
      </x:c>
      <x:c r="Y4" s="22" t="n">
        <x:v>0.08975</x:v>
      </x:c>
      <x:c r="Z4" s="22" t="n">
        <x:v>0.07104</x:v>
      </x:c>
      <x:c r="AA4" s="22" t="n">
        <x:v>0.15193</x:v>
      </x:c>
      <x:c r="AB4" s="22" t="n">
        <x:f>ABS(F4-C4)</x:f>
        <x:v>0.020640000000000214</x:v>
      </x:c>
    </x:row>
    <x:row r="5">
      <x:c r="A5" s="22" t="str">
        <x:v>GAIN_SWEEP</x:v>
      </x:c>
      <x:c r="B5" s="22" t="n">
        <x:v>4</x:v>
      </x:c>
      <x:c r="C5" s="22" t="n">
        <x:v>100</x:v>
      </x:c>
      <x:c r="D5" s="22" t="n">
        <x:v>13</x:v>
      </x:c>
      <x:c r="E5" s="22" t="n">
        <x:v>1</x:v>
      </x:c>
      <x:c r="F5" s="22" t="n">
        <x:v>99.99715</x:v>
      </x:c>
      <x:c r="G5" s="22" t="n">
        <x:v>0</x:v>
      </x:c>
      <x:c r="H5" s="22" t="n">
        <x:v>99.9937</x:v>
      </x:c>
      <x:c r="I5" s="22" t="n">
        <x:v>100.00151</x:v>
      </x:c>
      <x:c r="J5" s="22" t="n">
        <x:v>99.99831</x:v>
      </x:c>
      <x:c r="K5" s="22" t="n">
        <x:v>1.46801</x:v>
      </x:c>
      <x:c r="L5" s="22" t="n">
        <x:v>0</x:v>
      </x:c>
      <x:c r="M5" s="22" t="n">
        <x:v>1.23041</x:v>
      </x:c>
      <x:c r="N5" s="22" t="n">
        <x:v>0</x:v>
      </x:c>
      <x:c r="O5" s="22" t="n">
        <x:v>0.97872</x:v>
      </x:c>
      <x:c r="P5" s="22" t="n">
        <x:v>0</x:v>
      </x:c>
      <x:c r="Q5" s="22" t="n">
        <x:v>2.15533</x:v>
      </x:c>
      <x:c r="R5" s="22" t="n">
        <x:v>0</x:v>
      </x:c>
      <x:c r="S5" s="22" t="n">
        <x:v>0.6811</x:v>
      </x:c>
      <x:c r="T5" s="22" t="n">
        <x:v>0.5709</x:v>
      </x:c>
      <x:c r="U5" s="22" t="n">
        <x:v>0.4541</x:v>
      </x:c>
      <x:c r="V5" s="22" t="n">
        <x:v>0.8381</x:v>
      </x:c>
      <x:c r="W5" s="22" t="n">
        <x:v>0.6667</x:v>
      </x:c>
      <x:c r="X5" s="22" t="n">
        <x:v>0.11292</x:v>
      </x:c>
      <x:c r="Y5" s="22" t="n">
        <x:v>0.09465</x:v>
      </x:c>
      <x:c r="Z5" s="22" t="n">
        <x:v>0.07529</x:v>
      </x:c>
      <x:c r="AA5" s="22" t="n">
        <x:v>0.16579</x:v>
      </x:c>
      <x:c r="AB5" s="22" t="n">
        <x:f>ABS(F5-C5)</x:f>
        <x:v>0.002849999999995134</x:v>
      </x:c>
    </x:row>
    <x:row r="6">
      <x:c r="A6" s="22" t="str">
        <x:v>GAIN_SWEEP</x:v>
      </x:c>
      <x:c r="B6" s="22" t="n">
        <x:v>5</x:v>
      </x:c>
      <x:c r="C6" s="22" t="n">
        <x:v>100</x:v>
      </x:c>
      <x:c r="D6" s="22" t="n">
        <x:v>14</x:v>
      </x:c>
      <x:c r="E6" s="22" t="n">
        <x:v>1</x:v>
      </x:c>
      <x:c r="F6" s="22" t="n">
        <x:v>99.99579</x:v>
      </x:c>
      <x:c r="G6" s="22" t="n">
        <x:v>0</x:v>
      </x:c>
      <x:c r="H6" s="22" t="n">
        <x:v>99.99302</x:v>
      </x:c>
      <x:c r="I6" s="22" t="n">
        <x:v>99.99829</x:v>
      </x:c>
      <x:c r="J6" s="22" t="n">
        <x:v>99.99844</x:v>
      </x:c>
      <x:c r="K6" s="22" t="n">
        <x:v>2.16977</x:v>
      </x:c>
      <x:c r="L6" s="22" t="n">
        <x:v>0</x:v>
      </x:c>
      <x:c r="M6" s="22" t="n">
        <x:v>1.8301</x:v>
      </x:c>
      <x:c r="N6" s="22" t="n">
        <x:v>0</x:v>
      </x:c>
      <x:c r="O6" s="22" t="n">
        <x:v>1.38395</x:v>
      </x:c>
      <x:c r="P6" s="22" t="n">
        <x:v>0</x:v>
      </x:c>
      <x:c r="Q6" s="22" t="n">
        <x:v>3.15806</x:v>
      </x:c>
      <x:c r="R6" s="22" t="n">
        <x:v>0</x:v>
      </x:c>
      <x:c r="S6" s="22" t="n">
        <x:v>0.6871</x:v>
      </x:c>
      <x:c r="T6" s="22" t="n">
        <x:v>0.5795</x:v>
      </x:c>
      <x:c r="U6" s="22" t="n">
        <x:v>0.4382</x:v>
      </x:c>
      <x:c r="V6" s="22" t="n">
        <x:v>0.8435</x:v>
      </x:c>
      <x:c r="W6" s="22" t="n">
        <x:v>0.6378</x:v>
      </x:c>
      <x:c r="X6" s="22" t="n">
        <x:v>0.15498</x:v>
      </x:c>
      <x:c r="Y6" s="22" t="n">
        <x:v>0.13072</x:v>
      </x:c>
      <x:c r="Z6" s="22" t="n">
        <x:v>0.09885</x:v>
      </x:c>
      <x:c r="AA6" s="22" t="n">
        <x:v>0.22558</x:v>
      </x:c>
      <x:c r="AB6" s="22" t="n">
        <x:f>ABS(F6-C6)</x:f>
        <x:v>0.004210000000000491</x:v>
      </x:c>
    </x:row>
    <x:row r="7">
      <x:c r="A7" s="22" t="str">
        <x:v>GAIN_SWEEP</x:v>
      </x:c>
      <x:c r="B7" s="22" t="n">
        <x:v>6</x:v>
      </x:c>
      <x:c r="C7" s="22" t="n">
        <x:v>100</x:v>
      </x:c>
      <x:c r="D7" s="22" t="n">
        <x:v>15</x:v>
      </x:c>
      <x:c r="E7" s="22" t="n">
        <x:v>1</x:v>
      </x:c>
      <x:c r="F7" s="22" t="n">
        <x:v>99.99392</x:v>
      </x:c>
      <x:c r="G7" s="22" t="n">
        <x:v>0</x:v>
      </x:c>
      <x:c r="H7" s="22" t="n">
        <x:v>99.99235</x:v>
      </x:c>
      <x:c r="I7" s="22" t="n">
        <x:v>99.9933</x:v>
      </x:c>
      <x:c r="J7" s="22" t="n">
        <x:v>99.99872</x:v>
      </x:c>
      <x:c r="K7" s="22" t="n">
        <x:v>2.31402</x:v>
      </x:c>
      <x:c r="L7" s="22" t="n">
        <x:v>0</x:v>
      </x:c>
      <x:c r="M7" s="22" t="n">
        <x:v>2.05378</x:v>
      </x:c>
      <x:c r="N7" s="22" t="n">
        <x:v>0</x:v>
      </x:c>
      <x:c r="O7" s="22" t="n">
        <x:v>1.57215</x:v>
      </x:c>
      <x:c r="P7" s="22" t="n">
        <x:v>0</x:v>
      </x:c>
      <x:c r="Q7" s="22" t="n">
        <x:v>3.47061</x:v>
      </x:c>
      <x:c r="R7" s="22" t="n">
        <x:v>0</x:v>
      </x:c>
      <x:c r="S7" s="22" t="n">
        <x:v>0.6667</x:v>
      </x:c>
      <x:c r="T7" s="22" t="n">
        <x:v>0.5918</x:v>
      </x:c>
      <x:c r="U7" s="22" t="n">
        <x:v>0.453</x:v>
      </x:c>
      <x:c r="V7" s="22" t="n">
        <x:v>0.8875</x:v>
      </x:c>
      <x:c r="W7" s="22" t="n">
        <x:v>0.6794</x:v>
      </x:c>
      <x:c r="X7" s="22" t="n">
        <x:v>0.15427</x:v>
      </x:c>
      <x:c r="Y7" s="22" t="n">
        <x:v>0.13692</x:v>
      </x:c>
      <x:c r="Z7" s="22" t="n">
        <x:v>0.10481</x:v>
      </x:c>
      <x:c r="AA7" s="22" t="n">
        <x:v>0.23137</x:v>
      </x:c>
      <x:c r="AB7" s="22" t="n">
        <x:f>ABS(F7-C7)</x:f>
        <x:v>0.006079999999997199</x:v>
      </x:c>
    </x:row>
    <x:row r="8">
      <x:c r="A8" s="22" t="str">
        <x:v>GAIN_SWEEP</x:v>
      </x:c>
      <x:c r="B8" s="22" t="n">
        <x:v>1</x:v>
      </x:c>
      <x:c r="C8" s="22" t="n">
        <x:v>125</x:v>
      </x:c>
      <x:c r="D8" s="22" t="n">
        <x:v>10</x:v>
      </x:c>
      <x:c r="E8" s="22" t="n">
        <x:v>1</x:v>
      </x:c>
      <x:c r="F8" s="22" t="n">
        <x:v>124.98258</x:v>
      </x:c>
      <x:c r="G8" s="22" t="n">
        <x:v>0</x:v>
      </x:c>
      <x:c r="H8" s="22" t="n">
        <x:v>124.95049</x:v>
      </x:c>
      <x:c r="I8" s="22" t="n">
        <x:v>124.96953</x:v>
      </x:c>
      <x:c r="J8" s="22" t="n">
        <x:v>125.03985</x:v>
      </x:c>
      <x:c r="K8" s="22" t="n">
        <x:v>0.09842</x:v>
      </x:c>
      <x:c r="L8" s="22" t="n">
        <x:v>0</x:v>
      </x:c>
      <x:c r="M8" s="22" t="n">
        <x:v>0.43396</x:v>
      </x:c>
      <x:c r="N8" s="22" t="n">
        <x:v>0</x:v>
      </x:c>
      <x:c r="O8" s="22" t="n">
        <x:v>0.20861</x:v>
      </x:c>
      <x:c r="P8" s="22" t="n">
        <x:v>0</x:v>
      </x:c>
      <x:c r="Q8" s="22" t="n">
        <x:v>0.49177</x:v>
      </x:c>
      <x:c r="R8" s="22" t="n">
        <x:v>0</x:v>
      </x:c>
      <x:c r="S8" s="22" t="n">
        <x:v>0.2001</x:v>
      </x:c>
      <x:c r="T8" s="22" t="n">
        <x:v>0.8825</x:v>
      </x:c>
      <x:c r="U8" s="22" t="n">
        <x:v>0.4242</x:v>
      </x:c>
      <x:c r="V8" s="22" t="n">
        <x:v>4.4091</x:v>
      </x:c>
      <x:c r="W8" s="22" t="n">
        <x:v>2.1195</x:v>
      </x:c>
      <x:c r="X8" s="22" t="n">
        <x:v>0.00984</x:v>
      </x:c>
      <x:c r="Y8" s="22" t="n">
        <x:v>0.0434</x:v>
      </x:c>
      <x:c r="Z8" s="22" t="n">
        <x:v>0.02086</x:v>
      </x:c>
      <x:c r="AA8" s="22" t="n">
        <x:v>0.04918</x:v>
      </x:c>
      <x:c r="AB8" s="22" t="n">
        <x:f>ABS(F8-C8)</x:f>
        <x:v>0.017420000000001323</x:v>
      </x:c>
    </x:row>
    <x:row r="9">
      <x:c r="A9" s="22" t="str">
        <x:v>GAIN_SWEEP</x:v>
      </x:c>
      <x:c r="B9" s="22" t="n">
        <x:v>2</x:v>
      </x:c>
      <x:c r="C9" s="22" t="n">
        <x:v>125</x:v>
      </x:c>
      <x:c r="D9" s="22" t="n">
        <x:v>11</x:v>
      </x:c>
      <x:c r="E9" s="22" t="n">
        <x:v>1</x:v>
      </x:c>
      <x:c r="F9" s="22" t="n">
        <x:v>124.99417</x:v>
      </x:c>
      <x:c r="G9" s="22" t="n">
        <x:v>0</x:v>
      </x:c>
      <x:c r="H9" s="22" t="n">
        <x:v>124.98326</x:v>
      </x:c>
      <x:c r="I9" s="22" t="n">
        <x:v>124.99696</x:v>
      </x:c>
      <x:c r="J9" s="22" t="n">
        <x:v>124.9841</x:v>
      </x:c>
      <x:c r="K9" s="22" t="n">
        <x:v>0.26609</x:v>
      </x:c>
      <x:c r="L9" s="22" t="n">
        <x:v>0</x:v>
      </x:c>
      <x:c r="M9" s="22" t="n">
        <x:v>0.85828</x:v>
      </x:c>
      <x:c r="N9" s="22" t="n">
        <x:v>0</x:v>
      </x:c>
      <x:c r="O9" s="22" t="n">
        <x:v>0.3371</x:v>
      </x:c>
      <x:c r="P9" s="22" t="n">
        <x:v>0</x:v>
      </x:c>
      <x:c r="Q9" s="22" t="n">
        <x:v>0.95987</x:v>
      </x:c>
      <x:c r="R9" s="22" t="n">
        <x:v>0</x:v>
      </x:c>
      <x:c r="S9" s="22" t="n">
        <x:v>0.2772</x:v>
      </x:c>
      <x:c r="T9" s="22" t="n">
        <x:v>0.8942</x:v>
      </x:c>
      <x:c r="U9" s="22" t="n">
        <x:v>0.3512</x:v>
      </x:c>
      <x:c r="V9" s="22" t="n">
        <x:v>3.2256</x:v>
      </x:c>
      <x:c r="W9" s="22" t="n">
        <x:v>1.2669</x:v>
      </x:c>
      <x:c r="X9" s="22" t="n">
        <x:v>0.02419</x:v>
      </x:c>
      <x:c r="Y9" s="22" t="n">
        <x:v>0.07803</x:v>
      </x:c>
      <x:c r="Z9" s="22" t="n">
        <x:v>0.03065</x:v>
      </x:c>
      <x:c r="AA9" s="22" t="n">
        <x:v>0.08726</x:v>
      </x:c>
      <x:c r="AB9" s="22" t="n">
        <x:f>ABS(F9-C9)</x:f>
        <x:v>0.0058300000000031105</x:v>
      </x:c>
    </x:row>
    <x:row r="10">
      <x:c r="A10" s="22" t="str">
        <x:v>GAIN_SWEEP</x:v>
      </x:c>
      <x:c r="B10" s="22" t="n">
        <x:v>3</x:v>
      </x:c>
      <x:c r="C10" s="22" t="n">
        <x:v>125</x:v>
      </x:c>
      <x:c r="D10" s="22" t="n">
        <x:v>12</x:v>
      </x:c>
      <x:c r="E10" s="22" t="n">
        <x:v>1</x:v>
      </x:c>
      <x:c r="F10" s="22" t="n">
        <x:v>125.00933</x:v>
      </x:c>
      <x:c r="G10" s="22" t="n">
        <x:v>0</x:v>
      </x:c>
      <x:c r="H10" s="22" t="n">
        <x:v>125.00708</x:v>
      </x:c>
      <x:c r="I10" s="22" t="n">
        <x:v>125.00811</x:v>
      </x:c>
      <x:c r="J10" s="22" t="n">
        <x:v>125.01953</x:v>
      </x:c>
      <x:c r="K10" s="22" t="n">
        <x:v>0.36782</x:v>
      </x:c>
      <x:c r="L10" s="22" t="n">
        <x:v>0</x:v>
      </x:c>
      <x:c r="M10" s="22" t="n">
        <x:v>1.13109</x:v>
      </x:c>
      <x:c r="N10" s="22" t="n">
        <x:v>0</x:v>
      </x:c>
      <x:c r="O10" s="22" t="n">
        <x:v>0.4202</x:v>
      </x:c>
      <x:c r="P10" s="22" t="n">
        <x:v>0</x:v>
      </x:c>
      <x:c r="Q10" s="22" t="n">
        <x:v>1.26153</x:v>
      </x:c>
      <x:c r="R10" s="22" t="n">
        <x:v>0</x:v>
      </x:c>
      <x:c r="S10" s="22" t="n">
        <x:v>0.2916</x:v>
      </x:c>
      <x:c r="T10" s="22" t="n">
        <x:v>0.8966</x:v>
      </x:c>
      <x:c r="U10" s="22" t="n">
        <x:v>0.3331</x:v>
      </x:c>
      <x:c r="V10" s="22" t="n">
        <x:v>3.0752</x:v>
      </x:c>
      <x:c r="W10" s="22" t="n">
        <x:v>1.1424</x:v>
      </x:c>
      <x:c r="X10" s="22" t="n">
        <x:v>0.03065</x:v>
      </x:c>
      <x:c r="Y10" s="22" t="n">
        <x:v>0.09426</x:v>
      </x:c>
      <x:c r="Z10" s="22" t="n">
        <x:v>0.03502</x:v>
      </x:c>
      <x:c r="AA10" s="22" t="n">
        <x:v>0.10513</x:v>
      </x:c>
      <x:c r="AB10" s="22" t="n">
        <x:f>ABS(F10-C10)</x:f>
        <x:v>0.009330000000005612</x:v>
      </x:c>
    </x:row>
    <x:row r="11">
      <x:c r="A11" s="22" t="str">
        <x:v>GAIN_SWEEP</x:v>
      </x:c>
      <x:c r="B11" s="22" t="n">
        <x:v>4</x:v>
      </x:c>
      <x:c r="C11" s="22" t="n">
        <x:v>125</x:v>
      </x:c>
      <x:c r="D11" s="22" t="n">
        <x:v>13</x:v>
      </x:c>
      <x:c r="E11" s="22" t="n">
        <x:v>1</x:v>
      </x:c>
      <x:c r="F11" s="22" t="n">
        <x:v>124.9989</x:v>
      </x:c>
      <x:c r="G11" s="22" t="n">
        <x:v>0</x:v>
      </x:c>
      <x:c r="H11" s="22" t="n">
        <x:v>124.9988</x:v>
      </x:c>
      <x:c r="I11" s="22" t="n">
        <x:v>124.99715</x:v>
      </x:c>
      <x:c r="J11" s="22" t="n">
        <x:v>125.01504</x:v>
      </x:c>
      <x:c r="K11" s="22" t="n">
        <x:v>0.50899</x:v>
      </x:c>
      <x:c r="L11" s="22" t="n">
        <x:v>0</x:v>
      </x:c>
      <x:c r="M11" s="22" t="n">
        <x:v>1.56406</x:v>
      </x:c>
      <x:c r="N11" s="22" t="n">
        <x:v>0</x:v>
      </x:c>
      <x:c r="O11" s="22" t="n">
        <x:v>0.50429</x:v>
      </x:c>
      <x:c r="P11" s="22" t="n">
        <x:v>0</x:v>
      </x:c>
      <x:c r="Q11" s="22" t="n">
        <x:v>1.72055</x:v>
      </x:c>
      <x:c r="R11" s="22" t="n">
        <x:v>0</x:v>
      </x:c>
      <x:c r="S11" s="22" t="n">
        <x:v>0.2958</x:v>
      </x:c>
      <x:c r="T11" s="22" t="n">
        <x:v>0.909</x:v>
      </x:c>
      <x:c r="U11" s="22" t="n">
        <x:v>0.2931</x:v>
      </x:c>
      <x:c r="V11" s="22" t="n">
        <x:v>3.0729</x:v>
      </x:c>
      <x:c r="W11" s="22" t="n">
        <x:v>0.9908</x:v>
      </x:c>
      <x:c r="X11" s="22" t="n">
        <x:v>0.03915</x:v>
      </x:c>
      <x:c r="Y11" s="22" t="n">
        <x:v>0.12031</x:v>
      </x:c>
      <x:c r="Z11" s="22" t="n">
        <x:v>0.03879</x:v>
      </x:c>
      <x:c r="AA11" s="22" t="n">
        <x:v>0.13235</x:v>
      </x:c>
      <x:c r="AB11" s="22" t="n">
        <x:f>ABS(F11-C11)</x:f>
        <x:v>0.0010999999999938836</x:v>
      </x:c>
    </x:row>
    <x:row r="12">
      <x:c r="A12" s="22" t="str">
        <x:v>GAIN_SWEEP</x:v>
      </x:c>
      <x:c r="B12" s="22" t="n">
        <x:v>5</x:v>
      </x:c>
      <x:c r="C12" s="22" t="n">
        <x:v>125</x:v>
      </x:c>
      <x:c r="D12" s="22" t="n">
        <x:v>14</x:v>
      </x:c>
      <x:c r="E12" s="22" t="n">
        <x:v>1</x:v>
      </x:c>
      <x:c r="F12" s="22" t="n">
        <x:v>125.00259</x:v>
      </x:c>
      <x:c r="G12" s="22" t="n">
        <x:v>0</x:v>
      </x:c>
      <x:c r="H12" s="22" t="n">
        <x:v>125.00224</x:v>
      </x:c>
      <x:c r="I12" s="22" t="n">
        <x:v>125.00176</x:v>
      </x:c>
      <x:c r="J12" s="22" t="n">
        <x:v>125.01179</x:v>
      </x:c>
      <x:c r="K12" s="22" t="n">
        <x:v>0.63429</x:v>
      </x:c>
      <x:c r="L12" s="22" t="n">
        <x:v>0</x:v>
      </x:c>
      <x:c r="M12" s="22" t="n">
        <x:v>1.87806</x:v>
      </x:c>
      <x:c r="N12" s="22" t="n">
        <x:v>0</x:v>
      </x:c>
      <x:c r="O12" s="22" t="n">
        <x:v>0.5902</x:v>
      </x:c>
      <x:c r="P12" s="22" t="n">
        <x:v>0</x:v>
      </x:c>
      <x:c r="Q12" s="22" t="n">
        <x:v>2.06833</x:v>
      </x:c>
      <x:c r="R12" s="22" t="n">
        <x:v>0</x:v>
      </x:c>
      <x:c r="S12" s="22" t="n">
        <x:v>0.3067</x:v>
      </x:c>
      <x:c r="T12" s="22" t="n">
        <x:v>0.908</x:v>
      </x:c>
      <x:c r="U12" s="22" t="n">
        <x:v>0.2854</x:v>
      </x:c>
      <x:c r="V12" s="22" t="n">
        <x:v>2.9609</x:v>
      </x:c>
      <x:c r="W12" s="22" t="n">
        <x:v>0.9305</x:v>
      </x:c>
      <x:c r="X12" s="22" t="n">
        <x:v>0.04531</x:v>
      </x:c>
      <x:c r="Y12" s="22" t="n">
        <x:v>0.13415</x:v>
      </x:c>
      <x:c r="Z12" s="22" t="n">
        <x:v>0.04216</x:v>
      </x:c>
      <x:c r="AA12" s="22" t="n">
        <x:v>0.14774</x:v>
      </x:c>
      <x:c r="AB12" s="22" t="n">
        <x:f>ABS(F12-C12)</x:f>
        <x:v>0.0025899999999978718</x:v>
      </x:c>
    </x:row>
    <x:row r="13">
      <x:c r="A13" s="22" t="str">
        <x:v>GAIN_SWEEP</x:v>
      </x:c>
      <x:c r="B13" s="22" t="n">
        <x:v>6</x:v>
      </x:c>
      <x:c r="C13" s="22" t="n">
        <x:v>125</x:v>
      </x:c>
      <x:c r="D13" s="22" t="n">
        <x:v>15</x:v>
      </x:c>
      <x:c r="E13" s="22" t="n">
        <x:v>1</x:v>
      </x:c>
      <x:c r="F13" s="22" t="n">
        <x:v>124.997</x:v>
      </x:c>
      <x:c r="G13" s="22" t="n">
        <x:v>0</x:v>
      </x:c>
      <x:c r="H13" s="22" t="n">
        <x:v>124.99581</x:v>
      </x:c>
      <x:c r="I13" s="22" t="n">
        <x:v>124.99794</x:v>
      </x:c>
      <x:c r="J13" s="22" t="n">
        <x:v>124.98869</x:v>
      </x:c>
      <x:c r="K13" s="22" t="n">
        <x:v>0.79395</x:v>
      </x:c>
      <x:c r="L13" s="22" t="n">
        <x:v>0</x:v>
      </x:c>
      <x:c r="M13" s="22" t="n">
        <x:v>2.26703</x:v>
      </x:c>
      <x:c r="N13" s="22" t="n">
        <x:v>0</x:v>
      </x:c>
      <x:c r="O13" s="22" t="n">
        <x:v>0.70313</x:v>
      </x:c>
      <x:c r="P13" s="22" t="n">
        <x:v>0</x:v>
      </x:c>
      <x:c r="Q13" s="22" t="n">
        <x:v>2.50293</x:v>
      </x:c>
      <x:c r="R13" s="22" t="n">
        <x:v>0</x:v>
      </x:c>
      <x:c r="S13" s="22" t="n">
        <x:v>0.3172</x:v>
      </x:c>
      <x:c r="T13" s="22" t="n">
        <x:v>0.9057</x:v>
      </x:c>
      <x:c r="U13" s="22" t="n">
        <x:v>0.2809</x:v>
      </x:c>
      <x:c r="V13" s="22" t="n">
        <x:v>2.8554</x:v>
      </x:c>
      <x:c r="W13" s="22" t="n">
        <x:v>0.8856</x:v>
      </x:c>
      <x:c r="X13" s="22" t="n">
        <x:v>0.05293</x:v>
      </x:c>
      <x:c r="Y13" s="22" t="n">
        <x:v>0.15114</x:v>
      </x:c>
      <x:c r="Z13" s="22" t="n">
        <x:v>0.04688</x:v>
      </x:c>
      <x:c r="AA13" s="22" t="n">
        <x:v>0.16686</x:v>
      </x:c>
      <x:c r="AB13" s="22" t="n">
        <x:f>ABS(F13-C13)</x:f>
        <x:v>0.0030000000000001137</x:v>
      </x:c>
    </x:row>
    <x:row r="14">
      <x:c r="A14" s="22" t="str">
        <x:v>GAIN_SWEEP</x:v>
      </x:c>
      <x:c r="B14" s="22" t="n">
        <x:v>1</x:v>
      </x:c>
      <x:c r="C14" s="22" t="n">
        <x:v>150</x:v>
      </x:c>
      <x:c r="D14" s="22" t="n">
        <x:v>10</x:v>
      </x:c>
      <x:c r="E14" s="22" t="n">
        <x:v>1</x:v>
      </x:c>
      <x:c r="F14" s="22" t="n">
        <x:v>150.00767</x:v>
      </x:c>
      <x:c r="G14" s="22" t="n">
        <x:v>0</x:v>
      </x:c>
      <x:c r="H14" s="22" t="n">
        <x:v>150.00126</x:v>
      </x:c>
      <x:c r="I14" s="22" t="n">
        <x:v>149.99279</x:v>
      </x:c>
      <x:c r="J14" s="22" t="n">
        <x:v>150.02011</x:v>
      </x:c>
      <x:c r="K14" s="22" t="n">
        <x:v>0.02435</x:v>
      </x:c>
      <x:c r="L14" s="22" t="n">
        <x:v>0</x:v>
      </x:c>
      <x:c r="M14" s="22" t="n">
        <x:v>0.10561</x:v>
      </x:c>
      <x:c r="N14" s="22" t="n">
        <x:v>0</x:v>
      </x:c>
      <x:c r="O14" s="22" t="n">
        <x:v>0.14192</x:v>
      </x:c>
      <x:c r="P14" s="22" t="n">
        <x:v>0</x:v>
      </x:c>
      <x:c r="Q14" s="22" t="n">
        <x:v>0.17939</x:v>
      </x:c>
      <x:c r="R14" s="22" t="n">
        <x:v>0</x:v>
      </x:c>
      <x:c r="S14" s="22" t="n">
        <x:v>0.1357</x:v>
      </x:c>
      <x:c r="T14" s="22" t="n">
        <x:v>0.5887</x:v>
      </x:c>
      <x:c r="U14" s="22" t="n">
        <x:v>0.7911</x:v>
      </x:c>
      <x:c r="V14" s="22" t="n">
        <x:v>4.3367</x:v>
      </x:c>
      <x:c r="W14" s="22" t="n">
        <x:v>5.8281</x:v>
      </x:c>
      <x:c r="X14" s="22" t="n">
        <x:v>0.00244</x:v>
      </x:c>
      <x:c r="Y14" s="22" t="n">
        <x:v>0.01056</x:v>
      </x:c>
      <x:c r="Z14" s="22" t="n">
        <x:v>0.01419</x:v>
      </x:c>
      <x:c r="AA14" s="22" t="n">
        <x:v>0.01794</x:v>
      </x:c>
      <x:c r="AB14" s="22" t="n">
        <x:f>ABS(F14-C14)</x:f>
        <x:v>0.007669999999990296</x:v>
      </x:c>
    </x:row>
    <x:row r="15">
      <x:c r="A15" s="22" t="str">
        <x:v>GAIN_SWEEP</x:v>
      </x:c>
      <x:c r="B15" s="22" t="n">
        <x:v>2</x:v>
      </x:c>
      <x:c r="C15" s="22" t="n">
        <x:v>150</x:v>
      </x:c>
      <x:c r="D15" s="22" t="n">
        <x:v>11</x:v>
      </x:c>
      <x:c r="E15" s="22" t="n">
        <x:v>1</x:v>
      </x:c>
      <x:c r="F15" s="22" t="n">
        <x:v>149.99303</x:v>
      </x:c>
      <x:c r="G15" s="22" t="n">
        <x:v>0</x:v>
      </x:c>
      <x:c r="H15" s="22" t="n">
        <x:v>149.92954</x:v>
      </x:c>
      <x:c r="I15" s="22" t="n">
        <x:v>150.02682</x:v>
      </x:c>
      <x:c r="J15" s="22" t="n">
        <x:v>149.97673</x:v>
      </x:c>
      <x:c r="K15" s="22" t="n">
        <x:v>0.02371</x:v>
      </x:c>
      <x:c r="L15" s="22" t="n">
        <x:v>0</x:v>
      </x:c>
      <x:c r="M15" s="22" t="n">
        <x:v>0.12261</x:v>
      </x:c>
      <x:c r="N15" s="22" t="n">
        <x:v>0</x:v>
      </x:c>
      <x:c r="O15" s="22" t="n">
        <x:v>0.16514</x:v>
      </x:c>
      <x:c r="P15" s="22" t="n">
        <x:v>0</x:v>
      </x:c>
      <x:c r="Q15" s="22" t="n">
        <x:v>0.20766</x:v>
      </x:c>
      <x:c r="R15" s="22" t="n">
        <x:v>0</x:v>
      </x:c>
      <x:c r="S15" s="22" t="n">
        <x:v>0.1142</x:v>
      </x:c>
      <x:c r="T15" s="22" t="n">
        <x:v>0.5905</x:v>
      </x:c>
      <x:c r="U15" s="22" t="n">
        <x:v>0.7952</x:v>
      </x:c>
      <x:c r="V15" s="22" t="n">
        <x:v>5.171</x:v>
      </x:c>
      <x:c r="W15" s="22" t="n">
        <x:v>6.9645</x:v>
      </x:c>
      <x:c r="X15" s="22" t="n">
        <x:v>0.00216</x:v>
      </x:c>
      <x:c r="Y15" s="22" t="n">
        <x:v>0.01115</x:v>
      </x:c>
      <x:c r="Z15" s="22" t="n">
        <x:v>0.01501</x:v>
      </x:c>
      <x:c r="AA15" s="22" t="n">
        <x:v>0.01888</x:v>
      </x:c>
      <x:c r="AB15" s="22" t="n">
        <x:f>ABS(F15-C15)</x:f>
        <x:v>0.00696999999999548</x:v>
      </x:c>
    </x:row>
    <x:row r="16">
      <x:c r="A16" s="22" t="str">
        <x:v>GAIN_SWEEP</x:v>
      </x:c>
      <x:c r="B16" s="22" t="n">
        <x:v>3</x:v>
      </x:c>
      <x:c r="C16" s="22" t="n">
        <x:v>150</x:v>
      </x:c>
      <x:c r="D16" s="22" t="n">
        <x:v>12</x:v>
      </x:c>
      <x:c r="E16" s="22" t="n">
        <x:v>1</x:v>
      </x:c>
      <x:c r="F16" s="22" t="n">
        <x:v>150.00252</x:v>
      </x:c>
      <x:c r="G16" s="22" t="n">
        <x:v>0</x:v>
      </x:c>
      <x:c r="H16" s="22" t="n">
        <x:v>154.76341</x:v>
      </x:c>
      <x:c r="I16" s="22" t="n">
        <x:v>150.00875</x:v>
      </x:c>
      <x:c r="J16" s="22" t="n">
        <x:v>150.00235</x:v>
      </x:c>
      <x:c r="K16" s="22" t="n">
        <x:v>0.03756</x:v>
      </x:c>
      <x:c r="L16" s="22" t="n">
        <x:v>0</x:v>
      </x:c>
      <x:c r="M16" s="22" t="n">
        <x:v>0.13965</x:v>
      </x:c>
      <x:c r="N16" s="22" t="n">
        <x:v>0</x:v>
      </x:c>
      <x:c r="O16" s="22" t="n">
        <x:v>0.18543</x:v>
      </x:c>
      <x:c r="P16" s="22" t="n">
        <x:v>0</x:v>
      </x:c>
      <x:c r="Q16" s="22" t="n">
        <x:v>0.23703</x:v>
      </x:c>
      <x:c r="R16" s="22" t="n">
        <x:v>0</x:v>
      </x:c>
      <x:c r="S16" s="22" t="n">
        <x:v>0.1585</x:v>
      </x:c>
      <x:c r="T16" s="22" t="n">
        <x:v>0.5892</x:v>
      </x:c>
      <x:c r="U16" s="22" t="n">
        <x:v>0.7823</x:v>
      </x:c>
      <x:c r="V16" s="22" t="n">
        <x:v>3.7182</x:v>
      </x:c>
      <x:c r="W16" s="22" t="n">
        <x:v>4.9369</x:v>
      </x:c>
      <x:c r="X16" s="22" t="n">
        <x:v>0.00313</x:v>
      </x:c>
      <x:c r="Y16" s="22" t="n">
        <x:v>0.01164</x:v>
      </x:c>
      <x:c r="Z16" s="22" t="n">
        <x:v>0.01545</x:v>
      </x:c>
      <x:c r="AA16" s="22" t="n">
        <x:v>0.01975</x:v>
      </x:c>
      <x:c r="AB16" s="22" t="n">
        <x:f>ABS(F16-C16)</x:f>
        <x:v>0.0025200000000040745</x:v>
      </x:c>
    </x:row>
    <x:row r="17">
      <x:c r="A17" s="22" t="str">
        <x:v>GAIN_SWEEP</x:v>
      </x:c>
      <x:c r="B17" s="22" t="n">
        <x:v>4</x:v>
      </x:c>
      <x:c r="C17" s="22" t="n">
        <x:v>150</x:v>
      </x:c>
      <x:c r="D17" s="22" t="n">
        <x:v>13</x:v>
      </x:c>
      <x:c r="E17" s="22" t="n">
        <x:v>1</x:v>
      </x:c>
      <x:c r="F17" s="22" t="n">
        <x:v>149.99353</x:v>
      </x:c>
      <x:c r="G17" s="22" t="n">
        <x:v>0</x:v>
      </x:c>
      <x:c r="H17" s="22" t="n">
        <x:v>149.9764</x:v>
      </x:c>
      <x:c r="I17" s="22" t="n">
        <x:v>149.99213</x:v>
      </x:c>
      <x:c r="J17" s="22" t="n">
        <x:v>149.99613</x:v>
      </x:c>
      <x:c r="K17" s="22" t="n">
        <x:v>0.15517</x:v>
      </x:c>
      <x:c r="L17" s="22" t="n">
        <x:v>0</x:v>
      </x:c>
      <x:c r="M17" s="22" t="n">
        <x:v>0.57488</x:v>
      </x:c>
      <x:c r="N17" s="22" t="n">
        <x:v>0</x:v>
      </x:c>
      <x:c r="O17" s="22" t="n">
        <x:v>0.58432</x:v>
      </x:c>
      <x:c r="P17" s="22" t="n">
        <x:v>0</x:v>
      </x:c>
      <x:c r="Q17" s="22" t="n">
        <x:v>0.83458</x:v>
      </x:c>
      <x:c r="R17" s="22" t="n">
        <x:v>0</x:v>
      </x:c>
      <x:c r="S17" s="22" t="n">
        <x:v>0.1859</x:v>
      </x:c>
      <x:c r="T17" s="22" t="n">
        <x:v>0.6888</x:v>
      </x:c>
      <x:c r="U17" s="22" t="n">
        <x:v>0.7001</x:v>
      </x:c>
      <x:c r="V17" s="22" t="n">
        <x:v>3.7048</x:v>
      </x:c>
      <x:c r="W17" s="22" t="n">
        <x:v>3.7656</x:v>
      </x:c>
      <x:c r="X17" s="22" t="n">
        <x:v>0.01194</x:v>
      </x:c>
      <x:c r="Y17" s="22" t="n">
        <x:v>0.04422</x:v>
      </x:c>
      <x:c r="Z17" s="22" t="n">
        <x:v>0.04495</x:v>
      </x:c>
      <x:c r="AA17" s="22" t="n">
        <x:v>0.0642</x:v>
      </x:c>
      <x:c r="AB17" s="22" t="n">
        <x:f>ABS(F17-C17)</x:f>
        <x:v>0.006470000000007303</x:v>
      </x:c>
    </x:row>
    <x:row r="18">
      <x:c r="A18" s="22" t="str">
        <x:v>GAIN_SWEEP</x:v>
      </x:c>
      <x:c r="B18" s="22" t="n">
        <x:v>5</x:v>
      </x:c>
      <x:c r="C18" s="22" t="n">
        <x:v>150</x:v>
      </x:c>
      <x:c r="D18" s="22" t="n">
        <x:v>14</x:v>
      </x:c>
      <x:c r="E18" s="22" t="n">
        <x:v>1</x:v>
      </x:c>
      <x:c r="F18" s="22" t="n">
        <x:v>150.00949</x:v>
      </x:c>
      <x:c r="G18" s="22" t="n">
        <x:v>0</x:v>
      </x:c>
      <x:c r="H18" s="22" t="n">
        <x:v>149.99226</x:v>
      </x:c>
      <x:c r="I18" s="22" t="n">
        <x:v>150.00513</x:v>
      </x:c>
      <x:c r="J18" s="22" t="n">
        <x:v>150.01628</x:v>
      </x:c>
      <x:c r="K18" s="22" t="n">
        <x:v>0.2403</x:v>
      </x:c>
      <x:c r="L18" s="22" t="n">
        <x:v>0</x:v>
      </x:c>
      <x:c r="M18" s="22" t="n">
        <x:v>0.76388</x:v>
      </x:c>
      <x:c r="N18" s="22" t="n">
        <x:v>0</x:v>
      </x:c>
      <x:c r="O18" s="22" t="n">
        <x:v>0.71499</x:v>
      </x:c>
      <x:c r="P18" s="22" t="n">
        <x:v>0</x:v>
      </x:c>
      <x:c r="Q18" s="22" t="n">
        <x:v>1.07367</x:v>
      </x:c>
      <x:c r="R18" s="22" t="n">
        <x:v>0</x:v>
      </x:c>
      <x:c r="S18" s="22" t="n">
        <x:v>0.2238</x:v>
      </x:c>
      <x:c r="T18" s="22" t="n">
        <x:v>0.7115</x:v>
      </x:c>
      <x:c r="U18" s="22" t="n">
        <x:v>0.6659</x:v>
      </x:c>
      <x:c r="V18" s="22" t="n">
        <x:v>3.1788</x:v>
      </x:c>
      <x:c r="W18" s="22" t="n">
        <x:v>2.9754</x:v>
      </x:c>
      <x:c r="X18" s="22" t="n">
        <x:v>0.01716</x:v>
      </x:c>
      <x:c r="Y18" s="22" t="n">
        <x:v>0.05456</x:v>
      </x:c>
      <x:c r="Z18" s="22" t="n">
        <x:v>0.05107</x:v>
      </x:c>
      <x:c r="AA18" s="22" t="n">
        <x:v>0.07669</x:v>
      </x:c>
      <x:c r="AB18" s="22" t="n">
        <x:f>ABS(F18-C18)</x:f>
        <x:v>0.009489999999999554</x:v>
      </x:c>
    </x:row>
    <x:row r="19">
      <x:c r="A19" s="22" t="str">
        <x:v>GAIN_SWEEP</x:v>
      </x:c>
      <x:c r="B19" s="22" t="n">
        <x:v>6</x:v>
      </x:c>
      <x:c r="C19" s="22" t="n">
        <x:v>150</x:v>
      </x:c>
      <x:c r="D19" s="22" t="n">
        <x:v>15</x:v>
      </x:c>
      <x:c r="E19" s="22" t="n">
        <x:v>1</x:v>
      </x:c>
      <x:c r="F19" s="22" t="n">
        <x:v>149.99944</x:v>
      </x:c>
      <x:c r="G19" s="22" t="n">
        <x:v>0</x:v>
      </x:c>
      <x:c r="H19" s="22" t="n">
        <x:v>150.01063</x:v>
      </x:c>
      <x:c r="I19" s="22" t="n">
        <x:v>149.9967</x:v>
      </x:c>
      <x:c r="J19" s="22" t="n">
        <x:v>150.00142</x:v>
      </x:c>
      <x:c r="K19" s="22" t="n">
        <x:v>0.30715</x:v>
      </x:c>
      <x:c r="L19" s="22" t="n">
        <x:v>0</x:v>
      </x:c>
      <x:c r="M19" s="22" t="n">
        <x:v>0.92824</x:v>
      </x:c>
      <x:c r="N19" s="22" t="n">
        <x:v>0</x:v>
      </x:c>
      <x:c r="O19" s="22" t="n">
        <x:v>0.80842</x:v>
      </x:c>
      <x:c r="P19" s="22" t="n">
        <x:v>0</x:v>
      </x:c>
      <x:c r="Q19" s="22" t="n">
        <x:v>1.26878</x:v>
      </x:c>
      <x:c r="R19" s="22" t="n">
        <x:v>0</x:v>
      </x:c>
      <x:c r="S19" s="22" t="n">
        <x:v>0.2421</x:v>
      </x:c>
      <x:c r="T19" s="22" t="n">
        <x:v>0.7316</x:v>
      </x:c>
      <x:c r="U19" s="22" t="n">
        <x:v>0.6372</x:v>
      </x:c>
      <x:c r="V19" s="22" t="n">
        <x:v>3.0221</x:v>
      </x:c>
      <x:c r="W19" s="22" t="n">
        <x:v>2.632</x:v>
      </x:c>
      <x:c r="X19" s="22" t="n">
        <x:v>0.02048</x:v>
      </x:c>
      <x:c r="Y19" s="22" t="n">
        <x:v>0.06188</x:v>
      </x:c>
      <x:c r="Z19" s="22" t="n">
        <x:v>0.05389</x:v>
      </x:c>
      <x:c r="AA19" s="22" t="n">
        <x:v>0.08459</x:v>
      </x:c>
      <x:c r="AB19" s="22" t="n">
        <x:f>ABS(F19-C19)</x:f>
        <x:v>0.0005600000000072214</x:v>
      </x:c>
    </x:row>
    <x:row r="20">
      <x:c r="A20" s="22" t="str">
        <x:v>GAIN_SWEEP</x:v>
      </x:c>
      <x:c r="B20" s="22" t="n">
        <x:v>1</x:v>
      </x:c>
      <x:c r="C20" s="22" t="n">
        <x:v>175</x:v>
      </x:c>
      <x:c r="D20" s="22" t="n">
        <x:v>10</x:v>
      </x:c>
      <x:c r="E20" s="22" t="n">
        <x:v>1</x:v>
      </x:c>
      <x:c r="F20" s="22" t="n">
        <x:v>175.01063</x:v>
      </x:c>
      <x:c r="G20" s="22" t="n">
        <x:v>0</x:v>
      </x:c>
      <x:c r="H20" s="22" t="n">
        <x:v>168.22711</x:v>
      </x:c>
      <x:c r="I20" s="22" t="n">
        <x:v>175.28491</x:v>
      </x:c>
      <x:c r="J20" s="22" t="n">
        <x:v>174.96994</x:v>
      </x:c>
      <x:c r="K20" s="22" t="n">
        <x:v>0.02837</x:v>
      </x:c>
      <x:c r="L20" s="22" t="n">
        <x:v>0</x:v>
      </x:c>
      <x:c r="M20" s="22" t="n">
        <x:v>0.09323</x:v>
      </x:c>
      <x:c r="N20" s="22" t="n">
        <x:v>0</x:v>
      </x:c>
      <x:c r="O20" s="22" t="n">
        <x:v>0.26175</x:v>
      </x:c>
      <x:c r="P20" s="22" t="n">
        <x:v>0</x:v>
      </x:c>
      <x:c r="Q20" s="22" t="n">
        <x:v>0.27953</x:v>
      </x:c>
      <x:c r="R20" s="22" t="n">
        <x:v>0</x:v>
      </x:c>
      <x:c r="S20" s="22" t="n">
        <x:v>0.1015</x:v>
      </x:c>
      <x:c r="T20" s="22" t="n">
        <x:v>0.3335</x:v>
      </x:c>
      <x:c r="U20" s="22" t="n">
        <x:v>0.9364</x:v>
      </x:c>
      <x:c r="V20" s="22" t="n">
        <x:v>3.2865</x:v>
      </x:c>
      <x:c r="W20" s="22" t="n">
        <x:v>9.2265</x:v>
      </x:c>
      <x:c r="X20" s="22" t="n">
        <x:v>0.00284</x:v>
      </x:c>
      <x:c r="Y20" s="22" t="n">
        <x:v>0.00932</x:v>
      </x:c>
      <x:c r="Z20" s="22" t="n">
        <x:v>0.02617</x:v>
      </x:c>
      <x:c r="AA20" s="22" t="n">
        <x:v>0.02795</x:v>
      </x:c>
      <x:c r="AB20" s="22" t="n">
        <x:f>ABS(F20-C20)</x:f>
        <x:v>0.010629999999991924</x:v>
      </x:c>
    </x:row>
    <x:row r="21">
      <x:c r="A21" s="22" t="str">
        <x:v>GAIN_SWEEP</x:v>
      </x:c>
      <x:c r="B21" s="22" t="n">
        <x:v>2</x:v>
      </x:c>
      <x:c r="C21" s="22" t="n">
        <x:v>175</x:v>
      </x:c>
      <x:c r="D21" s="22" t="n">
        <x:v>11</x:v>
      </x:c>
      <x:c r="E21" s="22" t="n">
        <x:v>1</x:v>
      </x:c>
      <x:c r="F21" s="22" t="n">
        <x:v>174.9817</x:v>
      </x:c>
      <x:c r="G21" s="22" t="n">
        <x:v>0</x:v>
      </x:c>
      <x:c r="H21" s="22" t="n">
        <x:v>168.30537</x:v>
      </x:c>
      <x:c r="I21" s="22" t="n">
        <x:v>174.97017</x:v>
      </x:c>
      <x:c r="J21" s="22" t="n">
        <x:v>174.98228</x:v>
      </x:c>
      <x:c r="K21" s="22" t="n">
        <x:v>0.01662</x:v>
      </x:c>
      <x:c r="L21" s="22" t="n">
        <x:v>0</x:v>
      </x:c>
      <x:c r="M21" s="22" t="n">
        <x:v>0.10453</x:v>
      </x:c>
      <x:c r="N21" s="22" t="n">
        <x:v>0</x:v>
      </x:c>
      <x:c r="O21" s="22" t="n">
        <x:v>0.30712</x:v>
      </x:c>
      <x:c r="P21" s="22" t="n">
        <x:v>0</x:v>
      </x:c>
      <x:c r="Q21" s="22" t="n">
        <x:v>0.32541</x:v>
      </x:c>
      <x:c r="R21" s="22" t="n">
        <x:v>0</x:v>
      </x:c>
      <x:c r="S21" s="22" t="n">
        <x:v>0.0511</x:v>
      </x:c>
      <x:c r="T21" s="22" t="n">
        <x:v>0.3212</x:v>
      </x:c>
      <x:c r="U21" s="22" t="n">
        <x:v>0.9438</x:v>
      </x:c>
      <x:c r="V21" s="22" t="n">
        <x:v>6.2887</x:v>
      </x:c>
      <x:c r="W21" s="22" t="n">
        <x:v>18.4765</x:v>
      </x:c>
      <x:c r="X21" s="22" t="n">
        <x:v>0.00151</x:v>
      </x:c>
      <x:c r="Y21" s="22" t="n">
        <x:v>0.0095</x:v>
      </x:c>
      <x:c r="Z21" s="22" t="n">
        <x:v>0.02792</x:v>
      </x:c>
      <x:c r="AA21" s="22" t="n">
        <x:v>0.02958</x:v>
      </x:c>
      <x:c r="AB21" s="22" t="n">
        <x:f>ABS(F21-C21)</x:f>
        <x:v>0.01830000000001064</x:v>
      </x:c>
    </x:row>
    <x:row r="22">
      <x:c r="A22" s="22" t="str">
        <x:v>GAIN_SWEEP</x:v>
      </x:c>
      <x:c r="B22" s="22" t="n">
        <x:v>3</x:v>
      </x:c>
      <x:c r="C22" s="22" t="n">
        <x:v>175</x:v>
      </x:c>
      <x:c r="D22" s="22" t="n">
        <x:v>12</x:v>
      </x:c>
      <x:c r="E22" s="22" t="n">
        <x:v>1</x:v>
      </x:c>
      <x:c r="F22" s="22" t="n">
        <x:v>174.99007</x:v>
      </x:c>
      <x:c r="G22" s="22" t="n">
        <x:v>0</x:v>
      </x:c>
      <x:c r="H22" s="22" t="n">
        <x:v>168.27783</x:v>
      </x:c>
      <x:c r="I22" s="22" t="n">
        <x:v>170.63272</x:v>
      </x:c>
      <x:c r="J22" s="22" t="n">
        <x:v>174.98665</x:v>
      </x:c>
      <x:c r="K22" s="22" t="n">
        <x:v>0.02519</x:v>
      </x:c>
      <x:c r="L22" s="22" t="n">
        <x:v>0</x:v>
      </x:c>
      <x:c r="M22" s="22" t="n">
        <x:v>0.12771</x:v>
      </x:c>
      <x:c r="N22" s="22" t="n">
        <x:v>0</x:v>
      </x:c>
      <x:c r="O22" s="22" t="n">
        <x:v>0.3308</x:v>
      </x:c>
      <x:c r="P22" s="22" t="n">
        <x:v>0</x:v>
      </x:c>
      <x:c r="Q22" s="22" t="n">
        <x:v>0.35621</x:v>
      </x:c>
      <x:c r="R22" s="22" t="n">
        <x:v>0</x:v>
      </x:c>
      <x:c r="S22" s="22" t="n">
        <x:v>0.0707</x:v>
      </x:c>
      <x:c r="T22" s="22" t="n">
        <x:v>0.3585</x:v>
      </x:c>
      <x:c r="U22" s="22" t="n">
        <x:v>0.9287</x:v>
      </x:c>
      <x:c r="V22" s="22" t="n">
        <x:v>5.0702</x:v>
      </x:c>
      <x:c r="W22" s="22" t="n">
        <x:v>13.1329</x:v>
      </x:c>
      <x:c r="X22" s="22" t="n">
        <x:v>0.0021</x:v>
      </x:c>
      <x:c r="Y22" s="22" t="n">
        <x:v>0.01064</x:v>
      </x:c>
      <x:c r="Z22" s="22" t="n">
        <x:v>0.02757</x:v>
      </x:c>
      <x:c r="AA22" s="22" t="n">
        <x:v>0.02968</x:v>
      </x:c>
      <x:c r="AB22" s="22" t="n">
        <x:f>ABS(F22-C22)</x:f>
        <x:v>0.009929999999997108</x:v>
      </x:c>
    </x:row>
    <x:row r="23">
      <x:c r="A23" s="22" t="str">
        <x:v>GAIN_SWEEP</x:v>
      </x:c>
      <x:c r="B23" s="22" t="n">
        <x:v>4</x:v>
      </x:c>
      <x:c r="C23" s="22" t="n">
        <x:v>175</x:v>
      </x:c>
      <x:c r="D23" s="22" t="n">
        <x:v>13</x:v>
      </x:c>
      <x:c r="E23" s="22" t="n">
        <x:v>1</x:v>
      </x:c>
      <x:c r="F23" s="22" t="n">
        <x:v>175.00635</x:v>
      </x:c>
      <x:c r="G23" s="22" t="n">
        <x:v>0</x:v>
      </x:c>
      <x:c r="H23" s="22" t="n">
        <x:v>167.91167</x:v>
      </x:c>
      <x:c r="I23" s="22" t="n">
        <x:v>170.96708</x:v>
      </x:c>
      <x:c r="J23" s="22" t="n">
        <x:v>175.00773</x:v>
      </x:c>
      <x:c r="K23" s="22" t="n">
        <x:v>0.02312</x:v>
      </x:c>
      <x:c r="L23" s="22" t="n">
        <x:v>0</x:v>
      </x:c>
      <x:c r="M23" s="22" t="n">
        <x:v>0.14219</x:v>
      </x:c>
      <x:c r="N23" s="22" t="n">
        <x:v>0</x:v>
      </x:c>
      <x:c r="O23" s="22" t="n">
        <x:v>0.36051</x:v>
      </x:c>
      <x:c r="P23" s="22" t="n">
        <x:v>0</x:v>
      </x:c>
      <x:c r="Q23" s="22" t="n">
        <x:v>0.39009</x:v>
      </x:c>
      <x:c r="R23" s="22" t="n">
        <x:v>0</x:v>
      </x:c>
      <x:c r="S23" s="22" t="n">
        <x:v>0.0593</x:v>
      </x:c>
      <x:c r="T23" s="22" t="n">
        <x:v>0.3645</x:v>
      </x:c>
      <x:c r="U23" s="22" t="n">
        <x:v>0.9242</x:v>
      </x:c>
      <x:c r="V23" s="22" t="n">
        <x:v>6.1498</x:v>
      </x:c>
      <x:c r="W23" s="22" t="n">
        <x:v>15.5919</x:v>
      </x:c>
      <x:c r="X23" s="22" t="n">
        <x:v>0.00178</x:v>
      </x:c>
      <x:c r="Y23" s="22" t="n">
        <x:v>0.01094</x:v>
      </x:c>
      <x:c r="Z23" s="22" t="n">
        <x:v>0.02773</x:v>
      </x:c>
      <x:c r="AA23" s="22" t="n">
        <x:v>0.03001</x:v>
      </x:c>
      <x:c r="AB23" s="22" t="n">
        <x:f>ABS(F23-C23)</x:f>
        <x:v>0.006349999999997635</x:v>
      </x:c>
    </x:row>
    <x:row r="24">
      <x:c r="A24" s="22" t="str">
        <x:v>GAIN_SWEEP</x:v>
      </x:c>
      <x:c r="B24" s="22" t="n">
        <x:v>5</x:v>
      </x:c>
      <x:c r="C24" s="22" t="n">
        <x:v>175</x:v>
      </x:c>
      <x:c r="D24" s="22" t="n">
        <x:v>14</x:v>
      </x:c>
      <x:c r="E24" s="22" t="n">
        <x:v>1</x:v>
      </x:c>
      <x:c r="F24" s="22" t="n">
        <x:v>175.00115</x:v>
      </x:c>
      <x:c r="G24" s="22" t="n">
        <x:v>0</x:v>
      </x:c>
      <x:c r="H24" s="22" t="n">
        <x:v>168.06588</x:v>
      </x:c>
      <x:c r="I24" s="22" t="n">
        <x:v>174.99525</x:v>
      </x:c>
      <x:c r="J24" s="22" t="n">
        <x:v>175.00234</x:v>
      </x:c>
      <x:c r="K24" s="22" t="n">
        <x:v>0.02677</x:v>
      </x:c>
      <x:c r="L24" s="22" t="n">
        <x:v>0</x:v>
      </x:c>
      <x:c r="M24" s="22" t="n">
        <x:v>0.15306</x:v>
      </x:c>
      <x:c r="N24" s="22" t="n">
        <x:v>0</x:v>
      </x:c>
      <x:c r="O24" s="22" t="n">
        <x:v>0.39136</x:v>
      </x:c>
      <x:c r="P24" s="22" t="n">
        <x:v>0</x:v>
      </x:c>
      <x:c r="Q24" s="22" t="n">
        <x:v>0.4223</x:v>
      </x:c>
      <x:c r="R24" s="22" t="n">
        <x:v>0</x:v>
      </x:c>
      <x:c r="S24" s="22" t="n">
        <x:v>0.0634</x:v>
      </x:c>
      <x:c r="T24" s="22" t="n">
        <x:v>0.3625</x:v>
      </x:c>
      <x:c r="U24" s="22" t="n">
        <x:v>0.9267</x:v>
      </x:c>
      <x:c r="V24" s="22" t="n">
        <x:v>5.7172</x:v>
      </x:c>
      <x:c r="W24" s="22" t="n">
        <x:v>14.6178</x:v>
      </x:c>
      <x:c r="X24" s="22" t="n">
        <x:v>0.00191</x:v>
      </x:c>
      <x:c r="Y24" s="22" t="n">
        <x:v>0.01093</x:v>
      </x:c>
      <x:c r="Z24" s="22" t="n">
        <x:v>0.02795</x:v>
      </x:c>
      <x:c r="AA24" s="22" t="n">
        <x:v>0.03016</x:v>
      </x:c>
      <x:c r="AB24" s="22" t="n">
        <x:f>ABS(F24-C24)</x:f>
        <x:v>0.0011499999999955435</x:v>
      </x:c>
    </x:row>
    <x:row r="25">
      <x:c r="A25" s="22" t="str">
        <x:v>GAIN_SWEEP</x:v>
      </x:c>
      <x:c r="B25" s="22" t="n">
        <x:v>6</x:v>
      </x:c>
      <x:c r="C25" s="22" t="n">
        <x:v>175</x:v>
      </x:c>
      <x:c r="D25" s="22" t="n">
        <x:v>15</x:v>
      </x:c>
      <x:c r="E25" s="22" t="n">
        <x:v>1</x:v>
      </x:c>
      <x:c r="F25" s="22" t="n">
        <x:v>175.01282</x:v>
      </x:c>
      <x:c r="G25" s="22" t="n">
        <x:v>0</x:v>
      </x:c>
      <x:c r="H25" s="22" t="n">
        <x:v>168.03608</x:v>
      </x:c>
      <x:c r="I25" s="22" t="n">
        <x:v>174.95968</x:v>
      </x:c>
      <x:c r="J25" s="22" t="n">
        <x:v>175.01961</x:v>
      </x:c>
      <x:c r="K25" s="22" t="n">
        <x:v>0.02367</x:v>
      </x:c>
      <x:c r="L25" s="22" t="n">
        <x:v>0</x:v>
      </x:c>
      <x:c r="M25" s="22" t="n">
        <x:v>0.19369</x:v>
      </x:c>
      <x:c r="N25" s="22" t="n">
        <x:v>0</x:v>
      </x:c>
      <x:c r="O25" s="22" t="n">
        <x:v>0.48801</x:v>
      </x:c>
      <x:c r="P25" s="22" t="n">
        <x:v>0</x:v>
      </x:c>
      <x:c r="Q25" s="22" t="n">
        <x:v>0.52734</x:v>
      </x:c>
      <x:c r="R25" s="22" t="n">
        <x:v>0</x:v>
      </x:c>
      <x:c r="S25" s="22" t="n">
        <x:v>0.0449</x:v>
      </x:c>
      <x:c r="T25" s="22" t="n">
        <x:v>0.3673</x:v>
      </x:c>
      <x:c r="U25" s="22" t="n">
        <x:v>0.9254</x:v>
      </x:c>
      <x:c r="V25" s="22" t="n">
        <x:v>8.1844</x:v>
      </x:c>
      <x:c r="W25" s="22" t="n">
        <x:v>20.6209</x:v>
      </x:c>
      <x:c r="X25" s="22" t="n">
        <x:v>0.00158</x:v>
      </x:c>
      <x:c r="Y25" s="22" t="n">
        <x:v>0.01291</x:v>
      </x:c>
      <x:c r="Z25" s="22" t="n">
        <x:v>0.03253</x:v>
      </x:c>
      <x:c r="AA25" s="22" t="n">
        <x:v>0.03516</x:v>
      </x:c>
      <x:c r="AB25" s="22" t="n">
        <x:f>ABS(F25-C25)</x:f>
        <x:v>0.012820000000004939</x:v>
      </x:c>
    </x:row>
    <x:row r="26">
      <x:c r="A26" s="22" t="str">
        <x:v>GAIN_SWEEP</x:v>
      </x:c>
      <x:c r="B26" s="22" t="n">
        <x:v>1</x:v>
      </x:c>
      <x:c r="C26" s="22" t="n">
        <x:v>200</x:v>
      </x:c>
      <x:c r="D26" s="22" t="n">
        <x:v>10</x:v>
      </x:c>
      <x:c r="E26" s="22" t="n">
        <x:v>1</x:v>
      </x:c>
      <x:c r="F26" s="22" t="n">
        <x:v>199.98802</x:v>
      </x:c>
      <x:c r="G26" s="22" t="n">
        <x:v>0</x:v>
      </x:c>
      <x:c r="H26" s="22" t="n">
        <x:v>200.00556</x:v>
      </x:c>
      <x:c r="I26" s="22" t="n">
        <x:v>200.03168</x:v>
      </x:c>
      <x:c r="J26" s="22" t="n">
        <x:v>199.98207</x:v>
      </x:c>
      <x:c r="K26" s="22" t="n">
        <x:v>0.03443</x:v>
      </x:c>
      <x:c r="L26" s="22" t="n">
        <x:v>0</x:v>
      </x:c>
      <x:c r="M26" s="22" t="n">
        <x:v>0.12198</x:v>
      </x:c>
      <x:c r="N26" s="22" t="n">
        <x:v>0</x:v>
      </x:c>
      <x:c r="O26" s="22" t="n">
        <x:v>0.35496</x:v>
      </x:c>
      <x:c r="P26" s="22" t="n">
        <x:v>0</x:v>
      </x:c>
      <x:c r="Q26" s="22" t="n">
        <x:v>0.37754</x:v>
      </x:c>
      <x:c r="R26" s="22" t="n">
        <x:v>0</x:v>
      </x:c>
      <x:c r="S26" s="22" t="n">
        <x:v>0.0912</x:v>
      </x:c>
      <x:c r="T26" s="22" t="n">
        <x:v>0.3231</x:v>
      </x:c>
      <x:c r="U26" s="22" t="n">
        <x:v>0.9402</x:v>
      </x:c>
      <x:c r="V26" s="22" t="n">
        <x:v>3.5424</x:v>
      </x:c>
      <x:c r="W26" s="22" t="n">
        <x:v>10.3088</x:v>
      </x:c>
      <x:c r="X26" s="22" t="n">
        <x:v>0.00344</x:v>
      </x:c>
      <x:c r="Y26" s="22" t="n">
        <x:v>0.0122</x:v>
      </x:c>
      <x:c r="Z26" s="22" t="n">
        <x:v>0.0355</x:v>
      </x:c>
      <x:c r="AA26" s="22" t="n">
        <x:v>0.03775</x:v>
      </x:c>
      <x:c r="AB26" s="22" t="n">
        <x:f>ABS(F26-C26)</x:f>
        <x:v>0.011979999999994106</x:v>
      </x:c>
    </x:row>
    <x:row r="27">
      <x:c r="A27" s="22" t="str">
        <x:v>GAIN_SWEEP</x:v>
      </x:c>
      <x:c r="B27" s="22" t="n">
        <x:v>2</x:v>
      </x:c>
      <x:c r="C27" s="22" t="n">
        <x:v>200</x:v>
      </x:c>
      <x:c r="D27" s="22" t="n">
        <x:v>11</x:v>
      </x:c>
      <x:c r="E27" s="22" t="n">
        <x:v>1</x:v>
      </x:c>
      <x:c r="F27" s="22" t="n">
        <x:v>199.98513</x:v>
      </x:c>
      <x:c r="G27" s="22" t="n">
        <x:v>0</x:v>
      </x:c>
      <x:c r="H27" s="22" t="n">
        <x:v>200.03883</x:v>
      </x:c>
      <x:c r="I27" s="22" t="n">
        <x:v>200.00914</x:v>
      </x:c>
      <x:c r="J27" s="22" t="n">
        <x:v>199.9819</x:v>
      </x:c>
      <x:c r="K27" s="22" t="n">
        <x:v>0.02802</x:v>
      </x:c>
      <x:c r="L27" s="22" t="n">
        <x:v>0</x:v>
      </x:c>
      <x:c r="M27" s="22" t="n">
        <x:v>0.14224</x:v>
      </x:c>
      <x:c r="N27" s="22" t="n">
        <x:v>0</x:v>
      </x:c>
      <x:c r="O27" s="22" t="n">
        <x:v>0.39975</x:v>
      </x:c>
      <x:c r="P27" s="22" t="n">
        <x:v>0</x:v>
      </x:c>
      <x:c r="Q27" s="22" t="n">
        <x:v>0.42565</x:v>
      </x:c>
      <x:c r="R27" s="22" t="n">
        <x:v>0</x:v>
      </x:c>
      <x:c r="S27" s="22" t="n">
        <x:v>0.0658</x:v>
      </x:c>
      <x:c r="T27" s="22" t="n">
        <x:v>0.3342</x:v>
      </x:c>
      <x:c r="U27" s="22" t="n">
        <x:v>0.9392</x:v>
      </x:c>
      <x:c r="V27" s="22" t="n">
        <x:v>5.076</x:v>
      </x:c>
      <x:c r="W27" s="22" t="n">
        <x:v>14.2658</x:v>
      </x:c>
      <x:c r="X27" s="22" t="n">
        <x:v>0.00255</x:v>
      </x:c>
      <x:c r="Y27" s="22" t="n">
        <x:v>0.01293</x:v>
      </x:c>
      <x:c r="Z27" s="22" t="n">
        <x:v>0.03634</x:v>
      </x:c>
      <x:c r="AA27" s="22" t="n">
        <x:v>0.0387</x:v>
      </x:c>
      <x:c r="AB27" s="22" t="n">
        <x:f>ABS(F27-C27)</x:f>
        <x:v>0.014870000000001937</x:v>
      </x:c>
    </x:row>
    <x:row r="28">
      <x:c r="A28" s="22" t="str">
        <x:v>GAIN_SWEEP</x:v>
      </x:c>
      <x:c r="B28" s="22" t="n">
        <x:v>3</x:v>
      </x:c>
      <x:c r="C28" s="22" t="n">
        <x:v>200</x:v>
      </x:c>
      <x:c r="D28" s="22" t="n">
        <x:v>12</x:v>
      </x:c>
      <x:c r="E28" s="22" t="n">
        <x:v>1</x:v>
      </x:c>
      <x:c r="F28" s="22" t="n">
        <x:v>200.00513</x:v>
      </x:c>
      <x:c r="G28" s="22" t="n">
        <x:v>0</x:v>
      </x:c>
      <x:c r="H28" s="22" t="n">
        <x:v>200.13558</x:v>
      </x:c>
      <x:c r="I28" s="22" t="n">
        <x:v>200.00838</x:v>
      </x:c>
      <x:c r="J28" s="22" t="n">
        <x:v>200.00425</x:v>
      </x:c>
      <x:c r="K28" s="22" t="n">
        <x:v>0.02202</x:v>
      </x:c>
      <x:c r="L28" s="22" t="n">
        <x:v>0</x:v>
      </x:c>
      <x:c r="M28" s="22" t="n">
        <x:v>0.14342</x:v>
      </x:c>
      <x:c r="N28" s="22" t="n">
        <x:v>0</x:v>
      </x:c>
      <x:c r="O28" s="22" t="n">
        <x:v>0.44218</x:v>
      </x:c>
      <x:c r="P28" s="22" t="n">
        <x:v>0</x:v>
      </x:c>
      <x:c r="Q28" s="22" t="n">
        <x:v>0.46547</x:v>
      </x:c>
      <x:c r="R28" s="22" t="n">
        <x:v>0</x:v>
      </x:c>
      <x:c r="S28" s="22" t="n">
        <x:v>0.0473</x:v>
      </x:c>
      <x:c r="T28" s="22" t="n">
        <x:v>0.3081</x:v>
      </x:c>
      <x:c r="U28" s="22" t="n">
        <x:v>0.95</x:v>
      </x:c>
      <x:c r="V28" s="22" t="n">
        <x:v>6.5147</x:v>
      </x:c>
      <x:c r="W28" s="22" t="n">
        <x:v>20.0852</x:v>
      </x:c>
      <x:c r="X28" s="22" t="n">
        <x:v>0.00183</x:v>
      </x:c>
      <x:c r="Y28" s="22" t="n">
        <x:v>0.01195</x:v>
      </x:c>
      <x:c r="Z28" s="22" t="n">
        <x:v>0.03685</x:v>
      </x:c>
      <x:c r="AA28" s="22" t="n">
        <x:v>0.03879</x:v>
      </x:c>
      <x:c r="AB28" s="22" t="n">
        <x:f>ABS(F28-C28)</x:f>
        <x:v>0.005130000000008295</x:v>
      </x:c>
    </x:row>
    <x:row r="29">
      <x:c r="A29" s="22" t="str">
        <x:v>GAIN_SWEEP</x:v>
      </x:c>
      <x:c r="B29" s="22" t="n">
        <x:v>4</x:v>
      </x:c>
      <x:c r="C29" s="22" t="n">
        <x:v>200</x:v>
      </x:c>
      <x:c r="D29" s="22" t="n">
        <x:v>13</x:v>
      </x:c>
      <x:c r="E29" s="22" t="n">
        <x:v>1</x:v>
      </x:c>
      <x:c r="F29" s="22" t="n">
        <x:v>200.01177</x:v>
      </x:c>
      <x:c r="G29" s="22" t="n">
        <x:v>0</x:v>
      </x:c>
      <x:c r="H29" s="22" t="n">
        <x:v>203.39813</x:v>
      </x:c>
      <x:c r="I29" s="22" t="n">
        <x:v>200.01333</x:v>
      </x:c>
      <x:c r="J29" s="22" t="n">
        <x:v>200.01136</x:v>
      </x:c>
      <x:c r="K29" s="22" t="n">
        <x:v>0.01348</x:v>
      </x:c>
      <x:c r="L29" s="22" t="n">
        <x:v>0</x:v>
      </x:c>
      <x:c r="M29" s="22" t="n">
        <x:v>0.17755</x:v>
      </x:c>
      <x:c r="N29" s="22" t="n">
        <x:v>0</x:v>
      </x:c>
      <x:c r="O29" s="22" t="n">
        <x:v>0.49018</x:v>
      </x:c>
      <x:c r="P29" s="22" t="n">
        <x:v>0</x:v>
      </x:c>
      <x:c r="Q29" s="22" t="n">
        <x:v>0.52193</x:v>
      </x:c>
      <x:c r="R29" s="22" t="n">
        <x:v>0</x:v>
      </x:c>
      <x:c r="S29" s="22" t="n">
        <x:v>0.0258</x:v>
      </x:c>
      <x:c r="T29" s="22" t="n">
        <x:v>0.3402</x:v>
      </x:c>
      <x:c r="U29" s="22" t="n">
        <x:v>0.9392</x:v>
      </x:c>
      <x:c r="V29" s="22" t="n">
        <x:v>13.1695</x:v>
      </x:c>
      <x:c r="W29" s="22" t="n">
        <x:v>36.3585</x:v>
      </x:c>
      <x:c r="X29" s="22" t="n">
        <x:v>0.00104</x:v>
      </x:c>
      <x:c r="Y29" s="22" t="n">
        <x:v>0.01366</x:v>
      </x:c>
      <x:c r="Z29" s="22" t="n">
        <x:v>0.03771</x:v>
      </x:c>
      <x:c r="AA29" s="22" t="n">
        <x:v>0.04015</x:v>
      </x:c>
      <x:c r="AB29" s="22" t="n">
        <x:f>ABS(F29-C29)</x:f>
        <x:v>0.011770000000012715</x:v>
      </x:c>
    </x:row>
    <x:row r="30">
      <x:c r="A30" s="22" t="str">
        <x:v>GAIN_SWEEP</x:v>
      </x:c>
      <x:c r="B30" s="22" t="n">
        <x:v>5</x:v>
      </x:c>
      <x:c r="C30" s="22" t="n">
        <x:v>200</x:v>
      </x:c>
      <x:c r="D30" s="22" t="n">
        <x:v>14</x:v>
      </x:c>
      <x:c r="E30" s="22" t="n">
        <x:v>1</x:v>
      </x:c>
      <x:c r="F30" s="22" t="n">
        <x:v>199.99815</x:v>
      </x:c>
      <x:c r="G30" s="22" t="n">
        <x:v>0</x:v>
      </x:c>
      <x:c r="H30" s="22" t="n">
        <x:v>204.59837</x:v>
      </x:c>
      <x:c r="I30" s="22" t="n">
        <x:v>200.00984</x:v>
      </x:c>
      <x:c r="J30" s="22" t="n">
        <x:v>199.99637</x:v>
      </x:c>
      <x:c r="K30" s="22" t="n">
        <x:v>0.01617</x:v>
      </x:c>
      <x:c r="L30" s="22" t="n">
        <x:v>0</x:v>
      </x:c>
      <x:c r="M30" s="22" t="n">
        <x:v>0.18289</x:v>
      </x:c>
      <x:c r="N30" s="22" t="n">
        <x:v>0</x:v>
      </x:c>
      <x:c r="O30" s="22" t="n">
        <x:v>0.5253</x:v>
      </x:c>
      <x:c r="P30" s="22" t="n">
        <x:v>0</x:v>
      </x:c>
      <x:c r="Q30" s="22" t="n">
        <x:v>0.55658</x:v>
      </x:c>
      <x:c r="R30" s="22" t="n">
        <x:v>0</x:v>
      </x:c>
      <x:c r="S30" s="22" t="n">
        <x:v>0.029</x:v>
      </x:c>
      <x:c r="T30" s="22" t="n">
        <x:v>0.3286</x:v>
      </x:c>
      <x:c r="U30" s="22" t="n">
        <x:v>0.9438</x:v>
      </x:c>
      <x:c r="V30" s="22" t="n">
        <x:v>11.3115</x:v>
      </x:c>
      <x:c r="W30" s="22" t="n">
        <x:v>32.49</x:v>
      </x:c>
      <x:c r="X30" s="22" t="n">
        <x:v>0.00115</x:v>
      </x:c>
      <x:c r="Y30" s="22" t="n">
        <x:v>0.01306</x:v>
      </x:c>
      <x:c r="Z30" s="22" t="n">
        <x:v>0.03752</x:v>
      </x:c>
      <x:c r="AA30" s="22" t="n">
        <x:v>0.03976</x:v>
      </x:c>
      <x:c r="AB30" s="22" t="n">
        <x:f>ABS(F30-C30)</x:f>
        <x:v>0.0018499999999903594</x:v>
      </x:c>
    </x:row>
    <x:row r="31">
      <x:c r="A31" s="22" t="str">
        <x:v>GAIN_SWEEP</x:v>
      </x:c>
      <x:c r="B31" s="22" t="n">
        <x:v>6</x:v>
      </x:c>
      <x:c r="C31" s="22" t="n">
        <x:v>200</x:v>
      </x:c>
      <x:c r="D31" s="22" t="n">
        <x:v>15</x:v>
      </x:c>
      <x:c r="E31" s="22" t="n">
        <x:v>1</x:v>
      </x:c>
      <x:c r="F31" s="22" t="n">
        <x:v>200.01438</x:v>
      </x:c>
      <x:c r="G31" s="22" t="n">
        <x:v>0</x:v>
      </x:c>
      <x:c r="H31" s="22" t="n">
        <x:v>200.17714</x:v>
      </x:c>
      <x:c r="I31" s="22" t="n">
        <x:v>200.01591</x:v>
      </x:c>
      <x:c r="J31" s="22" t="n">
        <x:v>200.0138</x:v>
      </x:c>
      <x:c r="K31" s="22" t="n">
        <x:v>0.02327</x:v>
      </x:c>
      <x:c r="L31" s="22" t="n">
        <x:v>0</x:v>
      </x:c>
      <x:c r="M31" s="22" t="n">
        <x:v>0.20091</x:v>
      </x:c>
      <x:c r="N31" s="22" t="n">
        <x:v>0</x:v>
      </x:c>
      <x:c r="O31" s="22" t="n">
        <x:v>0.58172</x:v>
      </x:c>
      <x:c r="P31" s="22" t="n">
        <x:v>0</x:v>
      </x:c>
      <x:c r="Q31" s="22" t="n">
        <x:v>0.61603</x:v>
      </x:c>
      <x:c r="R31" s="22" t="n">
        <x:v>0</x:v>
      </x:c>
      <x:c r="S31" s="22" t="n">
        <x:v>0.0378</x:v>
      </x:c>
      <x:c r="T31" s="22" t="n">
        <x:v>0.3261</x:v>
      </x:c>
      <x:c r="U31" s="22" t="n">
        <x:v>0.9443</x:v>
      </x:c>
      <x:c r="V31" s="22" t="n">
        <x:v>8.6341</x:v>
      </x:c>
      <x:c r="W31" s="22" t="n">
        <x:v>25</x:v>
      </x:c>
      <x:c r="X31" s="22" t="n">
        <x:v>0.00155</x:v>
      </x:c>
      <x:c r="Y31" s="22" t="n">
        <x:v>0.01339</x:v>
      </x:c>
      <x:c r="Z31" s="22" t="n">
        <x:v>0.03878</x:v>
      </x:c>
      <x:c r="AA31" s="22" t="n">
        <x:v>0.04107</x:v>
      </x:c>
      <x:c r="AB31" s="22" t="n">
        <x:f>ABS(F31-C31)</x:f>
        <x:v>0.014379999999988513</x:v>
      </x:c>
    </x:row>
    <x:row r="32">
      <x:c r="A32" s="22" t="str">
        <x:v>GAIN_SWEEP</x:v>
      </x:c>
      <x:c r="B32" s="22" t="n">
        <x:v>1</x:v>
      </x:c>
      <x:c r="C32" s="22" t="n">
        <x:v>225</x:v>
      </x:c>
      <x:c r="D32" s="22" t="n">
        <x:v>10</x:v>
      </x:c>
      <x:c r="E32" s="22" t="n">
        <x:v>1</x:v>
      </x:c>
      <x:c r="F32" s="22" t="n">
        <x:v>224.99563</x:v>
      </x:c>
      <x:c r="G32" s="22" t="n">
        <x:v>0</x:v>
      </x:c>
      <x:c r="H32" s="22" t="n">
        <x:v>218.02655</x:v>
      </x:c>
      <x:c r="I32" s="22" t="n">
        <x:v>224.99128</x:v>
      </x:c>
      <x:c r="J32" s="22" t="n">
        <x:v>224.99832</x:v>
      </x:c>
      <x:c r="K32" s="22" t="n">
        <x:v>0.02912</x:v>
      </x:c>
      <x:c r="L32" s="22" t="n">
        <x:v>0</x:v>
      </x:c>
      <x:c r="M32" s="22" t="n">
        <x:v>0.17226</x:v>
      </x:c>
      <x:c r="N32" s="22" t="n">
        <x:v>0</x:v>
      </x:c>
      <x:c r="O32" s="22" t="n">
        <x:v>0.25462</x:v>
      </x:c>
      <x:c r="P32" s="22" t="n">
        <x:v>0</x:v>
      </x:c>
      <x:c r="Q32" s="22" t="n">
        <x:v>0.30934</x:v>
      </x:c>
      <x:c r="R32" s="22" t="n">
        <x:v>0</x:v>
      </x:c>
      <x:c r="S32" s="22" t="n">
        <x:v>0.0941</x:v>
      </x:c>
      <x:c r="T32" s="22" t="n">
        <x:v>0.5569</x:v>
      </x:c>
      <x:c r="U32" s="22" t="n">
        <x:v>0.8231</x:v>
      </x:c>
      <x:c r="V32" s="22" t="n">
        <x:v>5.9159</x:v>
      </x:c>
      <x:c r="W32" s="22" t="n">
        <x:v>8.7446</x:v>
      </x:c>
      <x:c r="X32" s="22" t="n">
        <x:v>0.00291</x:v>
      </x:c>
      <x:c r="Y32" s="22" t="n">
        <x:v>0.01723</x:v>
      </x:c>
      <x:c r="Z32" s="22" t="n">
        <x:v>0.02546</x:v>
      </x:c>
      <x:c r="AA32" s="22" t="n">
        <x:v>0.03093</x:v>
      </x:c>
      <x:c r="AB32" s="22" t="n">
        <x:f>ABS(F32-C32)</x:f>
        <x:v>0.004369999999994434</x:v>
      </x:c>
    </x:row>
    <x:row r="33">
      <x:c r="A33" s="22" t="str">
        <x:v>GAIN_SWEEP</x:v>
      </x:c>
      <x:c r="B33" s="22" t="n">
        <x:v>2</x:v>
      </x:c>
      <x:c r="C33" s="22" t="n">
        <x:v>225</x:v>
      </x:c>
      <x:c r="D33" s="22" t="n">
        <x:v>11</x:v>
      </x:c>
      <x:c r="E33" s="22" t="n">
        <x:v>1</x:v>
      </x:c>
      <x:c r="F33" s="22" t="n">
        <x:v>224.99584</x:v>
      </x:c>
      <x:c r="G33" s="22" t="n">
        <x:v>0</x:v>
      </x:c>
      <x:c r="H33" s="22" t="n">
        <x:v>218.19462</x:v>
      </x:c>
      <x:c r="I33" s="22" t="n">
        <x:v>225.01946</x:v>
      </x:c>
      <x:c r="J33" s="22" t="n">
        <x:v>224.98489</x:v>
      </x:c>
      <x:c r="K33" s="22" t="n">
        <x:v>0.03431</x:v>
      </x:c>
      <x:c r="L33" s="22" t="n">
        <x:v>0</x:v>
      </x:c>
      <x:c r="M33" s="22" t="n">
        <x:v>0.21817</x:v>
      </x:c>
      <x:c r="N33" s="22" t="n">
        <x:v>0</x:v>
      </x:c>
      <x:c r="O33" s="22" t="n">
        <x:v>0.29637</x:v>
      </x:c>
      <x:c r="P33" s="22" t="n">
        <x:v>0</x:v>
      </x:c>
      <x:c r="Q33" s="22" t="n">
        <x:v>0.37023</x:v>
      </x:c>
      <x:c r="R33" s="22" t="n">
        <x:v>0</x:v>
      </x:c>
      <x:c r="S33" s="22" t="n">
        <x:v>0.0927</x:v>
      </x:c>
      <x:c r="T33" s="22" t="n">
        <x:v>0.5893</x:v>
      </x:c>
      <x:c r="U33" s="22" t="n">
        <x:v>0.8005</x:v>
      </x:c>
      <x:c r="V33" s="22" t="n">
        <x:v>6.3591</x:v>
      </x:c>
      <x:c r="W33" s="22" t="n">
        <x:v>8.6383</x:v>
      </x:c>
      <x:c r="X33" s="22" t="n">
        <x:v>0.00312</x:v>
      </x:c>
      <x:c r="Y33" s="22" t="n">
        <x:v>0.01983</x:v>
      </x:c>
      <x:c r="Z33" s="22" t="n">
        <x:v>0.02694</x:v>
      </x:c>
      <x:c r="AA33" s="22" t="n">
        <x:v>0.03366</x:v>
      </x:c>
      <x:c r="AB33" s="22" t="n">
        <x:f>ABS(F33-C33)</x:f>
        <x:v>0.004160000000013042</x:v>
      </x:c>
    </x:row>
    <x:row r="34">
      <x:c r="A34" s="22" t="str">
        <x:v>GAIN_SWEEP</x:v>
      </x:c>
      <x:c r="B34" s="22" t="n">
        <x:v>3</x:v>
      </x:c>
      <x:c r="C34" s="22" t="n">
        <x:v>225</x:v>
      </x:c>
      <x:c r="D34" s="22" t="n">
        <x:v>12</x:v>
      </x:c>
      <x:c r="E34" s="22" t="n">
        <x:v>1</x:v>
      </x:c>
      <x:c r="F34" s="22" t="n">
        <x:v>224.99715</x:v>
      </x:c>
      <x:c r="G34" s="22" t="n">
        <x:v>0</x:v>
      </x:c>
      <x:c r="H34" s="22" t="n">
        <x:v>217.863</x:v>
      </x:c>
      <x:c r="I34" s="22" t="n">
        <x:v>225.00716</x:v>
      </x:c>
      <x:c r="J34" s="22" t="n">
        <x:v>224.99115</x:v>
      </x:c>
      <x:c r="K34" s="22" t="n">
        <x:v>0.03503</x:v>
      </x:c>
      <x:c r="L34" s="22" t="n">
        <x:v>0</x:v>
      </x:c>
      <x:c r="M34" s="22" t="n">
        <x:v>0.21998</x:v>
      </x:c>
      <x:c r="N34" s="22" t="n">
        <x:v>0</x:v>
      </x:c>
      <x:c r="O34" s="22" t="n">
        <x:v>0.33806</x:v>
      </x:c>
      <x:c r="P34" s="22" t="n">
        <x:v>0</x:v>
      </x:c>
      <x:c r="Q34" s="22" t="n">
        <x:v>0.40602</x:v>
      </x:c>
      <x:c r="R34" s="22" t="n">
        <x:v>0</x:v>
      </x:c>
      <x:c r="S34" s="22" t="n">
        <x:v>0.0863</x:v>
      </x:c>
      <x:c r="T34" s="22" t="n">
        <x:v>0.5418</x:v>
      </x:c>
      <x:c r="U34" s="22" t="n">
        <x:v>0.8326</x:v>
      </x:c>
      <x:c r="V34" s="22" t="n">
        <x:v>6.2793</x:v>
      </x:c>
      <x:c r="W34" s="22" t="n">
        <x:v>9.6497</x:v>
      </x:c>
      <x:c r="X34" s="22" t="n">
        <x:v>0.00292</x:v>
      </x:c>
      <x:c r="Y34" s="22" t="n">
        <x:v>0.01833</x:v>
      </x:c>
      <x:c r="Z34" s="22" t="n">
        <x:v>0.02817</x:v>
      </x:c>
      <x:c r="AA34" s="22" t="n">
        <x:v>0.03383</x:v>
      </x:c>
      <x:c r="AB34" s="22" t="n">
        <x:f>ABS(F34-C34)</x:f>
        <x:v>0.002849999999995134</x:v>
      </x:c>
    </x:row>
    <x:row r="35">
      <x:c r="A35" s="22" t="str">
        <x:v>GAIN_SWEEP</x:v>
      </x:c>
      <x:c r="B35" s="22" t="n">
        <x:v>4</x:v>
      </x:c>
      <x:c r="C35" s="22" t="n">
        <x:v>225</x:v>
      </x:c>
      <x:c r="D35" s="22" t="n">
        <x:v>13</x:v>
      </x:c>
      <x:c r="E35" s="22" t="n">
        <x:v>1</x:v>
      </x:c>
      <x:c r="F35" s="22" t="n">
        <x:v>225.01591</x:v>
      </x:c>
      <x:c r="G35" s="22" t="n">
        <x:v>0</x:v>
      </x:c>
      <x:c r="H35" s="22" t="n">
        <x:v>217.75862</x:v>
      </x:c>
      <x:c r="I35" s="22" t="n">
        <x:v>225.01237</x:v>
      </x:c>
      <x:c r="J35" s="22" t="n">
        <x:v>225.01706</x:v>
      </x:c>
      <x:c r="K35" s="22" t="n">
        <x:v>0.03017</x:v>
      </x:c>
      <x:c r="L35" s="22" t="n">
        <x:v>0</x:v>
      </x:c>
      <x:c r="M35" s="22" t="n">
        <x:v>0.24237</x:v>
      </x:c>
      <x:c r="N35" s="22" t="n">
        <x:v>0</x:v>
      </x:c>
      <x:c r="O35" s="22" t="n">
        <x:v>0.36402</x:v>
      </x:c>
      <x:c r="P35" s="22" t="n">
        <x:v>0</x:v>
      </x:c>
      <x:c r="Q35" s="22" t="n">
        <x:v>0.43918</x:v>
      </x:c>
      <x:c r="R35" s="22" t="n">
        <x:v>0</x:v>
      </x:c>
      <x:c r="S35" s="22" t="n">
        <x:v>0.0687</x:v>
      </x:c>
      <x:c r="T35" s="22" t="n">
        <x:v>0.5519</x:v>
      </x:c>
      <x:c r="U35" s="22" t="n">
        <x:v>0.8289</x:v>
      </x:c>
      <x:c r="V35" s="22" t="n">
        <x:v>8.0321</x:v>
      </x:c>
      <x:c r="W35" s="22" t="n">
        <x:v>12.0637</x:v>
      </x:c>
      <x:c r="X35" s="22" t="n">
        <x:v>0.00232</x:v>
      </x:c>
      <x:c r="Y35" s="22" t="n">
        <x:v>0.01864</x:v>
      </x:c>
      <x:c r="Z35" s="22" t="n">
        <x:v>0.028</x:v>
      </x:c>
      <x:c r="AA35" s="22" t="n">
        <x:v>0.03378</x:v>
      </x:c>
      <x:c r="AB35" s="22" t="n">
        <x:f>ABS(F35-C35)</x:f>
        <x:v>0.015909999999990987</x:v>
      </x:c>
    </x:row>
    <x:row r="36">
      <x:c r="A36" s="22" t="str">
        <x:v>GAIN_SWEEP</x:v>
      </x:c>
      <x:c r="B36" s="22" t="n">
        <x:v>5</x:v>
      </x:c>
      <x:c r="C36" s="22" t="n">
        <x:v>225</x:v>
      </x:c>
      <x:c r="D36" s="22" t="n">
        <x:v>14</x:v>
      </x:c>
      <x:c r="E36" s="22" t="n">
        <x:v>1</x:v>
      </x:c>
      <x:c r="F36" s="22" t="n">
        <x:v>224.96636</x:v>
      </x:c>
      <x:c r="G36" s="22" t="n">
        <x:v>0</x:v>
      </x:c>
      <x:c r="H36" s="22" t="n">
        <x:v>217.94544</x:v>
      </x:c>
      <x:c r="I36" s="22" t="n">
        <x:v>224.95165</x:v>
      </x:c>
      <x:c r="J36" s="22" t="n">
        <x:v>224.97173</x:v>
      </x:c>
      <x:c r="K36" s="22" t="n">
        <x:v>0.03888</x:v>
      </x:c>
      <x:c r="L36" s="22" t="n">
        <x:v>0</x:v>
      </x:c>
      <x:c r="M36" s="22" t="n">
        <x:v>0.27116</x:v>
      </x:c>
      <x:c r="N36" s="22" t="n">
        <x:v>0</x:v>
      </x:c>
      <x:c r="O36" s="22" t="n">
        <x:v>0.39951</x:v>
      </x:c>
      <x:c r="P36" s="22" t="n">
        <x:v>0</x:v>
      </x:c>
      <x:c r="Q36" s="22" t="n">
        <x:v>0.48479</x:v>
      </x:c>
      <x:c r="R36" s="22" t="n">
        <x:v>0</x:v>
      </x:c>
      <x:c r="S36" s="22" t="n">
        <x:v>0.0802</x:v>
      </x:c>
      <x:c r="T36" s="22" t="n">
        <x:v>0.5593</x:v>
      </x:c>
      <x:c r="U36" s="22" t="n">
        <x:v>0.8241</x:v>
      </x:c>
      <x:c r="V36" s="22" t="n">
        <x:v>6.974</x:v>
      </x:c>
      <x:c r="W36" s="22" t="n">
        <x:v>10.275</x:v>
      </x:c>
      <x:c r="X36" s="22" t="n">
        <x:v>0.00278</x:v>
      </x:c>
      <x:c r="Y36" s="22" t="n">
        <x:v>0.01937</x:v>
      </x:c>
      <x:c r="Z36" s="22" t="n">
        <x:v>0.02854</x:v>
      </x:c>
      <x:c r="AA36" s="22" t="n">
        <x:v>0.03463</x:v>
      </x:c>
      <x:c r="AB36" s="22" t="n">
        <x:f>ABS(F36-C36)</x:f>
        <x:v>0.03363999999999123</x:v>
      </x:c>
    </x:row>
    <x:row r="37">
      <x:c r="A37" s="22" t="str">
        <x:v>GAIN_SWEEP</x:v>
      </x:c>
      <x:c r="B37" s="22" t="n">
        <x:v>6</x:v>
      </x:c>
      <x:c r="C37" s="22" t="n">
        <x:v>225</x:v>
      </x:c>
      <x:c r="D37" s="22" t="n">
        <x:v>15</x:v>
      </x:c>
      <x:c r="E37" s="22" t="n">
        <x:v>1</x:v>
      </x:c>
      <x:c r="F37" s="22" t="n">
        <x:v>225.01735</x:v>
      </x:c>
      <x:c r="G37" s="22" t="n">
        <x:v>0</x:v>
      </x:c>
      <x:c r="H37" s="22" t="n">
        <x:v>218.16852</x:v>
      </x:c>
      <x:c r="I37" s="22" t="n">
        <x:v>225.04429</x:v>
      </x:c>
      <x:c r="J37" s="22" t="n">
        <x:v>225.00477</x:v>
      </x:c>
      <x:c r="K37" s="22" t="n">
        <x:v>0.03635</x:v>
      </x:c>
      <x:c r="L37" s="22" t="n">
        <x:v>0</x:v>
      </x:c>
      <x:c r="M37" s="22" t="n">
        <x:v>0.28218</x:v>
      </x:c>
      <x:c r="N37" s="22" t="n">
        <x:v>0</x:v>
      </x:c>
      <x:c r="O37" s="22" t="n">
        <x:v>0.43474</x:v>
      </x:c>
      <x:c r="P37" s="22" t="n">
        <x:v>0</x:v>
      </x:c>
      <x:c r="Q37" s="22" t="n">
        <x:v>0.51993</x:v>
      </x:c>
      <x:c r="R37" s="22" t="n">
        <x:v>0</x:v>
      </x:c>
      <x:c r="S37" s="22" t="n">
        <x:v>0.0699</x:v>
      </x:c>
      <x:c r="T37" s="22" t="n">
        <x:v>0.5427</x:v>
      </x:c>
      <x:c r="U37" s="22" t="n">
        <x:v>0.8362</x:v>
      </x:c>
      <x:c r="V37" s="22" t="n">
        <x:v>7.7635</x:v>
      </x:c>
      <x:c r="W37" s="22" t="n">
        <x:v>11.9609</x:v>
      </x:c>
      <x:c r="X37" s="22" t="n">
        <x:v>0.00242</x:v>
      </x:c>
      <x:c r="Y37" s="22" t="n">
        <x:v>0.01881</x:v>
      </x:c>
      <x:c r="Z37" s="22" t="n">
        <x:v>0.02898</x:v>
      </x:c>
      <x:c r="AA37" s="22" t="n">
        <x:v>0.03466</x:v>
      </x:c>
      <x:c r="AB37" s="22" t="n">
        <x:f>ABS(F37-C37)</x:f>
        <x:v>0.017349999999993315</x:v>
      </x:c>
    </x:row>
    <x:row r="38">
      <x:c r="A38" s="22" t="str">
        <x:v>GAIN_SWEEP</x:v>
      </x:c>
      <x:c r="B38" s="22" t="n">
        <x:v>1</x:v>
      </x:c>
      <x:c r="C38" s="22" t="n">
        <x:v>250</x:v>
      </x:c>
      <x:c r="D38" s="22" t="n">
        <x:v>10</x:v>
      </x:c>
      <x:c r="E38" s="22" t="n">
        <x:v>1</x:v>
      </x:c>
      <x:c r="F38" s="22" t="n">
        <x:v>249.98779</x:v>
      </x:c>
      <x:c r="G38" s="22" t="n">
        <x:v>0</x:v>
      </x:c>
      <x:c r="H38" s="22" t="n">
        <x:v>246.63471</x:v>
      </x:c>
      <x:c r="I38" s="22" t="n">
        <x:v>246.61231</x:v>
      </x:c>
      <x:c r="J38" s="22" t="n">
        <x:v>249.98241</x:v>
      </x:c>
      <x:c r="K38" s="22" t="n">
        <x:v>0.04737</x:v>
      </x:c>
      <x:c r="L38" s="22" t="n">
        <x:v>0</x:v>
      </x:c>
      <x:c r="M38" s="22" t="n">
        <x:v>0.26909</x:v>
      </x:c>
      <x:c r="N38" s="22" t="n">
        <x:v>0</x:v>
      </x:c>
      <x:c r="O38" s="22" t="n">
        <x:v>0.53948</x:v>
      </x:c>
      <x:c r="P38" s="22" t="n">
        <x:v>0</x:v>
      </x:c>
      <x:c r="Q38" s="22" t="n">
        <x:v>0.60838</x:v>
      </x:c>
      <x:c r="R38" s="22" t="n">
        <x:v>0</x:v>
      </x:c>
      <x:c r="S38" s="22" t="n">
        <x:v>0.0779</x:v>
      </x:c>
      <x:c r="T38" s="22" t="n">
        <x:v>0.4423</x:v>
      </x:c>
      <x:c r="U38" s="22" t="n">
        <x:v>0.8868</x:v>
      </x:c>
      <x:c r="V38" s="22" t="n">
        <x:v>5.68</x:v>
      </x:c>
      <x:c r="W38" s="22" t="n">
        <x:v>11.3876</x:v>
      </x:c>
      <x:c r="X38" s="22" t="n">
        <x:v>0.00474</x:v>
      </x:c>
      <x:c r="Y38" s="22" t="n">
        <x:v>0.02691</x:v>
      </x:c>
      <x:c r="Z38" s="22" t="n">
        <x:v>0.05395</x:v>
      </x:c>
      <x:c r="AA38" s="22" t="n">
        <x:v>0.06084</x:v>
      </x:c>
      <x:c r="AB38" s="22" t="n">
        <x:f>ABS(F38-C38)</x:f>
        <x:v>0.012210000000010268</x:v>
      </x:c>
    </x:row>
    <x:row r="39">
      <x:c r="A39" s="22" t="str">
        <x:v>GAIN_SWEEP</x:v>
      </x:c>
      <x:c r="B39" s="22" t="n">
        <x:v>2</x:v>
      </x:c>
      <x:c r="C39" s="22" t="n">
        <x:v>250</x:v>
      </x:c>
      <x:c r="D39" s="22" t="n">
        <x:v>11</x:v>
      </x:c>
      <x:c r="E39" s="22" t="n">
        <x:v>1</x:v>
      </x:c>
      <x:c r="F39" s="22" t="n">
        <x:v>250.00866</x:v>
      </x:c>
      <x:c r="G39" s="22" t="n">
        <x:v>0</x:v>
      </x:c>
      <x:c r="H39" s="22" t="n">
        <x:v>249.97829</x:v>
      </x:c>
      <x:c r="I39" s="22" t="n">
        <x:v>250.02973</x:v>
      </x:c>
      <x:c r="J39" s="22" t="n">
        <x:v>250.00495</x:v>
      </x:c>
      <x:c r="K39" s="22" t="n">
        <x:v>0.07181</x:v>
      </x:c>
      <x:c r="L39" s="22" t="n">
        <x:v>0</x:v>
      </x:c>
      <x:c r="M39" s="22" t="n">
        <x:v>0.26745</x:v>
      </x:c>
      <x:c r="N39" s="22" t="n">
        <x:v>0</x:v>
      </x:c>
      <x:c r="O39" s="22" t="n">
        <x:v>0.59796</x:v>
      </x:c>
      <x:c r="P39" s="22" t="n">
        <x:v>0</x:v>
      </x:c>
      <x:c r="Q39" s="22" t="n">
        <x:v>0.66363</x:v>
      </x:c>
      <x:c r="R39" s="22" t="n">
        <x:v>0</x:v>
      </x:c>
      <x:c r="S39" s="22" t="n">
        <x:v>0.1082</x:v>
      </x:c>
      <x:c r="T39" s="22" t="n">
        <x:v>0.403</x:v>
      </x:c>
      <x:c r="U39" s="22" t="n">
        <x:v>0.901</x:v>
      </x:c>
      <x:c r="V39" s="22" t="n">
        <x:v>3.7245</x:v>
      </x:c>
      <x:c r="W39" s="22" t="n">
        <x:v>8.3273</x:v>
      </x:c>
      <x:c r="X39" s="22" t="n">
        <x:v>0.00653</x:v>
      </x:c>
      <x:c r="Y39" s="22" t="n">
        <x:v>0.02431</x:v>
      </x:c>
      <x:c r="Z39" s="22" t="n">
        <x:v>0.05436</x:v>
      </x:c>
      <x:c r="AA39" s="22" t="n">
        <x:v>0.06033</x:v>
      </x:c>
      <x:c r="AB39" s="22" t="n">
        <x:f>ABS(F39-C39)</x:f>
        <x:v>0.008659999999991896</x:v>
      </x:c>
    </x:row>
    <x:row r="40">
      <x:c r="A40" s="22" t="str">
        <x:v>GAIN_SWEEP</x:v>
      </x:c>
      <x:c r="B40" s="22" t="n">
        <x:v>3</x:v>
      </x:c>
      <x:c r="C40" s="22" t="n">
        <x:v>250</x:v>
      </x:c>
      <x:c r="D40" s="22" t="n">
        <x:v>12</x:v>
      </x:c>
      <x:c r="E40" s="22" t="n">
        <x:v>1</x:v>
      </x:c>
      <x:c r="F40" s="22" t="n">
        <x:v>249.9867</x:v>
      </x:c>
      <x:c r="G40" s="22" t="n">
        <x:v>0</x:v>
      </x:c>
      <x:c r="H40" s="22" t="n">
        <x:v>250.00151</x:v>
      </x:c>
      <x:c r="I40" s="22" t="n">
        <x:v>249.98944</x:v>
      </x:c>
      <x:c r="J40" s="22" t="n">
        <x:v>249.98593</x:v>
      </x:c>
      <x:c r="K40" s="22" t="n">
        <x:v>0.08014</x:v>
      </x:c>
      <x:c r="L40" s="22" t="n">
        <x:v>0</x:v>
      </x:c>
      <x:c r="M40" s="22" t="n">
        <x:v>0.29112</x:v>
      </x:c>
      <x:c r="N40" s="22" t="n">
        <x:v>0</x:v>
      </x:c>
      <x:c r="O40" s="22" t="n">
        <x:v>0.65061</x:v>
      </x:c>
      <x:c r="P40" s="22" t="n">
        <x:v>0</x:v>
      </x:c>
      <x:c r="Q40" s="22" t="n">
        <x:v>0.72237</x:v>
      </x:c>
      <x:c r="R40" s="22" t="n">
        <x:v>0</x:v>
      </x:c>
      <x:c r="S40" s="22" t="n">
        <x:v>0.1109</x:v>
      </x:c>
      <x:c r="T40" s="22" t="n">
        <x:v>0.403</x:v>
      </x:c>
      <x:c r="U40" s="22" t="n">
        <x:v>0.9007</x:v>
      </x:c>
      <x:c r="V40" s="22" t="n">
        <x:v>3.6325</x:v>
      </x:c>
      <x:c r="W40" s="22" t="n">
        <x:v>8.118</x:v>
      </x:c>
      <x:c r="X40" s="22" t="n">
        <x:v>0.00668</x:v>
      </x:c>
      <x:c r="Y40" s="22" t="n">
        <x:v>0.02426</x:v>
      </x:c>
      <x:c r="Z40" s="22" t="n">
        <x:v>0.05422</x:v>
      </x:c>
      <x:c r="AA40" s="22" t="n">
        <x:v>0.0602</x:v>
      </x:c>
      <x:c r="AB40" s="22" t="n">
        <x:f>ABS(F40-C40)</x:f>
        <x:v>0.013299999999986767</x:v>
      </x:c>
    </x:row>
    <x:row r="41">
      <x:c r="A41" s="22" t="str">
        <x:v>GAIN_SWEEP</x:v>
      </x:c>
      <x:c r="B41" s="22" t="n">
        <x:v>4</x:v>
      </x:c>
      <x:c r="C41" s="22" t="n">
        <x:v>250</x:v>
      </x:c>
      <x:c r="D41" s="22" t="n">
        <x:v>13</x:v>
      </x:c>
      <x:c r="E41" s="22" t="n">
        <x:v>1</x:v>
      </x:c>
      <x:c r="F41" s="22" t="n">
        <x:v>249.98056</x:v>
      </x:c>
      <x:c r="G41" s="22" t="n">
        <x:v>0</x:v>
      </x:c>
      <x:c r="H41" s="22" t="n">
        <x:v>250.05694</x:v>
      </x:c>
      <x:c r="I41" s="22" t="n">
        <x:v>249.90292</x:v>
      </x:c>
      <x:c r="J41" s="22" t="n">
        <x:v>249.99875</x:v>
      </x:c>
      <x:c r="K41" s="22" t="n">
        <x:v>0.07325</x:v>
      </x:c>
      <x:c r="L41" s="22" t="n">
        <x:v>0</x:v>
      </x:c>
      <x:c r="M41" s="22" t="n">
        <x:v>0.37631</x:v>
      </x:c>
      <x:c r="N41" s="22" t="n">
        <x:v>0</x:v>
      </x:c>
      <x:c r="O41" s="22" t="n">
        <x:v>0.69531</x:v>
      </x:c>
      <x:c r="P41" s="22" t="n">
        <x:v>0</x:v>
      </x:c>
      <x:c r="Q41" s="22" t="n">
        <x:v>0.79558</x:v>
      </x:c>
      <x:c r="R41" s="22" t="n">
        <x:v>0</x:v>
      </x:c>
      <x:c r="S41" s="22" t="n">
        <x:v>0.0921</x:v>
      </x:c>
      <x:c r="T41" s="22" t="n">
        <x:v>0.473</x:v>
      </x:c>
      <x:c r="U41" s="22" t="n">
        <x:v>0.874</x:v>
      </x:c>
      <x:c r="V41" s="22" t="n">
        <x:v>5.1376</x:v>
      </x:c>
      <x:c r="W41" s="22" t="n">
        <x:v>9.4927</x:v>
      </x:c>
      <x:c r="X41" s="22" t="n">
        <x:v>0.00563</x:v>
      </x:c>
      <x:c r="Y41" s="22" t="n">
        <x:v>0.02895</x:v>
      </x:c>
      <x:c r="Z41" s="22" t="n">
        <x:v>0.05349</x:v>
      </x:c>
      <x:c r="AA41" s="22" t="n">
        <x:v>0.0612</x:v>
      </x:c>
      <x:c r="AB41" s="22" t="n">
        <x:f>ABS(F41-C41)</x:f>
        <x:v>0.01944000000000301</x:v>
      </x:c>
    </x:row>
    <x:row r="42">
      <x:c r="A42" s="22" t="str">
        <x:v>GAIN_SWEEP</x:v>
      </x:c>
      <x:c r="B42" s="22" t="n">
        <x:v>5</x:v>
      </x:c>
      <x:c r="C42" s="22" t="n">
        <x:v>250</x:v>
      </x:c>
      <x:c r="D42" s="22" t="n">
        <x:v>14</x:v>
      </x:c>
      <x:c r="E42" s="22" t="n">
        <x:v>1</x:v>
      </x:c>
      <x:c r="F42" s="22" t="n">
        <x:v>250.00374</x:v>
      </x:c>
      <x:c r="G42" s="22" t="n">
        <x:v>0</x:v>
      </x:c>
      <x:c r="H42" s="22" t="n">
        <x:v>250.14033</x:v>
      </x:c>
      <x:c r="I42" s="22" t="n">
        <x:v>250.05301</x:v>
      </x:c>
      <x:c r="J42" s="22" t="n">
        <x:v>249.9905</x:v>
      </x:c>
      <x:c r="K42" s="22" t="n">
        <x:v>0.08008</x:v>
      </x:c>
      <x:c r="L42" s="22" t="n">
        <x:v>0</x:v>
      </x:c>
      <x:c r="M42" s="22" t="n">
        <x:v>0.37511</x:v>
      </x:c>
      <x:c r="N42" s="22" t="n">
        <x:v>0</x:v>
      </x:c>
      <x:c r="O42" s="22" t="n">
        <x:v>0.75536</x:v>
      </x:c>
      <x:c r="P42" s="22" t="n">
        <x:v>0</x:v>
      </x:c>
      <x:c r="Q42" s="22" t="n">
        <x:v>0.85091</x:v>
      </x:c>
      <x:c r="R42" s="22" t="n">
        <x:v>0</x:v>
      </x:c>
      <x:c r="S42" s="22" t="n">
        <x:v>0.0941</x:v>
      </x:c>
      <x:c r="T42" s="22" t="n">
        <x:v>0.4408</x:v>
      </x:c>
      <x:c r="U42" s="22" t="n">
        <x:v>0.8877</x:v>
      </x:c>
      <x:c r="V42" s="22" t="n">
        <x:v>4.6842</x:v>
      </x:c>
      <x:c r="W42" s="22" t="n">
        <x:v>9.4327</x:v>
      </x:c>
      <x:c r="X42" s="22" t="n">
        <x:v>0.00572</x:v>
      </x:c>
      <x:c r="Y42" s="22" t="n">
        <x:v>0.02679</x:v>
      </x:c>
      <x:c r="Z42" s="22" t="n">
        <x:v>0.05395</x:v>
      </x:c>
      <x:c r="AA42" s="22" t="n">
        <x:v>0.06078</x:v>
      </x:c>
      <x:c r="AB42" s="22" t="n">
        <x:f>ABS(F42-C42)</x:f>
        <x:v>0.0037399999999934153</x:v>
      </x:c>
    </x:row>
    <x:row r="43">
      <x:c r="A43" s="22" t="str">
        <x:v>GAIN_SWEEP</x:v>
      </x:c>
      <x:c r="B43" s="22" t="n">
        <x:v>6</x:v>
      </x:c>
      <x:c r="C43" s="22" t="n">
        <x:v>250</x:v>
      </x:c>
      <x:c r="D43" s="22" t="n">
        <x:v>15</x:v>
      </x:c>
      <x:c r="E43" s="22" t="n">
        <x:v>1</x:v>
      </x:c>
      <x:c r="F43" s="22" t="n">
        <x:v>249.98487</x:v>
      </x:c>
      <x:c r="G43" s="22" t="n">
        <x:v>0</x:v>
      </x:c>
      <x:c r="H43" s="22" t="n">
        <x:v>249.98142</x:v>
      </x:c>
      <x:c r="I43" s="22" t="n">
        <x:v>249.9232</x:v>
      </x:c>
      <x:c r="J43" s="22" t="n">
        <x:v>250.00126</x:v>
      </x:c>
      <x:c r="K43" s="22" t="n">
        <x:v>0.0975</x:v>
      </x:c>
      <x:c r="L43" s="22" t="n">
        <x:v>0</x:v>
      </x:c>
      <x:c r="M43" s="22" t="n">
        <x:v>0.40939</x:v>
      </x:c>
      <x:c r="N43" s="22" t="n">
        <x:v>0</x:v>
      </x:c>
      <x:c r="O43" s="22" t="n">
        <x:v>0.7997</x:v>
      </x:c>
      <x:c r="P43" s="22" t="n">
        <x:v>0</x:v>
      </x:c>
      <x:c r="Q43" s="22" t="n">
        <x:v>0.90656</x:v>
      </x:c>
      <x:c r="R43" s="22" t="n">
        <x:v>0</x:v>
      </x:c>
      <x:c r="S43" s="22" t="n">
        <x:v>0.1076</x:v>
      </x:c>
      <x:c r="T43" s="22" t="n">
        <x:v>0.4516</x:v>
      </x:c>
      <x:c r="U43" s="22" t="n">
        <x:v>0.8821</x:v>
      </x:c>
      <x:c r="V43" s="22" t="n">
        <x:v>4.1987</x:v>
      </x:c>
      <x:c r="W43" s="22" t="n">
        <x:v>8.2019</x:v>
      </x:c>
      <x:c r="X43" s="22" t="n">
        <x:v>0.0065</x:v>
      </x:c>
      <x:c r="Y43" s="22" t="n">
        <x:v>0.02729</x:v>
      </x:c>
      <x:c r="Z43" s="22" t="n">
        <x:v>0.05331</x:v>
      </x:c>
      <x:c r="AA43" s="22" t="n">
        <x:v>0.06044</x:v>
      </x:c>
      <x:c r="AB43" s="22" t="n">
        <x:f>ABS(F43-C43)</x:f>
        <x:v>0.0151299999999992</x:v>
      </x:c>
    </x:row>
    <x:row r="44">
      <x:c r="A44" s="22" t="str">
        <x:v>GAIN_SWEEP</x:v>
      </x:c>
      <x:c r="B44" s="22" t="n">
        <x:v>1</x:v>
      </x:c>
      <x:c r="C44" s="22" t="n">
        <x:v>275</x:v>
      </x:c>
      <x:c r="D44" s="22" t="n">
        <x:v>10</x:v>
      </x:c>
      <x:c r="E44" s="22" t="n">
        <x:v>1</x:v>
      </x:c>
      <x:c r="F44" s="22" t="n">
        <x:v>274.98412</x:v>
      </x:c>
      <x:c r="G44" s="22" t="n">
        <x:v>0</x:v>
      </x:c>
      <x:c r="H44" s="22" t="n">
        <x:v>274.983</x:v>
      </x:c>
      <x:c r="I44" s="22" t="n">
        <x:v>274.93546</x:v>
      </x:c>
      <x:c r="J44" s="22" t="n">
        <x:v>274.99333</x:v>
      </x:c>
      <x:c r="K44" s="22" t="n">
        <x:v>0.11984</x:v>
      </x:c>
      <x:c r="L44" s="22" t="n">
        <x:v>0</x:v>
      </x:c>
      <x:c r="M44" s="22" t="n">
        <x:v>0.28688</x:v>
      </x:c>
      <x:c r="N44" s="22" t="n">
        <x:v>0</x:v>
      </x:c>
      <x:c r="O44" s="22" t="n">
        <x:v>0.67702</x:v>
      </x:c>
      <x:c r="P44" s="22" t="n">
        <x:v>0</x:v>
      </x:c>
      <x:c r="Q44" s="22" t="n">
        <x:v>0.74558</x:v>
      </x:c>
      <x:c r="R44" s="22" t="n">
        <x:v>0</x:v>
      </x:c>
      <x:c r="S44" s="22" t="n">
        <x:v>0.1607</x:v>
      </x:c>
      <x:c r="T44" s="22" t="n">
        <x:v>0.3848</x:v>
      </x:c>
      <x:c r="U44" s="22" t="n">
        <x:v>0.908</x:v>
      </x:c>
      <x:c r="V44" s="22" t="n">
        <x:v>2.3939</x:v>
      </x:c>
      <x:c r="W44" s="22" t="n">
        <x:v>5.6494</x:v>
      </x:c>
      <x:c r="X44" s="22" t="n">
        <x:v>0.01198</x:v>
      </x:c>
      <x:c r="Y44" s="22" t="n">
        <x:v>0.02869</x:v>
      </x:c>
      <x:c r="Z44" s="22" t="n">
        <x:v>0.0677</x:v>
      </x:c>
      <x:c r="AA44" s="22" t="n">
        <x:v>0.07456</x:v>
      </x:c>
      <x:c r="AB44" s="22" t="n">
        <x:f>ABS(F44-C44)</x:f>
        <x:v>0.015879999999981464</x:v>
      </x:c>
    </x:row>
    <x:row r="45">
      <x:c r="A45" s="22" t="str">
        <x:v>GAIN_SWEEP</x:v>
      </x:c>
      <x:c r="B45" s="22" t="n">
        <x:v>2</x:v>
      </x:c>
      <x:c r="C45" s="22" t="n">
        <x:v>275</x:v>
      </x:c>
      <x:c r="D45" s="22" t="n">
        <x:v>11</x:v>
      </x:c>
      <x:c r="E45" s="22" t="n">
        <x:v>1</x:v>
      </x:c>
      <x:c r="F45" s="22" t="n">
        <x:v>275.00429</x:v>
      </x:c>
      <x:c r="G45" s="22" t="n">
        <x:v>0</x:v>
      </x:c>
      <x:c r="H45" s="22" t="n">
        <x:v>275.01232</x:v>
      </x:c>
      <x:c r="I45" s="22" t="n">
        <x:v>275.00236</x:v>
      </x:c>
      <x:c r="J45" s="22" t="n">
        <x:v>275.00443</x:v>
      </x:c>
      <x:c r="K45" s="22" t="n">
        <x:v>0.12748</x:v>
      </x:c>
      <x:c r="L45" s="22" t="n">
        <x:v>0</x:v>
      </x:c>
      <x:c r="M45" s="22" t="n">
        <x:v>0.3248</x:v>
      </x:c>
      <x:c r="N45" s="22" t="n">
        <x:v>0</x:v>
      </x:c>
      <x:c r="O45" s="22" t="n">
        <x:v>0.7784</x:v>
      </x:c>
      <x:c r="P45" s="22" t="n">
        <x:v>0</x:v>
      </x:c>
      <x:c r="Q45" s="22" t="n">
        <x:v>0.8532</x:v>
      </x:c>
      <x:c r="R45" s="22" t="n">
        <x:v>0</x:v>
      </x:c>
      <x:c r="S45" s="22" t="n">
        <x:v>0.1494</x:v>
      </x:c>
      <x:c r="T45" s="22" t="n">
        <x:v>0.3807</x:v>
      </x:c>
      <x:c r="U45" s="22" t="n">
        <x:v>0.9123</x:v>
      </x:c>
      <x:c r="V45" s="22" t="n">
        <x:v>2.5479</x:v>
      </x:c>
      <x:c r="W45" s="22" t="n">
        <x:v>6.1062</x:v>
      </x:c>
      <x:c r="X45" s="22" t="n">
        <x:v>0.01159</x:v>
      </x:c>
      <x:c r="Y45" s="22" t="n">
        <x:v>0.02953</x:v>
      </x:c>
      <x:c r="Z45" s="22" t="n">
        <x:v>0.07076</x:v>
      </x:c>
      <x:c r="AA45" s="22" t="n">
        <x:v>0.07756</x:v>
      </x:c>
      <x:c r="AB45" s="22" t="n">
        <x:f>ABS(F45-C45)</x:f>
        <x:v>0.004290000000025884</x:v>
      </x:c>
    </x:row>
    <x:row r="46">
      <x:c r="A46" s="22" t="str">
        <x:v>GAIN_SWEEP</x:v>
      </x:c>
      <x:c r="B46" s="22" t="n">
        <x:v>3</x:v>
      </x:c>
      <x:c r="C46" s="22" t="n">
        <x:v>275</x:v>
      </x:c>
      <x:c r="D46" s="22" t="n">
        <x:v>12</x:v>
      </x:c>
      <x:c r="E46" s="22" t="n">
        <x:v>1</x:v>
      </x:c>
      <x:c r="F46" s="22" t="n">
        <x:v>274.9969</x:v>
      </x:c>
      <x:c r="G46" s="22" t="n">
        <x:v>0</x:v>
      </x:c>
      <x:c r="H46" s="22" t="n">
        <x:v>275.0001</x:v>
      </x:c>
      <x:c r="I46" s="22" t="n">
        <x:v>274.98872</x:v>
      </x:c>
      <x:c r="J46" s="22" t="n">
        <x:v>274.99846</x:v>
      </x:c>
      <x:c r="K46" s="22" t="n">
        <x:v>0.15274</x:v>
      </x:c>
      <x:c r="L46" s="22" t="n">
        <x:v>0</x:v>
      </x:c>
      <x:c r="M46" s="22" t="n">
        <x:v>0.3539</x:v>
      </x:c>
      <x:c r="N46" s="22" t="n">
        <x:v>0</x:v>
      </x:c>
      <x:c r="O46" s="22" t="n">
        <x:v>0.83416</x:v>
      </x:c>
      <x:c r="P46" s="22" t="n">
        <x:v>0</x:v>
      </x:c>
      <x:c r="Q46" s="22" t="n">
        <x:v>0.91966</x:v>
      </x:c>
      <x:c r="R46" s="22" t="n">
        <x:v>0</x:v>
      </x:c>
      <x:c r="S46" s="22" t="n">
        <x:v>0.1661</x:v>
      </x:c>
      <x:c r="T46" s="22" t="n">
        <x:v>0.3848</x:v>
      </x:c>
      <x:c r="U46" s="22" t="n">
        <x:v>0.907</x:v>
      </x:c>
      <x:c r="V46" s="22" t="n">
        <x:v>2.3171</x:v>
      </x:c>
      <x:c r="W46" s="22" t="n">
        <x:v>5.4615</x:v>
      </x:c>
      <x:c r="X46" s="22" t="n">
        <x:v>0.01273</x:v>
      </x:c>
      <x:c r="Y46" s="22" t="n">
        <x:v>0.02949</x:v>
      </x:c>
      <x:c r="Z46" s="22" t="n">
        <x:v>0.06951</x:v>
      </x:c>
      <x:c r="AA46" s="22" t="n">
        <x:v>0.07664</x:v>
      </x:c>
      <x:c r="AB46" s="22" t="n">
        <x:f>ABS(F46-C46)</x:f>
        <x:v>0.003100000000017644</x:v>
      </x:c>
    </x:row>
    <x:row r="47">
      <x:c r="A47" s="22" t="str">
        <x:v>GAIN_SWEEP</x:v>
      </x:c>
      <x:c r="B47" s="22" t="n">
        <x:v>4</x:v>
      </x:c>
      <x:c r="C47" s="22" t="n">
        <x:v>275</x:v>
      </x:c>
      <x:c r="D47" s="22" t="n">
        <x:v>13</x:v>
      </x:c>
      <x:c r="E47" s="22" t="n">
        <x:v>1</x:v>
      </x:c>
      <x:c r="F47" s="22" t="n">
        <x:v>274.99952</x:v>
      </x:c>
      <x:c r="G47" s="22" t="n">
        <x:v>0</x:v>
      </x:c>
      <x:c r="H47" s="22" t="n">
        <x:v>275.01518</x:v>
      </x:c>
      <x:c r="I47" s="22" t="n">
        <x:v>275.01887</x:v>
      </x:c>
      <x:c r="J47" s="22" t="n">
        <x:v>274.99504</x:v>
      </x:c>
      <x:c r="K47" s="22" t="n">
        <x:v>0.15189</x:v>
      </x:c>
      <x:c r="L47" s="22" t="n">
        <x:v>0</x:v>
      </x:c>
      <x:c r="M47" s="22" t="n">
        <x:v>0.41263</x:v>
      </x:c>
      <x:c r="N47" s="22" t="n">
        <x:v>0</x:v>
      </x:c>
      <x:c r="O47" s="22" t="n">
        <x:v>0.9097</x:v>
      </x:c>
      <x:c r="P47" s="22" t="n">
        <x:v>0</x:v>
      </x:c>
      <x:c r="Q47" s="22" t="n">
        <x:v>1.01068</x:v>
      </x:c>
      <x:c r="R47" s="22" t="n">
        <x:v>0</x:v>
      </x:c>
      <x:c r="S47" s="22" t="n">
        <x:v>0.1503</x:v>
      </x:c>
      <x:c r="T47" s="22" t="n">
        <x:v>0.4083</x:v>
      </x:c>
      <x:c r="U47" s="22" t="n">
        <x:v>0.9001</x:v>
      </x:c>
      <x:c r="V47" s="22" t="n">
        <x:v>2.7166</x:v>
      </x:c>
      <x:c r="W47" s="22" t="n">
        <x:v>5.9891</x:v>
      </x:c>
      <x:c r="X47" s="22" t="n">
        <x:v>0.01168</x:v>
      </x:c>
      <x:c r="Y47" s="22" t="n">
        <x:v>0.03174</x:v>
      </x:c>
      <x:c r="Z47" s="22" t="n">
        <x:v>0.06998</x:v>
      </x:c>
      <x:c r="AA47" s="22" t="n">
        <x:v>0.07774</x:v>
      </x:c>
      <x:c r="AB47" s="22" t="n">
        <x:f>ABS(F47-C47)</x:f>
        <x:v>0.0004799999999818283</x:v>
      </x:c>
    </x:row>
    <x:row r="48">
      <x:c r="A48" s="22" t="str">
        <x:v>GAIN_SWEEP</x:v>
      </x:c>
      <x:c r="B48" s="22" t="n">
        <x:v>5</x:v>
      </x:c>
      <x:c r="C48" s="22" t="n">
        <x:v>275</x:v>
      </x:c>
      <x:c r="D48" s="22" t="n">
        <x:v>14</x:v>
      </x:c>
      <x:c r="E48" s="22" t="n">
        <x:v>1</x:v>
      </x:c>
      <x:c r="F48" s="22" t="n">
        <x:v>275.00454</x:v>
      </x:c>
      <x:c r="G48" s="22" t="n">
        <x:v>0</x:v>
      </x:c>
      <x:c r="H48" s="22" t="n">
        <x:v>274.97188</x:v>
      </x:c>
      <x:c r="I48" s="22" t="n">
        <x:v>275.01532</x:v>
      </x:c>
      <x:c r="J48" s="22" t="n">
        <x:v>275.0034</x:v>
      </x:c>
      <x:c r="K48" s="22" t="n">
        <x:v>0.17025</x:v>
      </x:c>
      <x:c r="L48" s="22" t="n">
        <x:v>0</x:v>
      </x:c>
      <x:c r="M48" s="22" t="n">
        <x:v>0.43518</x:v>
      </x:c>
      <x:c r="N48" s="22" t="n">
        <x:v>0</x:v>
      </x:c>
      <x:c r="O48" s="22" t="n">
        <x:v>0.99126</x:v>
      </x:c>
      <x:c r="P48" s="22" t="n">
        <x:v>0</x:v>
      </x:c>
      <x:c r="Q48" s="22" t="n">
        <x:v>1.09613</x:v>
      </x:c>
      <x:c r="R48" s="22" t="n">
        <x:v>0</x:v>
      </x:c>
      <x:c r="S48" s="22" t="n">
        <x:v>0.1553</x:v>
      </x:c>
      <x:c r="T48" s="22" t="n">
        <x:v>0.397</x:v>
      </x:c>
      <x:c r="U48" s="22" t="n">
        <x:v>0.9043</x:v>
      </x:c>
      <x:c r="V48" s="22" t="n">
        <x:v>2.5562</x:v>
      </x:c>
      <x:c r="W48" s="22" t="n">
        <x:v>5.8225</x:v>
      </x:c>
      <x:c r="X48" s="22" t="n">
        <x:v>0.01216</x:v>
      </x:c>
      <x:c r="Y48" s="22" t="n">
        <x:v>0.03108</x:v>
      </x:c>
      <x:c r="Z48" s="22" t="n">
        <x:v>0.0708</x:v>
      </x:c>
      <x:c r="AA48" s="22" t="n">
        <x:v>0.0783</x:v>
      </x:c>
      <x:c r="AB48" s="22" t="n">
        <x:f>ABS(F48-C48)</x:f>
        <x:v>0.0045400000000199725</x:v>
      </x:c>
    </x:row>
    <x:row r="49">
      <x:c r="A49" s="22" t="str">
        <x:v>GAIN_SWEEP</x:v>
      </x:c>
      <x:c r="B49" s="22" t="n">
        <x:v>6</x:v>
      </x:c>
      <x:c r="C49" s="22" t="n">
        <x:v>275</x:v>
      </x:c>
      <x:c r="D49" s="22" t="n">
        <x:v>15</x:v>
      </x:c>
      <x:c r="E49" s="22" t="n">
        <x:v>1</x:v>
      </x:c>
      <x:c r="F49" s="22" t="n">
        <x:v>274.99763</x:v>
      </x:c>
      <x:c r="G49" s="22" t="n">
        <x:v>0</x:v>
      </x:c>
      <x:c r="H49" s="22" t="n">
        <x:v>275.00668</x:v>
      </x:c>
      <x:c r="I49" s="22" t="n">
        <x:v>274.9702</x:v>
      </x:c>
      <x:c r="J49" s="22" t="n">
        <x:v>275.00285</x:v>
      </x:c>
      <x:c r="K49" s="22" t="n">
        <x:v>0.1935</x:v>
      </x:c>
      <x:c r="L49" s="22" t="n">
        <x:v>0</x:v>
      </x:c>
      <x:c r="M49" s="22" t="n">
        <x:v>0.50459</x:v>
      </x:c>
      <x:c r="N49" s="22" t="n">
        <x:v>0</x:v>
      </x:c>
      <x:c r="O49" s="22" t="n">
        <x:v>1.0661</x:v>
      </x:c>
      <x:c r="P49" s="22" t="n">
        <x:v>0</x:v>
      </x:c>
      <x:c r="Q49" s="22" t="n">
        <x:v>1.19635</x:v>
      </x:c>
      <x:c r="R49" s="22" t="n">
        <x:v>0</x:v>
      </x:c>
      <x:c r="S49" s="22" t="n">
        <x:v>0.1617</x:v>
      </x:c>
      <x:c r="T49" s="22" t="n">
        <x:v>0.4218</x:v>
      </x:c>
      <x:c r="U49" s="22" t="n">
        <x:v>0.8911</x:v>
      </x:c>
      <x:c r="V49" s="22" t="n">
        <x:v>2.6077</x:v>
      </x:c>
      <x:c r="W49" s="22" t="n">
        <x:v>5.5095</x:v>
      </x:c>
      <x:c r="X49" s="22" t="n">
        <x:v>0.0129</x:v>
      </x:c>
      <x:c r="Y49" s="22" t="n">
        <x:v>0.03364</x:v>
      </x:c>
      <x:c r="Z49" s="22" t="n">
        <x:v>0.07107</x:v>
      </x:c>
      <x:c r="AA49" s="22" t="n">
        <x:v>0.07976</x:v>
      </x:c>
      <x:c r="AB49" s="22" t="n">
        <x:f>ABS(F49-C49)</x:f>
        <x:v>0.002369999999984884</x:v>
      </x:c>
    </x:row>
    <x:row r="50">
      <x:c r="A50" s="22" t="str">
        <x:v>GAIN_SWEEP</x:v>
      </x:c>
      <x:c r="B50" s="22" t="n">
        <x:v>1</x:v>
      </x:c>
      <x:c r="C50" s="22" t="n">
        <x:v>300</x:v>
      </x:c>
      <x:c r="D50" s="22" t="n">
        <x:v>10</x:v>
      </x:c>
      <x:c r="E50" s="22" t="n">
        <x:v>1</x:v>
      </x:c>
      <x:c r="F50" s="22" t="n">
        <x:v>300.01084</x:v>
      </x:c>
      <x:c r="G50" s="22" t="n">
        <x:v>0</x:v>
      </x:c>
      <x:c r="H50" s="22" t="n">
        <x:v>299.98395</x:v>
      </x:c>
      <x:c r="I50" s="22" t="n">
        <x:v>300.03091</x:v>
      </x:c>
      <x:c r="J50" s="22" t="n">
        <x:v>300.00609</x:v>
      </x:c>
      <x:c r="K50" s="22" t="n">
        <x:v>0.23242</x:v>
      </x:c>
      <x:c r="L50" s="22" t="n">
        <x:v>0</x:v>
      </x:c>
      <x:c r="M50" s="22" t="n">
        <x:v>0.3742</x:v>
      </x:c>
      <x:c r="N50" s="22" t="n">
        <x:v>0</x:v>
      </x:c>
      <x:c r="O50" s="22" t="n">
        <x:v>0.62642</x:v>
      </x:c>
      <x:c r="P50" s="22" t="n">
        <x:v>0</x:v>
      </x:c>
      <x:c r="Q50" s="22" t="n">
        <x:v>0.76602</x:v>
      </x:c>
      <x:c r="R50" s="22" t="n">
        <x:v>0</x:v>
      </x:c>
      <x:c r="S50" s="22" t="n">
        <x:v>0.3034</x:v>
      </x:c>
      <x:c r="T50" s="22" t="n">
        <x:v>0.4885</x:v>
      </x:c>
      <x:c r="U50" s="22" t="n">
        <x:v>0.8178</x:v>
      </x:c>
      <x:c r="V50" s="22" t="n">
        <x:v>1.61</x:v>
      </x:c>
      <x:c r="W50" s="22" t="n">
        <x:v>2.6952</x:v>
      </x:c>
      <x:c r="X50" s="22" t="n">
        <x:v>0.02324</x:v>
      </x:c>
      <x:c r="Y50" s="22" t="n">
        <x:v>0.03742</x:v>
      </x:c>
      <x:c r="Z50" s="22" t="n">
        <x:v>0.06264</x:v>
      </x:c>
      <x:c r="AA50" s="22" t="n">
        <x:v>0.0766</x:v>
      </x:c>
      <x:c r="AB50" s="22" t="n">
        <x:f>ABS(F50-C50)</x:f>
        <x:v>0.010839999999973315</x:v>
      </x:c>
    </x:row>
    <x:row r="51">
      <x:c r="A51" s="22" t="str">
        <x:v>GAIN_SWEEP</x:v>
      </x:c>
      <x:c r="B51" s="22" t="n">
        <x:v>2</x:v>
      </x:c>
      <x:c r="C51" s="22" t="n">
        <x:v>300</x:v>
      </x:c>
      <x:c r="D51" s="22" t="n">
        <x:v>11</x:v>
      </x:c>
      <x:c r="E51" s="22" t="n">
        <x:v>1</x:v>
      </x:c>
      <x:c r="F51" s="22" t="n">
        <x:v>300.00336</x:v>
      </x:c>
      <x:c r="G51" s="22" t="n">
        <x:v>0</x:v>
      </x:c>
      <x:c r="H51" s="22" t="n">
        <x:v>300.02582</x:v>
      </x:c>
      <x:c r="I51" s="22" t="n">
        <x:v>299.98136</x:v>
      </x:c>
      <x:c r="J51" s="22" t="n">
        <x:v>300.00901</x:v>
      </x:c>
      <x:c r="K51" s="22" t="n">
        <x:v>0.2517</x:v>
      </x:c>
      <x:c r="L51" s="22" t="n">
        <x:v>0</x:v>
      </x:c>
      <x:c r="M51" s="22" t="n">
        <x:v>0.43632</x:v>
      </x:c>
      <x:c r="N51" s="22" t="n">
        <x:v>0</x:v>
      </x:c>
      <x:c r="O51" s="22" t="n">
        <x:v>0.67708</x:v>
      </x:c>
      <x:c r="P51" s="22" t="n">
        <x:v>0</x:v>
      </x:c>
      <x:c r="Q51" s="22" t="n">
        <x:v>0.84422</x:v>
      </x:c>
      <x:c r="R51" s="22" t="n">
        <x:v>0</x:v>
      </x:c>
      <x:c r="S51" s="22" t="n">
        <x:v>0.2981</x:v>
      </x:c>
      <x:c r="T51" s="22" t="n">
        <x:v>0.5168</x:v>
      </x:c>
      <x:c r="U51" s="22" t="n">
        <x:v>0.802</x:v>
      </x:c>
      <x:c r="V51" s="22" t="n">
        <x:v>1.7335</x:v>
      </x:c>
      <x:c r="W51" s="22" t="n">
        <x:v>2.69</x:v>
      </x:c>
      <x:c r="X51" s="22" t="n">
        <x:v>0.02288</x:v>
      </x:c>
      <x:c r="Y51" s="22" t="n">
        <x:v>0.03967</x:v>
      </x:c>
      <x:c r="Z51" s="22" t="n">
        <x:v>0.06155</x:v>
      </x:c>
      <x:c r="AA51" s="22" t="n">
        <x:v>0.07675</x:v>
      </x:c>
      <x:c r="AB51" s="22" t="n">
        <x:f>ABS(F51-C51)</x:f>
        <x:v>0.003359999999986485</x:v>
      </x:c>
    </x:row>
    <x:row r="52">
      <x:c r="A52" s="22" t="str">
        <x:v>GAIN_SWEEP</x:v>
      </x:c>
      <x:c r="B52" s="22" t="n">
        <x:v>3</x:v>
      </x:c>
      <x:c r="C52" s="22" t="n">
        <x:v>300</x:v>
      </x:c>
      <x:c r="D52" s="22" t="n">
        <x:v>12</x:v>
      </x:c>
      <x:c r="E52" s="22" t="n">
        <x:v>1</x:v>
      </x:c>
      <x:c r="F52" s="22" t="n">
        <x:v>300.0069</x:v>
      </x:c>
      <x:c r="G52" s="22" t="n">
        <x:v>0</x:v>
      </x:c>
      <x:c r="H52" s="22" t="n">
        <x:v>299.98409</x:v>
      </x:c>
      <x:c r="I52" s="22" t="n">
        <x:v>299.9892</x:v>
      </x:c>
      <x:c r="J52" s="22" t="n">
        <x:v>300.01805</x:v>
      </x:c>
      <x:c r="K52" s="22" t="n">
        <x:v>0.28444</x:v>
      </x:c>
      <x:c r="L52" s="22" t="n">
        <x:v>0</x:v>
      </x:c>
      <x:c r="M52" s="22" t="n">
        <x:v>0.48143</x:v>
      </x:c>
      <x:c r="N52" s="22" t="n">
        <x:v>0</x:v>
      </x:c>
      <x:c r="O52" s="22" t="n">
        <x:v>0.73669</x:v>
      </x:c>
      <x:c r="P52" s="22" t="n">
        <x:v>0</x:v>
      </x:c>
      <x:c r="Q52" s="22" t="n">
        <x:v>0.92513</x:v>
      </x:c>
      <x:c r="R52" s="22" t="n">
        <x:v>0</x:v>
      </x:c>
      <x:c r="S52" s="22" t="n">
        <x:v>0.3075</x:v>
      </x:c>
      <x:c r="T52" s="22" t="n">
        <x:v>0.5204</x:v>
      </x:c>
      <x:c r="U52" s="22" t="n">
        <x:v>0.7963</x:v>
      </x:c>
      <x:c r="V52" s="22" t="n">
        <x:v>1.6926</x:v>
      </x:c>
      <x:c r="W52" s="22" t="n">
        <x:v>2.59</x:v>
      </x:c>
      <x:c r="X52" s="22" t="n">
        <x:v>0.0237</x:v>
      </x:c>
      <x:c r="Y52" s="22" t="n">
        <x:v>0.04012</x:v>
      </x:c>
      <x:c r="Z52" s="22" t="n">
        <x:v>0.06139</x:v>
      </x:c>
      <x:c r="AA52" s="22" t="n">
        <x:v>0.07709</x:v>
      </x:c>
      <x:c r="AB52" s="22" t="n">
        <x:f>ABS(F52-C52)</x:f>
        <x:v>0.006899999999973261</x:v>
      </x:c>
    </x:row>
    <x:row r="53">
      <x:c r="A53" s="22" t="str">
        <x:v>GAIN_SWEEP</x:v>
      </x:c>
      <x:c r="B53" s="22" t="n">
        <x:v>4</x:v>
      </x:c>
      <x:c r="C53" s="22" t="n">
        <x:v>300</x:v>
      </x:c>
      <x:c r="D53" s="22" t="n">
        <x:v>13</x:v>
      </x:c>
      <x:c r="E53" s="22" t="n">
        <x:v>1</x:v>
      </x:c>
      <x:c r="F53" s="22" t="n">
        <x:v>300.00284</x:v>
      </x:c>
      <x:c r="G53" s="22" t="n">
        <x:v>0</x:v>
      </x:c>
      <x:c r="H53" s="22" t="n">
        <x:v>299.99859</x:v>
      </x:c>
      <x:c r="I53" s="22" t="n">
        <x:v>300.00932</x:v>
      </x:c>
      <x:c r="J53" s="22" t="n">
        <x:v>300.00041</x:v>
      </x:c>
      <x:c r="K53" s="22" t="n">
        <x:v>0.31419</x:v>
      </x:c>
      <x:c r="L53" s="22" t="n">
        <x:v>0</x:v>
      </x:c>
      <x:c r="M53" s="22" t="n">
        <x:v>0.52991</x:v>
      </x:c>
      <x:c r="N53" s="22" t="n">
        <x:v>0</x:v>
      </x:c>
      <x:c r="O53" s="22" t="n">
        <x:v>0.77607</x:v>
      </x:c>
      <x:c r="P53" s="22" t="n">
        <x:v>0</x:v>
      </x:c>
      <x:c r="Q53" s="22" t="n">
        <x:v>0.99104</x:v>
      </x:c>
      <x:c r="R53" s="22" t="n">
        <x:v>0</x:v>
      </x:c>
      <x:c r="S53" s="22" t="n">
        <x:v>0.317</x:v>
      </x:c>
      <x:c r="T53" s="22" t="n">
        <x:v>0.5347</x:v>
      </x:c>
      <x:c r="U53" s="22" t="n">
        <x:v>0.7831</x:v>
      </x:c>
      <x:c r="V53" s="22" t="n">
        <x:v>1.6866</x:v>
      </x:c>
      <x:c r="W53" s="22" t="n">
        <x:v>2.4701</x:v>
      </x:c>
      <x:c r="X53" s="22" t="n">
        <x:v>0.02417</x:v>
      </x:c>
      <x:c r="Y53" s="22" t="n">
        <x:v>0.04076</x:v>
      </x:c>
      <x:c r="Z53" s="22" t="n">
        <x:v>0.0597</x:v>
      </x:c>
      <x:c r="AA53" s="22" t="n">
        <x:v>0.07623</x:v>
      </x:c>
      <x:c r="AB53" s="22" t="n">
        <x:f>ABS(F53-C53)</x:f>
        <x:v>0.00283999999999196</x:v>
      </x:c>
    </x:row>
    <x:row r="54">
      <x:c r="A54" s="22" t="str">
        <x:v>GAIN_SWEEP</x:v>
      </x:c>
      <x:c r="B54" s="22" t="n">
        <x:v>5</x:v>
      </x:c>
      <x:c r="C54" s="22" t="n">
        <x:v>300</x:v>
      </x:c>
      <x:c r="D54" s="22" t="n">
        <x:v>14</x:v>
      </x:c>
      <x:c r="E54" s="22" t="n">
        <x:v>1</x:v>
      </x:c>
      <x:c r="F54" s="22" t="n">
        <x:v>299.99646</x:v>
      </x:c>
      <x:c r="G54" s="22" t="n">
        <x:v>0</x:v>
      </x:c>
      <x:c r="H54" s="22" t="n">
        <x:v>300.0028</x:v>
      </x:c>
      <x:c r="I54" s="22" t="n">
        <x:v>299.99544</x:v>
      </x:c>
      <x:c r="J54" s="22" t="n">
        <x:v>299.99582</x:v>
      </x:c>
      <x:c r="K54" s="22" t="n">
        <x:v>0.35319</x:v>
      </x:c>
      <x:c r="L54" s="22" t="n">
        <x:v>0</x:v>
      </x:c>
      <x:c r="M54" s="22" t="n">
        <x:v>0.56732</x:v>
      </x:c>
      <x:c r="N54" s="22" t="n">
        <x:v>0</x:v>
      </x:c>
      <x:c r="O54" s="22" t="n">
        <x:v>0.83853</x:v>
      </x:c>
      <x:c r="P54" s="22" t="n">
        <x:v>0</x:v>
      </x:c>
      <x:c r="Q54" s="22" t="n">
        <x:v>1.07281</x:v>
      </x:c>
      <x:c r="R54" s="22" t="n">
        <x:v>0</x:v>
      </x:c>
      <x:c r="S54" s="22" t="n">
        <x:v>0.3292</x:v>
      </x:c>
      <x:c r="T54" s="22" t="n">
        <x:v>0.5288</x:v>
      </x:c>
      <x:c r="U54" s="22" t="n">
        <x:v>0.7816</x:v>
      </x:c>
      <x:c r="V54" s="22" t="n">
        <x:v>1.6063</x:v>
      </x:c>
      <x:c r="W54" s="22" t="n">
        <x:v>2.3742</x:v>
      </x:c>
      <x:c r="X54" s="22" t="n">
        <x:v>0.02523</x:v>
      </x:c>
      <x:c r="Y54" s="22" t="n">
        <x:v>0.04052</x:v>
      </x:c>
      <x:c r="Z54" s="22" t="n">
        <x:v>0.05989</x:v>
      </x:c>
      <x:c r="AA54" s="22" t="n">
        <x:v>0.07663</x:v>
      </x:c>
      <x:c r="AB54" s="22" t="n">
        <x:f>ABS(F54-C54)</x:f>
        <x:v>0.003539999999986776</x:v>
      </x:c>
    </x:row>
    <x:row r="55">
      <x:c r="A55" s="22" t="str">
        <x:v>GAIN_SWEEP</x:v>
      </x:c>
      <x:c r="B55" s="22" t="n">
        <x:v>6</x:v>
      </x:c>
      <x:c r="C55" s="22" t="n">
        <x:v>300</x:v>
      </x:c>
      <x:c r="D55" s="22" t="n">
        <x:v>15</x:v>
      </x:c>
      <x:c r="E55" s="22" t="n">
        <x:v>1</x:v>
      </x:c>
      <x:c r="F55" s="22" t="n">
        <x:v>300.00472</x:v>
      </x:c>
      <x:c r="G55" s="22" t="n">
        <x:v>0</x:v>
      </x:c>
      <x:c r="H55" s="22" t="n">
        <x:v>300.00934</x:v>
      </x:c>
      <x:c r="I55" s="22" t="n">
        <x:v>300.00651</x:v>
      </x:c>
      <x:c r="J55" s="22" t="n">
        <x:v>300.00303</x:v>
      </x:c>
      <x:c r="K55" s="22" t="n">
        <x:v>0.37804</x:v>
      </x:c>
      <x:c r="L55" s="22" t="n">
        <x:v>0</x:v>
      </x:c>
      <x:c r="M55" s="22" t="n">
        <x:v>0.63158</x:v>
      </x:c>
      <x:c r="N55" s="22" t="n">
        <x:v>0</x:v>
      </x:c>
      <x:c r="O55" s="22" t="n">
        <x:v>0.87515</x:v>
      </x:c>
      <x:c r="P55" s="22" t="n">
        <x:v>0</x:v>
      </x:c>
      <x:c r="Q55" s="22" t="n">
        <x:v>1.1439</x:v>
      </x:c>
      <x:c r="R55" s="22" t="n">
        <x:v>0</x:v>
      </x:c>
      <x:c r="S55" s="22" t="n">
        <x:v>0.3305</x:v>
      </x:c>
      <x:c r="T55" s="22" t="n">
        <x:v>0.5521</x:v>
      </x:c>
      <x:c r="U55" s="22" t="n">
        <x:v>0.7651</x:v>
      </x:c>
      <x:c r="V55" s="22" t="n">
        <x:v>1.6707</x:v>
      </x:c>
      <x:c r="W55" s="22" t="n">
        <x:v>2.315</x:v>
      </x:c>
      <x:c r="X55" s="22" t="n">
        <x:v>0.0252</x:v>
      </x:c>
      <x:c r="Y55" s="22" t="n">
        <x:v>0.04211</x:v>
      </x:c>
      <x:c r="Z55" s="22" t="n">
        <x:v>0.05834</x:v>
      </x:c>
      <x:c r="AA55" s="22" t="n">
        <x:v>0.07626</x:v>
      </x:c>
      <x:c r="AB55" s="22" t="n">
        <x:f>ABS(F55-C55)</x:f>
        <x:v>0.0047200000000202635</x:v>
      </x:c>
    </x:row>
    <x:row r="56">
      <x:c r="A56" s="22" t="str">
        <x:v>GAIN_SWEEP</x:v>
      </x:c>
      <x:c r="B56" s="22" t="n">
        <x:v>1</x:v>
      </x:c>
      <x:c r="C56" s="22" t="n">
        <x:v>325</x:v>
      </x:c>
      <x:c r="D56" s="22" t="n">
        <x:v>10</x:v>
      </x:c>
      <x:c r="E56" s="22" t="n">
        <x:v>1</x:v>
      </x:c>
      <x:c r="F56" s="22" t="n">
        <x:v>324.98574</x:v>
      </x:c>
      <x:c r="G56" s="22" t="n">
        <x:v>0</x:v>
      </x:c>
      <x:c r="H56" s="22" t="n">
        <x:v>324.98172</x:v>
      </x:c>
      <x:c r="I56" s="22" t="n">
        <x:v>324.98626</x:v>
      </x:c>
      <x:c r="J56" s="22" t="n">
        <x:v>325.01361</x:v>
      </x:c>
      <x:c r="K56" s="22" t="n">
        <x:v>0.28951</x:v>
      </x:c>
      <x:c r="L56" s="22" t="n">
        <x:v>0</x:v>
      </x:c>
      <x:c r="M56" s="22" t="n">
        <x:v>0.46616</x:v>
      </x:c>
      <x:c r="N56" s="22" t="n">
        <x:v>0</x:v>
      </x:c>
      <x:c r="O56" s="22" t="n">
        <x:v>0.09583</x:v>
      </x:c>
      <x:c r="P56" s="22" t="n">
        <x:v>0</x:v>
      </x:c>
      <x:c r="Q56" s="22" t="n">
        <x:v>0.55811</x:v>
      </x:c>
      <x:c r="R56" s="22" t="n">
        <x:v>0</x:v>
      </x:c>
      <x:c r="S56" s="22" t="n">
        <x:v>0.5187</x:v>
      </x:c>
      <x:c r="T56" s="22" t="n">
        <x:v>0.8353</x:v>
      </x:c>
      <x:c r="U56" s="22" t="n">
        <x:v>0.1717</x:v>
      </x:c>
      <x:c r="V56" s="22" t="n">
        <x:v>1.6102</x:v>
      </x:c>
      <x:c r="W56" s="22" t="n">
        <x:v>0.331</x:v>
      </x:c>
      <x:c r="X56" s="22" t="n">
        <x:v>0.02895</x:v>
      </x:c>
      <x:c r="Y56" s="22" t="n">
        <x:v>0.04662</x:v>
      </x:c>
      <x:c r="Z56" s="22" t="n">
        <x:v>0.00958</x:v>
      </x:c>
      <x:c r="AA56" s="22" t="n">
        <x:v>0.05581</x:v>
      </x:c>
      <x:c r="AB56" s="22" t="n">
        <x:f>ABS(F56-C56)</x:f>
        <x:v>0.014259999999978845</x:v>
      </x:c>
    </x:row>
    <x:row r="57">
      <x:c r="A57" s="22" t="str">
        <x:v>GAIN_SWEEP</x:v>
      </x:c>
      <x:c r="B57" s="22" t="n">
        <x:v>2</x:v>
      </x:c>
      <x:c r="C57" s="22" t="n">
        <x:v>325</x:v>
      </x:c>
      <x:c r="D57" s="22" t="n">
        <x:v>11</x:v>
      </x:c>
      <x:c r="E57" s="22" t="n">
        <x:v>1</x:v>
      </x:c>
      <x:c r="F57" s="22" t="n">
        <x:v>325.00635</x:v>
      </x:c>
      <x:c r="G57" s="22" t="n">
        <x:v>0</x:v>
      </x:c>
      <x:c r="H57" s="22" t="n">
        <x:v>325.01899</x:v>
      </x:c>
      <x:c r="I57" s="22" t="n">
        <x:v>325.00492</x:v>
      </x:c>
      <x:c r="J57" s="22" t="n">
        <x:v>324.91645</x:v>
      </x:c>
      <x:c r="K57" s="22" t="n">
        <x:v>0.32115</x:v>
      </x:c>
      <x:c r="L57" s="22" t="n">
        <x:v>0</x:v>
      </x:c>
      <x:c r="M57" s="22" t="n">
        <x:v>0.51531</x:v>
      </x:c>
      <x:c r="N57" s="22" t="n">
        <x:v>0</x:v>
      </x:c>
      <x:c r="O57" s="22" t="n">
        <x:v>0.11418</x:v>
      </x:c>
      <x:c r="P57" s="22" t="n">
        <x:v>0</x:v>
      </x:c>
      <x:c r="Q57" s="22" t="n">
        <x:v>0.61822</x:v>
      </x:c>
      <x:c r="R57" s="22" t="n">
        <x:v>0</x:v>
      </x:c>
      <x:c r="S57" s="22" t="n">
        <x:v>0.5195</x:v>
      </x:c>
      <x:c r="T57" s="22" t="n">
        <x:v>0.8335</x:v>
      </x:c>
      <x:c r="U57" s="22" t="n">
        <x:v>0.1847</x:v>
      </x:c>
      <x:c r="V57" s="22" t="n">
        <x:v>1.6046</x:v>
      </x:c>
      <x:c r="W57" s="22" t="n">
        <x:v>0.3556</x:v>
      </x:c>
      <x:c r="X57" s="22" t="n">
        <x:v>0.0292</x:v>
      </x:c>
      <x:c r="Y57" s="22" t="n">
        <x:v>0.04685</x:v>
      </x:c>
      <x:c r="Z57" s="22" t="n">
        <x:v>0.01038</x:v>
      </x:c>
      <x:c r="AA57" s="22" t="n">
        <x:v>0.0562</x:v>
      </x:c>
      <x:c r="AB57" s="22" t="n">
        <x:f>ABS(F57-C57)</x:f>
        <x:v>0.006349999999997635</x:v>
      </x:c>
    </x:row>
    <x:row r="58">
      <x:c r="A58" s="22" t="str">
        <x:v>GAIN_SWEEP</x:v>
      </x:c>
      <x:c r="B58" s="22" t="n">
        <x:v>3</x:v>
      </x:c>
      <x:c r="C58" s="22" t="n">
        <x:v>325</x:v>
      </x:c>
      <x:c r="D58" s="22" t="n">
        <x:v>12</x:v>
      </x:c>
      <x:c r="E58" s="22" t="n">
        <x:v>1</x:v>
      </x:c>
      <x:c r="F58" s="22" t="n">
        <x:v>325.0008</x:v>
      </x:c>
      <x:c r="G58" s="22" t="n">
        <x:v>0</x:v>
      </x:c>
      <x:c r="H58" s="22" t="n">
        <x:v>324.99254</x:v>
      </x:c>
      <x:c r="I58" s="22" t="n">
        <x:v>325.00881</x:v>
      </x:c>
      <x:c r="J58" s="22" t="n">
        <x:v>324.935</x:v>
      </x:c>
      <x:c r="K58" s="22" t="n">
        <x:v>0.34656</x:v>
      </x:c>
      <x:c r="L58" s="22" t="n">
        <x:v>0</x:v>
      </x:c>
      <x:c r="M58" s="22" t="n">
        <x:v>0.56162</x:v>
      </x:c>
      <x:c r="N58" s="22" t="n">
        <x:v>0</x:v>
      </x:c>
      <x:c r="O58" s="22" t="n">
        <x:v>0.14941</x:v>
      </x:c>
      <x:c r="P58" s="22" t="n">
        <x:v>0</x:v>
      </x:c>
      <x:c r="Q58" s="22" t="n">
        <x:v>0.67751</x:v>
      </x:c>
      <x:c r="R58" s="22" t="n">
        <x:v>0</x:v>
      </x:c>
      <x:c r="S58" s="22" t="n">
        <x:v>0.5115</x:v>
      </x:c>
      <x:c r="T58" s="22" t="n">
        <x:v>0.8289</x:v>
      </x:c>
      <x:c r="U58" s="22" t="n">
        <x:v>0.2205</x:v>
      </x:c>
      <x:c r="V58" s="22" t="n">
        <x:v>1.6206</x:v>
      </x:c>
      <x:c r="W58" s="22" t="n">
        <x:v>0.4311</x:v>
      </x:c>
      <x:c r="X58" s="22" t="n">
        <x:v>0.02888</x:v>
      </x:c>
      <x:c r="Y58" s="22" t="n">
        <x:v>0.0468</x:v>
      </x:c>
      <x:c r="Z58" s="22" t="n">
        <x:v>0.01245</x:v>
      </x:c>
      <x:c r="AA58" s="22" t="n">
        <x:v>0.05646</x:v>
      </x:c>
      <x:c r="AB58" s="22" t="n">
        <x:f>ABS(F58-C58)</x:f>
        <x:v>0.0008000000000265572</x:v>
      </x:c>
    </x:row>
    <x:row r="59">
      <x:c r="A59" s="22" t="str">
        <x:v>GAIN_SWEEP</x:v>
      </x:c>
      <x:c r="B59" s="22" t="n">
        <x:v>4</x:v>
      </x:c>
      <x:c r="C59" s="22" t="n">
        <x:v>325</x:v>
      </x:c>
      <x:c r="D59" s="22" t="n">
        <x:v>13</x:v>
      </x:c>
      <x:c r="E59" s="22" t="n">
        <x:v>1</x:v>
      </x:c>
      <x:c r="F59" s="22" t="n">
        <x:v>324.98976</x:v>
      </x:c>
      <x:c r="G59" s="22" t="n">
        <x:v>0</x:v>
      </x:c>
      <x:c r="H59" s="22" t="n">
        <x:v>324.9819</x:v>
      </x:c>
      <x:c r="I59" s="22" t="n">
        <x:v>324.99194</x:v>
      </x:c>
      <x:c r="J59" s="22" t="n">
        <x:v>325.00149</x:v>
      </x:c>
      <x:c r="K59" s="22" t="n">
        <x:v>0.37704</x:v>
      </x:c>
      <x:c r="L59" s="22" t="n">
        <x:v>0</x:v>
      </x:c>
      <x:c r="M59" s="22" t="n">
        <x:v>0.6031</x:v>
      </x:c>
      <x:c r="N59" s="22" t="n">
        <x:v>0</x:v>
      </x:c>
      <x:c r="O59" s="22" t="n">
        <x:v>0.15681</x:v>
      </x:c>
      <x:c r="P59" s="22" t="n">
        <x:v>0</x:v>
      </x:c>
      <x:c r="Q59" s="22" t="n">
        <x:v>0.72866</x:v>
      </x:c>
      <x:c r="R59" s="22" t="n">
        <x:v>0</x:v>
      </x:c>
      <x:c r="S59" s="22" t="n">
        <x:v>0.5174</x:v>
      </x:c>
      <x:c r="T59" s="22" t="n">
        <x:v>0.8277</x:v>
      </x:c>
      <x:c r="U59" s="22" t="n">
        <x:v>0.2152</x:v>
      </x:c>
      <x:c r="V59" s="22" t="n">
        <x:v>1.5996</x:v>
      </x:c>
      <x:c r="W59" s="22" t="n">
        <x:v>0.4159</x:v>
      </x:c>
      <x:c r="X59" s="22" t="n">
        <x:v>0.029</x:v>
      </x:c>
      <x:c r="Y59" s="22" t="n">
        <x:v>0.04639</x:v>
      </x:c>
      <x:c r="Z59" s="22" t="n">
        <x:v>0.01206</x:v>
      </x:c>
      <x:c r="AA59" s="22" t="n">
        <x:v>0.05605</x:v>
      </x:c>
      <x:c r="AB59" s="22" t="n">
        <x:f>ABS(F59-C59)</x:f>
        <x:v>0.010240000000010241</x:v>
      </x:c>
    </x:row>
    <x:row r="60">
      <x:c r="A60" s="22" t="str">
        <x:v>GAIN_SWEEP</x:v>
      </x:c>
      <x:c r="B60" s="22" t="n">
        <x:v>5</x:v>
      </x:c>
      <x:c r="C60" s="22" t="n">
        <x:v>325</x:v>
      </x:c>
      <x:c r="D60" s="22" t="n">
        <x:v>14</x:v>
      </x:c>
      <x:c r="E60" s="22" t="n">
        <x:v>1</x:v>
      </x:c>
      <x:c r="F60" s="22" t="n">
        <x:v>325.00549</x:v>
      </x:c>
      <x:c r="G60" s="22" t="n">
        <x:v>0</x:v>
      </x:c>
      <x:c r="H60" s="22" t="n">
        <x:v>325.00291</x:v>
      </x:c>
      <x:c r="I60" s="22" t="n">
        <x:v>325.00554</x:v>
      </x:c>
      <x:c r="J60" s="22" t="n">
        <x:v>325.01913</x:v>
      </x:c>
      <x:c r="K60" s="22" t="n">
        <x:v>0.42152</x:v>
      </x:c>
      <x:c r="L60" s="22" t="n">
        <x:v>0</x:v>
      </x:c>
      <x:c r="M60" s="22" t="n">
        <x:v>0.65547</x:v>
      </x:c>
      <x:c r="N60" s="22" t="n">
        <x:v>0</x:v>
      </x:c>
      <x:c r="O60" s="22" t="n">
        <x:v>0.1914</x:v>
      </x:c>
      <x:c r="P60" s="22" t="n">
        <x:v>0</x:v>
      </x:c>
      <x:c r="Q60" s="22" t="n">
        <x:v>0.80305</x:v>
      </x:c>
      <x:c r="R60" s="22" t="n">
        <x:v>0</x:v>
      </x:c>
      <x:c r="S60" s="22" t="n">
        <x:v>0.5249</x:v>
      </x:c>
      <x:c r="T60" s="22" t="n">
        <x:v>0.8162</x:v>
      </x:c>
      <x:c r="U60" s="22" t="n">
        <x:v>0.2383</x:v>
      </x:c>
      <x:c r="V60" s="22" t="n">
        <x:v>1.555</x:v>
      </x:c>
      <x:c r="W60" s="22" t="n">
        <x:v>0.4541</x:v>
      </x:c>
      <x:c r="X60" s="22" t="n">
        <x:v>0.03011</x:v>
      </x:c>
      <x:c r="Y60" s="22" t="n">
        <x:v>0.04682</x:v>
      </x:c>
      <x:c r="Z60" s="22" t="n">
        <x:v>0.01367</x:v>
      </x:c>
      <x:c r="AA60" s="22" t="n">
        <x:v>0.05736</x:v>
      </x:c>
      <x:c r="AB60" s="22" t="n">
        <x:f>ABS(F60-C60)</x:f>
        <x:v>0.005490000000008877</x:v>
      </x:c>
    </x:row>
    <x:row r="61">
      <x:c r="A61" s="22" t="str">
        <x:v>GAIN_SWEEP</x:v>
      </x:c>
      <x:c r="B61" s="22" t="n">
        <x:v>6</x:v>
      </x:c>
      <x:c r="C61" s="22" t="n">
        <x:v>325</x:v>
      </x:c>
      <x:c r="D61" s="22" t="n">
        <x:v>15</x:v>
      </x:c>
      <x:c r="E61" s="22" t="n">
        <x:v>1</x:v>
      </x:c>
      <x:c r="F61" s="22" t="n">
        <x:v>324.99462</x:v>
      </x:c>
      <x:c r="G61" s="22" t="n">
        <x:v>0</x:v>
      </x:c>
      <x:c r="H61" s="22" t="n">
        <x:v>324.99038</x:v>
      </x:c>
      <x:c r="I61" s="22" t="n">
        <x:v>324.99459</x:v>
      </x:c>
      <x:c r="J61" s="22" t="n">
        <x:v>325.01338</x:v>
      </x:c>
      <x:c r="K61" s="22" t="n">
        <x:v>0.4409</x:v>
      </x:c>
      <x:c r="L61" s="22" t="n">
        <x:v>0</x:v>
      </x:c>
      <x:c r="M61" s="22" t="n">
        <x:v>0.7119</x:v>
      </x:c>
      <x:c r="N61" s="22" t="n">
        <x:v>0</x:v>
      </x:c>
      <x:c r="O61" s="22" t="n">
        <x:v>0.21045</x:v>
      </x:c>
      <x:c r="P61" s="22" t="n">
        <x:v>0</x:v>
      </x:c>
      <x:c r="Q61" s="22" t="n">
        <x:v>0.86391</x:v>
      </x:c>
      <x:c r="R61" s="22" t="n">
        <x:v>0</x:v>
      </x:c>
      <x:c r="S61" s="22" t="n">
        <x:v>0.5104</x:v>
      </x:c>
      <x:c r="T61" s="22" t="n">
        <x:v>0.8241</x:v>
      </x:c>
      <x:c r="U61" s="22" t="n">
        <x:v>0.2436</x:v>
      </x:c>
      <x:c r="V61" s="22" t="n">
        <x:v>1.6147</x:v>
      </x:c>
      <x:c r="W61" s="22" t="n">
        <x:v>0.4773</x:v>
      </x:c>
      <x:c r="X61" s="22" t="n">
        <x:v>0.02939</x:v>
      </x:c>
      <x:c r="Y61" s="22" t="n">
        <x:v>0.04746</x:v>
      </x:c>
      <x:c r="Z61" s="22" t="n">
        <x:v>0.01403</x:v>
      </x:c>
      <x:c r="AA61" s="22" t="n">
        <x:v>0.05759</x:v>
      </x:c>
      <x:c r="AB61" s="22" t="n">
        <x:f>ABS(F61-C61)</x:f>
        <x:v>0.005380000000002383</x:v>
      </x:c>
    </x:row>
    <x:row r="62">
      <x:c r="A62" s="22" t="str">
        <x:v>GAIN_SWEEP</x:v>
      </x:c>
      <x:c r="B62" s="22" t="n">
        <x:v>1</x:v>
      </x:c>
      <x:c r="C62" s="22" t="n">
        <x:v>350</x:v>
      </x:c>
      <x:c r="D62" s="22" t="n">
        <x:v>10</x:v>
      </x:c>
      <x:c r="E62" s="22" t="n">
        <x:v>1</x:v>
      </x:c>
      <x:c r="F62" s="22" t="n">
        <x:v>349.96977</x:v>
      </x:c>
      <x:c r="G62" s="22" t="n">
        <x:v>0</x:v>
      </x:c>
      <x:c r="H62" s="22" t="n">
        <x:v>349.93633</x:v>
      </x:c>
      <x:c r="I62" s="22" t="n">
        <x:v>349.97195</x:v>
      </x:c>
      <x:c r="J62" s="22" t="n">
        <x:v>349.9705</x:v>
      </x:c>
      <x:c r="K62" s="22" t="n">
        <x:v>0.1478</x:v>
      </x:c>
      <x:c r="L62" s="22" t="n">
        <x:v>0</x:v>
      </x:c>
      <x:c r="M62" s="22" t="n">
        <x:v>0.3752</x:v>
      </x:c>
      <x:c r="N62" s="22" t="n">
        <x:v>0</x:v>
      </x:c>
      <x:c r="O62" s="22" t="n">
        <x:v>0.63898</x:v>
      </x:c>
      <x:c r="P62" s="22" t="n">
        <x:v>0</x:v>
      </x:c>
      <x:c r="Q62" s="22" t="n">
        <x:v>0.75772</x:v>
      </x:c>
      <x:c r="R62" s="22" t="n">
        <x:v>0</x:v>
      </x:c>
      <x:c r="S62" s="22" t="n">
        <x:v>0.1951</x:v>
      </x:c>
      <x:c r="T62" s="22" t="n">
        <x:v>0.4952</x:v>
      </x:c>
      <x:c r="U62" s="22" t="n">
        <x:v>0.8433</x:v>
      </x:c>
      <x:c r="V62" s="22" t="n">
        <x:v>2.5385</x:v>
      </x:c>
      <x:c r="W62" s="22" t="n">
        <x:v>4.3233</x:v>
      </x:c>
      <x:c r="X62" s="22" t="n">
        <x:v>0.01478</x:v>
      </x:c>
      <x:c r="Y62" s="22" t="n">
        <x:v>0.03752</x:v>
      </x:c>
      <x:c r="Z62" s="22" t="n">
        <x:v>0.0639</x:v>
      </x:c>
      <x:c r="AA62" s="22" t="n">
        <x:v>0.07577</x:v>
      </x:c>
      <x:c r="AB62" s="22" t="n">
        <x:f>ABS(F62-C62)</x:f>
        <x:v>0.0302300000000173</x:v>
      </x:c>
    </x:row>
    <x:row r="63">
      <x:c r="A63" s="22" t="str">
        <x:v>GAIN_SWEEP</x:v>
      </x:c>
      <x:c r="B63" s="22" t="n">
        <x:v>2</x:v>
      </x:c>
      <x:c r="C63" s="22" t="n">
        <x:v>350</x:v>
      </x:c>
      <x:c r="D63" s="22" t="n">
        <x:v>11</x:v>
      </x:c>
      <x:c r="E63" s="22" t="n">
        <x:v>1</x:v>
      </x:c>
      <x:c r="F63" s="22" t="n">
        <x:v>349.99395</x:v>
      </x:c>
      <x:c r="G63" s="22" t="n">
        <x:v>0</x:v>
      </x:c>
      <x:c r="H63" s="22" t="n">
        <x:v>349.99244</x:v>
      </x:c>
      <x:c r="I63" s="22" t="n">
        <x:v>350.02058</x:v>
      </x:c>
      <x:c r="J63" s="22" t="n">
        <x:v>349.98283</x:v>
      </x:c>
      <x:c r="K63" s="22" t="n">
        <x:v>0.15733</x:v>
      </x:c>
      <x:c r="L63" s="22" t="n">
        <x:v>0</x:v>
      </x:c>
      <x:c r="M63" s="22" t="n">
        <x:v>0.45961</x:v>
      </x:c>
      <x:c r="N63" s="22" t="n">
        <x:v>0</x:v>
      </x:c>
      <x:c r="O63" s="22" t="n">
        <x:v>0.67689</x:v>
      </x:c>
      <x:c r="P63" s="22" t="n">
        <x:v>0</x:v>
      </x:c>
      <x:c r="Q63" s="22" t="n">
        <x:v>0.83414</x:v>
      </x:c>
      <x:c r="R63" s="22" t="n">
        <x:v>0</x:v>
      </x:c>
      <x:c r="S63" s="22" t="n">
        <x:v>0.1886</x:v>
      </x:c>
      <x:c r="T63" s="22" t="n">
        <x:v>0.551</x:v>
      </x:c>
      <x:c r="U63" s="22" t="n">
        <x:v>0.8115</x:v>
      </x:c>
      <x:c r="V63" s="22" t="n">
        <x:v>2.9213</x:v>
      </x:c>
      <x:c r="W63" s="22" t="n">
        <x:v>4.3023</x:v>
      </x:c>
      <x:c r="X63" s="22" t="n">
        <x:v>0.0143</x:v>
      </x:c>
      <x:c r="Y63" s="22" t="n">
        <x:v>0.04178</x:v>
      </x:c>
      <x:c r="Z63" s="22" t="n">
        <x:v>0.06154</x:v>
      </x:c>
      <x:c r="AA63" s="22" t="n">
        <x:v>0.07583</x:v>
      </x:c>
      <x:c r="AB63" s="22" t="n">
        <x:f>ABS(F63-C63)</x:f>
        <x:v>0.006050000000016098</x:v>
      </x:c>
    </x:row>
    <x:row r="64">
      <x:c r="A64" s="22" t="str">
        <x:v>GAIN_SWEEP</x:v>
      </x:c>
      <x:c r="B64" s="22" t="n">
        <x:v>3</x:v>
      </x:c>
      <x:c r="C64" s="22" t="n">
        <x:v>350</x:v>
      </x:c>
      <x:c r="D64" s="22" t="n">
        <x:v>12</x:v>
      </x:c>
      <x:c r="E64" s="22" t="n">
        <x:v>1</x:v>
      </x:c>
      <x:c r="F64" s="22" t="n">
        <x:v>350.00663</x:v>
      </x:c>
      <x:c r="G64" s="22" t="n">
        <x:v>0</x:v>
      </x:c>
      <x:c r="H64" s="22" t="n">
        <x:v>350.01896</x:v>
      </x:c>
      <x:c r="I64" s="22" t="n">
        <x:v>350.01153</x:v>
      </x:c>
      <x:c r="J64" s="22" t="n">
        <x:v>350.00297</x:v>
      </x:c>
      <x:c r="K64" s="22" t="n">
        <x:v>0.19555</x:v>
      </x:c>
      <x:c r="L64" s="22" t="n">
        <x:v>0</x:v>
      </x:c>
      <x:c r="M64" s="22" t="n">
        <x:v>0.52219</x:v>
      </x:c>
      <x:c r="N64" s="22" t="n">
        <x:v>0</x:v>
      </x:c>
      <x:c r="O64" s="22" t="n">
        <x:v>0.70081</x:v>
      </x:c>
      <x:c r="P64" s="22" t="n">
        <x:v>0</x:v>
      </x:c>
      <x:c r="Q64" s="22" t="n">
        <x:v>0.89607</x:v>
      </x:c>
      <x:c r="R64" s="22" t="n">
        <x:v>0</x:v>
      </x:c>
      <x:c r="S64" s="22" t="n">
        <x:v>0.2182</x:v>
      </x:c>
      <x:c r="T64" s="22" t="n">
        <x:v>0.5828</x:v>
      </x:c>
      <x:c r="U64" s="22" t="n">
        <x:v>0.7821</x:v>
      </x:c>
      <x:c r="V64" s="22" t="n">
        <x:v>2.6703</x:v>
      </x:c>
      <x:c r="W64" s="22" t="n">
        <x:v>3.5837</x:v>
      </x:c>
      <x:c r="X64" s="22" t="n">
        <x:v>0.0163</x:v>
      </x:c>
      <x:c r="Y64" s="22" t="n">
        <x:v>0.04352</x:v>
      </x:c>
      <x:c r="Z64" s="22" t="n">
        <x:v>0.0584</x:v>
      </x:c>
      <x:c r="AA64" s="22" t="n">
        <x:v>0.07467</x:v>
      </x:c>
      <x:c r="AB64" s="22" t="n">
        <x:f>ABS(F64-C64)</x:f>
        <x:v>0.006629999999972824</x:v>
      </x:c>
    </x:row>
    <x:row r="65">
      <x:c r="A65" s="22" t="str">
        <x:v>GAIN_SWEEP</x:v>
      </x:c>
      <x:c r="B65" s="22" t="n">
        <x:v>4</x:v>
      </x:c>
      <x:c r="C65" s="22" t="n">
        <x:v>350</x:v>
      </x:c>
      <x:c r="D65" s="22" t="n">
        <x:v>13</x:v>
      </x:c>
      <x:c r="E65" s="22" t="n">
        <x:v>1</x:v>
      </x:c>
      <x:c r="F65" s="22" t="n">
        <x:v>349.99296</x:v>
      </x:c>
      <x:c r="G65" s="22" t="n">
        <x:v>0</x:v>
      </x:c>
      <x:c r="H65" s="22" t="n">
        <x:v>350.00748</x:v>
      </x:c>
      <x:c r="I65" s="22" t="n">
        <x:v>349.99145</x:v>
      </x:c>
      <x:c r="J65" s="22" t="n">
        <x:v>349.99284</x:v>
      </x:c>
      <x:c r="K65" s="22" t="n">
        <x:v>0.20276</x:v>
      </x:c>
      <x:c r="L65" s="22" t="n">
        <x:v>0</x:v>
      </x:c>
      <x:c r="M65" s="22" t="n">
        <x:v>0.5775</x:v>
      </x:c>
      <x:c r="N65" s="22" t="n">
        <x:v>0</x:v>
      </x:c>
      <x:c r="O65" s="22" t="n">
        <x:v>0.74143</x:v>
      </x:c>
      <x:c r="P65" s="22" t="n">
        <x:v>0</x:v>
      </x:c>
      <x:c r="Q65" s="22" t="n">
        <x:v>0.96182</x:v>
      </x:c>
      <x:c r="R65" s="22" t="n">
        <x:v>0</x:v>
      </x:c>
      <x:c r="S65" s="22" t="n">
        <x:v>0.2108</x:v>
      </x:c>
      <x:c r="T65" s="22" t="n">
        <x:v>0.6004</x:v>
      </x:c>
      <x:c r="U65" s="22" t="n">
        <x:v>0.7709</x:v>
      </x:c>
      <x:c r="V65" s="22" t="n">
        <x:v>2.8482</x:v>
      </x:c>
      <x:c r="W65" s="22" t="n">
        <x:v>3.6567</x:v>
      </x:c>
      <x:c r="X65" s="22" t="n">
        <x:v>0.0156</x:v>
      </x:c>
      <x:c r="Y65" s="22" t="n">
        <x:v>0.04442</x:v>
      </x:c>
      <x:c r="Z65" s="22" t="n">
        <x:v>0.05703</x:v>
      </x:c>
      <x:c r="AA65" s="22" t="n">
        <x:v>0.07399</x:v>
      </x:c>
      <x:c r="AB65" s="22" t="n">
        <x:f>ABS(F65-C65)</x:f>
        <x:v>0.007040000000017699</x:v>
      </x:c>
    </x:row>
    <x:row r="66">
      <x:c r="A66" s="22" t="str">
        <x:v>GAIN_SWEEP</x:v>
      </x:c>
      <x:c r="B66" s="22" t="n">
        <x:v>5</x:v>
      </x:c>
      <x:c r="C66" s="22" t="n">
        <x:v>350</x:v>
      </x:c>
      <x:c r="D66" s="22" t="n">
        <x:v>14</x:v>
      </x:c>
      <x:c r="E66" s="22" t="n">
        <x:v>1</x:v>
      </x:c>
      <x:c r="F66" s="22" t="n">
        <x:v>349.99642</x:v>
      </x:c>
      <x:c r="G66" s="22" t="n">
        <x:v>0</x:v>
      </x:c>
      <x:c r="H66" s="22" t="n">
        <x:v>349.99807</x:v>
      </x:c>
      <x:c r="I66" s="22" t="n">
        <x:v>349.98877</x:v>
      </x:c>
      <x:c r="J66" s="22" t="n">
        <x:v>350.00126</x:v>
      </x:c>
      <x:c r="K66" s="22" t="n">
        <x:v>0.23705</x:v>
      </x:c>
      <x:c r="L66" s="22" t="n">
        <x:v>0</x:v>
      </x:c>
      <x:c r="M66" s="22" t="n">
        <x:v>0.64742</x:v>
      </x:c>
      <x:c r="N66" s="22" t="n">
        <x:v>0</x:v>
      </x:c>
      <x:c r="O66" s="22" t="n">
        <x:v>0.78994</x:v>
      </x:c>
      <x:c r="P66" s="22" t="n">
        <x:v>0</x:v>
      </x:c>
      <x:c r="Q66" s="22" t="n">
        <x:v>1.04924</x:v>
      </x:c>
      <x:c r="R66" s="22" t="n">
        <x:v>0</x:v>
      </x:c>
      <x:c r="S66" s="22" t="n">
        <x:v>0.2259</x:v>
      </x:c>
      <x:c r="T66" s="22" t="n">
        <x:v>0.617</x:v>
      </x:c>
      <x:c r="U66" s="22" t="n">
        <x:v>0.7529</x:v>
      </x:c>
      <x:c r="V66" s="22" t="n">
        <x:v>2.7311</x:v>
      </x:c>
      <x:c r="W66" s="22" t="n">
        <x:v>3.3323</x:v>
      </x:c>
      <x:c r="X66" s="22" t="n">
        <x:v>0.01693</x:v>
      </x:c>
      <x:c r="Y66" s="22" t="n">
        <x:v>0.04624</x:v>
      </x:c>
      <x:c r="Z66" s="22" t="n">
        <x:v>0.05642</x:v>
      </x:c>
      <x:c r="AA66" s="22" t="n">
        <x:v>0.07495</x:v>
      </x:c>
      <x:c r="AB66" s="22" t="n">
        <x:f>ABS(F66-C66)</x:f>
        <x:v>0.0035799999999994725</x:v>
      </x:c>
    </x:row>
    <x:row r="67">
      <x:c r="A67" s="22" t="str">
        <x:v>GAIN_SWEEP</x:v>
      </x:c>
      <x:c r="B67" s="22" t="n">
        <x:v>6</x:v>
      </x:c>
      <x:c r="C67" s="22" t="n">
        <x:v>350</x:v>
      </x:c>
      <x:c r="D67" s="22" t="n">
        <x:v>15</x:v>
      </x:c>
      <x:c r="E67" s="22" t="n">
        <x:v>1</x:v>
      </x:c>
      <x:c r="F67" s="22" t="n">
        <x:v>350.00171</x:v>
      </x:c>
      <x:c r="G67" s="22" t="n">
        <x:v>0</x:v>
      </x:c>
      <x:c r="H67" s="22" t="n">
        <x:v>349.98918</x:v>
      </x:c>
      <x:c r="I67" s="22" t="n">
        <x:v>349.9998</x:v>
      </x:c>
      <x:c r="J67" s="22" t="n">
        <x:v>350.00417</x:v>
      </x:c>
      <x:c r="K67" s="22" t="n">
        <x:v>0.26629</x:v>
      </x:c>
      <x:c r="L67" s="22" t="n">
        <x:v>0</x:v>
      </x:c>
      <x:c r="M67" s="22" t="n">
        <x:v>0.71421</x:v>
      </x:c>
      <x:c r="N67" s="22" t="n">
        <x:v>0</x:v>
      </x:c>
      <x:c r="O67" s="22" t="n">
        <x:v>0.85805</x:v>
      </x:c>
      <x:c r="P67" s="22" t="n">
        <x:v>0</x:v>
      </x:c>
      <x:c r="Q67" s="22" t="n">
        <x:v>1.14839</x:v>
      </x:c>
      <x:c r="R67" s="22" t="n">
        <x:v>0</x:v>
      </x:c>
      <x:c r="S67" s="22" t="n">
        <x:v>0.2319</x:v>
      </x:c>
      <x:c r="T67" s="22" t="n">
        <x:v>0.6219</x:v>
      </x:c>
      <x:c r="U67" s="22" t="n">
        <x:v>0.7472</x:v>
      </x:c>
      <x:c r="V67" s="22" t="n">
        <x:v>2.6821</x:v>
      </x:c>
      <x:c r="W67" s="22" t="n">
        <x:v>3.2223</x:v>
      </x:c>
      <x:c r="X67" s="22" t="n">
        <x:v>0.01775</x:v>
      </x:c>
      <x:c r="Y67" s="22" t="n">
        <x:v>0.04761</x:v>
      </x:c>
      <x:c r="Z67" s="22" t="n">
        <x:v>0.0572</x:v>
      </x:c>
      <x:c r="AA67" s="22" t="n">
        <x:v>0.07656</x:v>
      </x:c>
      <x:c r="AB67" s="22" t="n">
        <x:f>ABS(F67-C67)</x:f>
        <x:v>0.0017100000000027649</x:v>
      </x:c>
    </x:row>
  </x:sheetData>
  <x:pageMargins left="0.7" right="0.7" top="0.75" bottom="0.75" header="0.3" footer="0.3"/>
  <x:tableParts count="1">
    <x:tablePart xmlns:r="http://schemas.openxmlformats.org/officeDocument/2006/relationships" r:id="R6d5344f64d814113"/>
  </x:tableParts>
</x:worksheet>
</file>

<file path=xl/worksheets/sheet4.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2"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34" hidden="0" customWidth="1"/>
  </x:cols>
  <x:sheetData>
    <x:row r="1">
      <x:c r="A1" s="45" t="str">
        <x:v>Frequency_Hz</x:v>
      </x:c>
      <x:c r="B1" s="45" t="str">
        <x:v>Dominant @ DAC10</x:v>
      </x:c>
      <x:c r="C1" s="45" t="str">
        <x:v>Dominant @ DAC15</x:v>
      </x:c>
      <x:c r="D1" s="45" t="str">
        <x:v>Directional regime</x:v>
      </x:c>
      <x:c r="E1" s="45" t="str">
        <x:v>X @ DAC10</x:v>
      </x:c>
      <x:c r="F1" s="45" t="str">
        <x:v>Y @ DAC10</x:v>
      </x:c>
      <x:c r="G1" s="45" t="str">
        <x:v>Z @ DAC10</x:v>
      </x:c>
      <x:c r="H1" s="45" t="str">
        <x:v>Total @ DAC10</x:v>
      </x:c>
      <x:c r="I1" s="45" t="str">
        <x:v>X @ DAC15</x:v>
      </x:c>
      <x:c r="J1" s="45" t="str">
        <x:v>Y @ DAC15</x:v>
      </x:c>
      <x:c r="K1" s="45" t="str">
        <x:v>Z @ DAC15</x:v>
      </x:c>
      <x:c r="L1" s="45" t="str">
        <x:v>Total @ DAC15</x:v>
      </x:c>
      <x:c r="M1" s="45" t="str">
        <x:v>Total ratio 15/10</x:v>
      </x:c>
      <x:c r="N1" s="45" t="str">
        <x:v>Mean Total/DAC</x:v>
      </x:c>
      <x:c r="O1" s="45" t="str">
        <x:v>CV Total/DAC %</x:v>
      </x:c>
      <x:c r="P1" s="45" t="str">
        <x:v>Slope Total vs DAC</x:v>
      </x:c>
      <x:c r="Q1" s="45" t="str">
        <x:v>Intercept</x:v>
      </x:c>
      <x:c r="R1" s="45" t="str">
        <x:v>R² Total vs DAC</x:v>
      </x:c>
      <x:c r="S1" s="45" t="str">
        <x:v>Max |Freq error| Hz</x:v>
      </x:c>
      <x:c r="T1" s="45" t="str">
        <x:v>Avg within-record Total CV %</x:v>
      </x:c>
      <x:c r="U1" s="45" t="str">
        <x:v>Dominant phase @ DAC15 deg</x:v>
      </x:c>
      <x:c r="V1" s="45" t="str">
        <x:v>Dominant sync @ DAC15</x:v>
      </x:c>
      <x:c r="W1" s="45" t="str">
        <x:v>Interpretation class</x:v>
      </x:c>
    </x:row>
    <x:row r="2">
      <x:c r="A2" s="63" t="n">
        <x:v>100</x:v>
      </x:c>
      <x:c r="B2" s="64" t="str">
        <x:f>IF(MAX(E2:G2)=E2,"X",IF(MAX(E2:G2)=F2,"Y","Z"))</x:f>
        <x:v>Z</x:v>
      </x:c>
      <x:c r="C2" s="64" t="str">
        <x:f>IF(MAX(I2:K2)=I2,"X",IF(MAX(I2:K2)=J2,"Y","Z"))</x:f>
        <x:v>X</x:v>
      </x:c>
      <x:c r="D2" s="64" t="str">
        <x:f>IF(B2=C2,"Stable "&amp;C2&amp;"-dominant",B2&amp;"→"&amp;C2&amp;" transition")</x:f>
        <x:v>Z→X transition</x:v>
      </x:c>
      <x:c r="E2" s="65" t="n">
        <x:f>'Point Summary'!K2</x:f>
        <x:v>0.20592</x:v>
      </x:c>
      <x:c r="F2" s="65" t="n">
        <x:f>'Point Summary'!M2</x:f>
        <x:v>0.11588</x:v>
      </x:c>
      <x:c r="G2" s="65" t="n">
        <x:f>'Point Summary'!O2</x:f>
        <x:v>0.36369</x:v>
      </x:c>
      <x:c r="H2" s="65" t="n">
        <x:f>'Point Summary'!Q2</x:f>
        <x:v>0.434</x:v>
      </x:c>
      <x:c r="I2" s="65" t="n">
        <x:f>'Point Summary'!K7</x:f>
        <x:v>2.31402</x:v>
      </x:c>
      <x:c r="J2" s="65" t="n">
        <x:f>'Point Summary'!M7</x:f>
        <x:v>2.05378</x:v>
      </x:c>
      <x:c r="K2" s="65" t="n">
        <x:f>'Point Summary'!O7</x:f>
        <x:v>1.57215</x:v>
      </x:c>
      <x:c r="L2" s="65" t="n">
        <x:f>'Point Summary'!Q7</x:f>
        <x:v>3.47061</x:v>
      </x:c>
      <x:c r="M2" s="65" t="n">
        <x:f>L2/H2</x:f>
        <x:v>7.996797235023042</x:v>
      </x:c>
      <x:c r="N2" s="65" t="n">
        <x:f>AVERAGE('Point Summary'!AA2:AA7)</x:f>
        <x:v>0.14622</x:v>
      </x:c>
      <x:c r="O2" s="66" t="n">
        <x:f>STDEV.S('Point Summary'!AA2:AA7)/AVERAGE('Point Summary'!AA2:AA7)*100</x:f>
        <x:v>54.7973743534022</x:v>
      </x:c>
      <x:c r="P2" s="65" t="n">
        <x:f>SLOPE('Point Summary'!Q2:Q7,'Point Summary'!D2:D7)</x:f>
        <x:v>0.6581134285714286</x:v>
      </x:c>
      <x:c r="Q2" s="65" t="n">
        <x:f>INTERCEPT('Point Summary'!Q2:Q7,'Point Summary'!D2:D7)</x:f>
        <x:v>-6.277582857142858</x:v>
      </x:c>
      <x:c r="R2" s="67" t="n">
        <x:f>RSQ('Point Summary'!Q2:Q7,'Point Summary'!D2:D7)</x:f>
        <x:v>0.9700502902541963</x:v>
      </x:c>
      <x:c r="S2" s="68" t="n">
        <x:f>MAX('Point Summary'!AB2:AB7)</x:f>
        <x:v>0.020640000000000214</x:v>
      </x:c>
      <x:c r="T2" s="68" t="n">
        <x:f>AVERAGE('Raw DATA'!AP2:AP7)</x:f>
        <x:v>6.32</x:v>
      </x:c>
      <x:c r="U2" s="68" t="n">
        <x:f>IF(C2="X",'Raw DATA'!AD7,IF(C2="Y",'Raw DATA'!AH7,'Raw DATA'!AL7))</x:f>
        <x:v>-70.1</x:v>
      </x:c>
      <x:c r="V2" s="68" t="n">
        <x:f>IF(C2="X",'Raw DATA'!AE7,IF(C2="Y",'Raw DATA'!AI7,'Raw DATA'!AM7))</x:f>
        <x:v>0.606</x:v>
      </x:c>
      <x:c r="W2" s="64" t="str">
        <x:f>IF(O2&gt;20,"Strongly amplitude-dependent / nonlinear",IF(O2&gt;7,"Moderate amplitude dependence",IF(O2&lt;=3,"Approximately proportional","Good proportionality")))</x:f>
        <x:v>Strongly amplitude-dependent / nonlinear</x:v>
      </x:c>
    </x:row>
    <x:row r="3">
      <x:c r="A3" s="63" t="n">
        <x:v>125</x:v>
      </x:c>
      <x:c r="B3" s="64" t="str">
        <x:f>IF(MAX(E3:G3)=E3,"X",IF(MAX(E3:G3)=F3,"Y","Z"))</x:f>
        <x:v>Y</x:v>
      </x:c>
      <x:c r="C3" s="64" t="str">
        <x:f>IF(MAX(I3:K3)=I3,"X",IF(MAX(I3:K3)=J3,"Y","Z"))</x:f>
        <x:v>Y</x:v>
      </x:c>
      <x:c r="D3" s="64" t="str">
        <x:f>IF(B3=C3,"Stable "&amp;C3&amp;"-dominant",B3&amp;"→"&amp;C3&amp;" transition")</x:f>
        <x:v>Stable Y-dominant</x:v>
      </x:c>
      <x:c r="E3" s="65" t="n">
        <x:f>'Point Summary'!K8</x:f>
        <x:v>0.09842</x:v>
      </x:c>
      <x:c r="F3" s="65" t="n">
        <x:f>'Point Summary'!M8</x:f>
        <x:v>0.43396</x:v>
      </x:c>
      <x:c r="G3" s="65" t="n">
        <x:f>'Point Summary'!O8</x:f>
        <x:v>0.20861</x:v>
      </x:c>
      <x:c r="H3" s="65" t="n">
        <x:f>'Point Summary'!Q8</x:f>
        <x:v>0.49177</x:v>
      </x:c>
      <x:c r="I3" s="65" t="n">
        <x:f>'Point Summary'!K13</x:f>
        <x:v>0.79395</x:v>
      </x:c>
      <x:c r="J3" s="65" t="n">
        <x:f>'Point Summary'!M13</x:f>
        <x:v>2.26703</x:v>
      </x:c>
      <x:c r="K3" s="65" t="n">
        <x:f>'Point Summary'!O13</x:f>
        <x:v>0.70313</x:v>
      </x:c>
      <x:c r="L3" s="65" t="n">
        <x:f>'Point Summary'!Q13</x:f>
        <x:v>2.50293</x:v>
      </x:c>
      <x:c r="M3" s="65" t="n">
        <x:f>L3/H3</x:f>
        <x:v>5.089635398661977</x:v>
      </x:c>
      <x:c r="N3" s="65" t="n">
        <x:f>AVERAGE('Point Summary'!AA8:AA13)</x:f>
        <x:v>0.11475333333333333</x:v>
      </x:c>
      <x:c r="O3" s="66" t="n">
        <x:f>STDEV.S('Point Summary'!AA8:AA13)/AVERAGE('Point Summary'!AA8:AA13)*100</x:f>
        <x:v>37.504538397589876</x:v>
      </x:c>
      <x:c r="P3" s="65" t="n">
        <x:f>SLOPE('Point Summary'!Q8:Q13,'Point Summary'!D8:D13)</x:f>
        <x:v>0.3954342857142857</x:v>
      </x:c>
      <x:c r="Q3" s="65" t="n">
        <x:f>INTERCEPT('Point Summary'!Q8:Q13,'Point Summary'!D8:D13)</x:f>
        <x:v>-3.442098571428571</x:v>
      </x:c>
      <x:c r="R3" s="67" t="n">
        <x:f>RSQ('Point Summary'!Q8:Q13,'Point Summary'!D8:D13)</x:f>
        <x:v>0.9977404876740913</x:v>
      </x:c>
      <x:c r="S3" s="68" t="n">
        <x:f>MAX('Point Summary'!AB8:AB13)</x:f>
        <x:v>0.017420000000001323</x:v>
      </x:c>
      <x:c r="T3" s="68" t="n">
        <x:f>AVERAGE('Raw DATA'!AP8:AP13)</x:f>
        <x:v>3.5799999999999996</x:v>
      </x:c>
      <x:c r="U3" s="68" t="n">
        <x:f>IF(C3="X",'Raw DATA'!AD13,IF(C3="Y",'Raw DATA'!AH13,'Raw DATA'!AL13))</x:f>
        <x:v>-139.3</x:v>
      </x:c>
      <x:c r="V3" s="68" t="n">
        <x:f>IF(C3="X",'Raw DATA'!AE13,IF(C3="Y",'Raw DATA'!AI13,'Raw DATA'!AM13))</x:f>
        <x:v>0.771</x:v>
      </x:c>
      <x:c r="W3" s="64" t="str">
        <x:f>IF(O3&gt;20,"Strongly amplitude-dependent / nonlinear",IF(O3&gt;7,"Moderate amplitude dependence",IF(O3&lt;=3,"Approximately proportional","Good proportionality")))</x:f>
        <x:v>Strongly amplitude-dependent / nonlinear</x:v>
      </x:c>
    </x:row>
    <x:row r="4">
      <x:c r="A4" s="63" t="n">
        <x:v>150</x:v>
      </x:c>
      <x:c r="B4" s="64" t="str">
        <x:f>IF(MAX(E4:G4)=E4,"X",IF(MAX(E4:G4)=F4,"Y","Z"))</x:f>
        <x:v>Z</x:v>
      </x:c>
      <x:c r="C4" s="64" t="str">
        <x:f>IF(MAX(I4:K4)=I4,"X",IF(MAX(I4:K4)=J4,"Y","Z"))</x:f>
        <x:v>Y</x:v>
      </x:c>
      <x:c r="D4" s="64" t="str">
        <x:f>IF(B4=C4,"Stable "&amp;C4&amp;"-dominant",B4&amp;"→"&amp;C4&amp;" transition")</x:f>
        <x:v>Z→Y transition</x:v>
      </x:c>
      <x:c r="E4" s="65" t="n">
        <x:f>'Point Summary'!K14</x:f>
        <x:v>0.02435</x:v>
      </x:c>
      <x:c r="F4" s="65" t="n">
        <x:f>'Point Summary'!M14</x:f>
        <x:v>0.10561</x:v>
      </x:c>
      <x:c r="G4" s="65" t="n">
        <x:f>'Point Summary'!O14</x:f>
        <x:v>0.14192</x:v>
      </x:c>
      <x:c r="H4" s="65" t="n">
        <x:f>'Point Summary'!Q14</x:f>
        <x:v>0.17939</x:v>
      </x:c>
      <x:c r="I4" s="65" t="n">
        <x:f>'Point Summary'!K19</x:f>
        <x:v>0.30715</x:v>
      </x:c>
      <x:c r="J4" s="65" t="n">
        <x:f>'Point Summary'!M19</x:f>
        <x:v>0.92824</x:v>
      </x:c>
      <x:c r="K4" s="65" t="n">
        <x:f>'Point Summary'!O19</x:f>
        <x:v>0.80842</x:v>
      </x:c>
      <x:c r="L4" s="65" t="n">
        <x:f>'Point Summary'!Q19</x:f>
        <x:v>1.26878</x:v>
      </x:c>
      <x:c r="M4" s="65" t="n">
        <x:f>L4/H4</x:f>
        <x:v>7.072746529906907</x:v>
      </x:c>
      <x:c r="N4" s="65" t="n">
        <x:f>AVERAGE('Point Summary'!AA14:AA19)</x:f>
        <x:v>0.04700833333333334</x:v>
      </x:c>
      <x:c r="O4" s="66" t="n">
        <x:f>STDEV.S('Point Summary'!AA14:AA19)/AVERAGE('Point Summary'!AA14:AA19)*100</x:f>
        <x:v>67.05580336980724</x:v>
      </x:c>
      <x:c r="P4" s="65" t="n">
        <x:f>SLOPE('Point Summary'!Q14:Q19,'Point Summary'!D14:D19)</x:f>
        <x:v>0.2469294285714286</x:v>
      </x:c>
      <x:c r="Q4" s="65" t="n">
        <x:f>INTERCEPT('Point Summary'!Q14:Q19,'Point Summary'!D14:D19)</x:f>
        <x:v>-2.453099523809524</x:v>
      </x:c>
      <x:c r="R4" s="67" t="n">
        <x:f>RSQ('Point Summary'!Q14:Q19,'Point Summary'!D14:D19)</x:f>
        <x:v>0.9023600018006195</x:v>
      </x:c>
      <x:c r="S4" s="68" t="n">
        <x:f>MAX('Point Summary'!AB14:AB19)</x:f>
        <x:v>0.009489999999999554</x:v>
      </x:c>
      <x:c r="T4" s="68" t="n">
        <x:f>AVERAGE('Raw DATA'!AP14:AP19)</x:f>
        <x:v>4.111666666666666</x:v>
      </x:c>
      <x:c r="U4" s="68" t="n">
        <x:f>IF(C4="X",'Raw DATA'!AD19,IF(C4="Y",'Raw DATA'!AH19,'Raw DATA'!AL19))</x:f>
        <x:v>-154.24</x:v>
      </x:c>
      <x:c r="V4" s="68" t="n">
        <x:f>IF(C4="X",'Raw DATA'!AE19,IF(C4="Y",'Raw DATA'!AI19,'Raw DATA'!AM19))</x:f>
        <x:v>0.652</x:v>
      </x:c>
      <x:c r="W4" s="64" t="str">
        <x:f>IF(O4&gt;20,"Strongly amplitude-dependent / nonlinear",IF(O4&gt;7,"Moderate amplitude dependence",IF(O4&lt;=3,"Approximately proportional","Good proportionality")))</x:f>
        <x:v>Strongly amplitude-dependent / nonlinear</x:v>
      </x:c>
    </x:row>
    <x:row r="5">
      <x:c r="A5" s="63" t="n">
        <x:v>175</x:v>
      </x:c>
      <x:c r="B5" s="64" t="str">
        <x:f>IF(MAX(E5:G5)=E5,"X",IF(MAX(E5:G5)=F5,"Y","Z"))</x:f>
        <x:v>Z</x:v>
      </x:c>
      <x:c r="C5" s="64" t="str">
        <x:f>IF(MAX(I5:K5)=I5,"X",IF(MAX(I5:K5)=J5,"Y","Z"))</x:f>
        <x:v>Z</x:v>
      </x:c>
      <x:c r="D5" s="64" t="str">
        <x:f>IF(B5=C5,"Stable "&amp;C5&amp;"-dominant",B5&amp;"→"&amp;C5&amp;" transition")</x:f>
        <x:v>Stable Z-dominant</x:v>
      </x:c>
      <x:c r="E5" s="65" t="n">
        <x:f>'Point Summary'!K20</x:f>
        <x:v>0.02837</x:v>
      </x:c>
      <x:c r="F5" s="65" t="n">
        <x:f>'Point Summary'!M20</x:f>
        <x:v>0.09323</x:v>
      </x:c>
      <x:c r="G5" s="65" t="n">
        <x:f>'Point Summary'!O20</x:f>
        <x:v>0.26175</x:v>
      </x:c>
      <x:c r="H5" s="65" t="n">
        <x:f>'Point Summary'!Q20</x:f>
        <x:v>0.27953</x:v>
      </x:c>
      <x:c r="I5" s="65" t="n">
        <x:f>'Point Summary'!K25</x:f>
        <x:v>0.02367</x:v>
      </x:c>
      <x:c r="J5" s="65" t="n">
        <x:f>'Point Summary'!M25</x:f>
        <x:v>0.19369</x:v>
      </x:c>
      <x:c r="K5" s="65" t="n">
        <x:f>'Point Summary'!O25</x:f>
        <x:v>0.48801</x:v>
      </x:c>
      <x:c r="L5" s="65" t="n">
        <x:f>'Point Summary'!Q25</x:f>
        <x:v>0.52734</x:v>
      </x:c>
      <x:c r="M5" s="65" t="n">
        <x:f>L5/H5</x:f>
        <x:v>1.8865238078202697</x:v>
      </x:c>
      <x:c r="N5" s="65" t="n">
        <x:f>AVERAGE('Point Summary'!AA20:AA25)</x:f>
        <x:v>0.03042333333333333</x:v>
      </x:c>
      <x:c r="O5" s="66" t="n">
        <x:f>STDEV.S('Point Summary'!AA20:AA25)/AVERAGE('Point Summary'!AA20:AA25)*100</x:f>
        <x:v>8.059042124743886</x:v>
      </x:c>
      <x:c r="P5" s="65" t="n">
        <x:f>SLOPE('Point Summary'!Q20:Q25,'Point Summary'!D20:D25)</x:f>
        <x:v>0.044674285714285715</x:v>
      </x:c>
      <x:c r="Q5" s="65" t="n">
        <x:f>INTERCEPT('Point Summary'!Q20:Q25,'Point Summary'!D20:D25)</x:f>
        <x:v>-0.1749485714285714</x:v>
      </x:c>
      <x:c r="R5" s="67" t="n">
        <x:f>RSQ('Point Summary'!Q20:Q25,'Point Summary'!D20:D25)</x:f>
        <x:v>0.9396948440468634</x:v>
      </x:c>
      <x:c r="S5" s="68" t="n">
        <x:f>MAX('Point Summary'!AB20:AB25)</x:f>
        <x:v>0.01830000000001064</x:v>
      </x:c>
      <x:c r="T5" s="68" t="n">
        <x:f>AVERAGE('Raw DATA'!AP20:AP25)</x:f>
        <x:v>4.451666666666667</x:v>
      </x:c>
      <x:c r="U5" s="68" t="n">
        <x:f>IF(C5="X",'Raw DATA'!AD25,IF(C5="Y",'Raw DATA'!AH25,'Raw DATA'!AL25))</x:f>
        <x:v>-161.87</x:v>
      </x:c>
      <x:c r="V5" s="68" t="n">
        <x:f>IF(C5="X",'Raw DATA'!AE25,IF(C5="Y",'Raw DATA'!AI25,'Raw DATA'!AM25))</x:f>
        <x:v>0.729</x:v>
      </x:c>
      <x:c r="W5" s="64" t="str">
        <x:f>IF(O5&gt;20,"Strongly amplitude-dependent / nonlinear",IF(O5&gt;7,"Moderate amplitude dependence",IF(O5&lt;=3,"Approximately proportional","Good proportionality")))</x:f>
        <x:v>Moderate amplitude dependence</x:v>
      </x:c>
    </x:row>
    <x:row r="6">
      <x:c r="A6" s="63" t="n">
        <x:v>200</x:v>
      </x:c>
      <x:c r="B6" s="64" t="str">
        <x:f>IF(MAX(E6:G6)=E6,"X",IF(MAX(E6:G6)=F6,"Y","Z"))</x:f>
        <x:v>Z</x:v>
      </x:c>
      <x:c r="C6" s="64" t="str">
        <x:f>IF(MAX(I6:K6)=I6,"X",IF(MAX(I6:K6)=J6,"Y","Z"))</x:f>
        <x:v>Z</x:v>
      </x:c>
      <x:c r="D6" s="64" t="str">
        <x:f>IF(B6=C6,"Stable "&amp;C6&amp;"-dominant",B6&amp;"→"&amp;C6&amp;" transition")</x:f>
        <x:v>Stable Z-dominant</x:v>
      </x:c>
      <x:c r="E6" s="65" t="n">
        <x:f>'Point Summary'!K26</x:f>
        <x:v>0.03443</x:v>
      </x:c>
      <x:c r="F6" s="65" t="n">
        <x:f>'Point Summary'!M26</x:f>
        <x:v>0.12198</x:v>
      </x:c>
      <x:c r="G6" s="65" t="n">
        <x:f>'Point Summary'!O26</x:f>
        <x:v>0.35496</x:v>
      </x:c>
      <x:c r="H6" s="65" t="n">
        <x:f>'Point Summary'!Q26</x:f>
        <x:v>0.37754</x:v>
      </x:c>
      <x:c r="I6" s="65" t="n">
        <x:f>'Point Summary'!K31</x:f>
        <x:v>0.02327</x:v>
      </x:c>
      <x:c r="J6" s="65" t="n">
        <x:f>'Point Summary'!M31</x:f>
        <x:v>0.20091</x:v>
      </x:c>
      <x:c r="K6" s="65" t="n">
        <x:f>'Point Summary'!O31</x:f>
        <x:v>0.58172</x:v>
      </x:c>
      <x:c r="L6" s="65" t="n">
        <x:f>'Point Summary'!Q31</x:f>
        <x:v>0.61603</x:v>
      </x:c>
      <x:c r="M6" s="65" t="n">
        <x:f>L6/H6</x:f>
        <x:v>1.631694654871007</x:v>
      </x:c>
      <x:c r="N6" s="65" t="n">
        <x:f>AVERAGE('Point Summary'!AA26:AA31)</x:f>
        <x:v>0.039369999999999995</x:v>
      </x:c>
      <x:c r="O6" s="66" t="n">
        <x:f>STDEV.S('Point Summary'!AA26:AA31)/AVERAGE('Point Summary'!AA26:AA31)*100</x:f>
        <x:v>3.0182699852363095</x:v>
      </x:c>
      <x:c r="P6" s="65" t="n">
        <x:f>SLOPE('Point Summary'!Q26:Q31,'Point Summary'!D26:D31)</x:f>
        <x:v>0.04690571428571429</x:v>
      </x:c>
      <x:c r="Q6" s="65" t="n">
        <x:f>INTERCEPT('Point Summary'!Q26:Q31,'Point Summary'!D26:D31)</x:f>
        <x:v>-0.09245476190476193</x:v>
      </x:c>
      <x:c r="R6" s="67" t="n">
        <x:f>RSQ('Point Summary'!Q26:Q31,'Point Summary'!D26:D31)</x:f>
        <x:v>0.9965417131133769</x:v>
      </x:c>
      <x:c r="S6" s="68" t="n">
        <x:f>MAX('Point Summary'!AB26:AB31)</x:f>
        <x:v>0.014870000000001937</x:v>
      </x:c>
      <x:c r="T6" s="68" t="n">
        <x:f>AVERAGE('Raw DATA'!AP26:AP31)</x:f>
        <x:v>4.6866666666666665</x:v>
      </x:c>
      <x:c r="U6" s="68" t="n">
        <x:f>IF(C6="X",'Raw DATA'!AD31,IF(C6="Y",'Raw DATA'!AH31,'Raw DATA'!AL31))</x:f>
        <x:v>154.86</x:v>
      </x:c>
      <x:c r="V6" s="68" t="n">
        <x:f>IF(C6="X",'Raw DATA'!AE31,IF(C6="Y",'Raw DATA'!AI31,'Raw DATA'!AM31))</x:f>
        <x:v>0.772</x:v>
      </x:c>
      <x:c r="W6" s="64" t="str">
        <x:f>IF(O6&gt;20,"Strongly amplitude-dependent / nonlinear",IF(O6&gt;7,"Moderate amplitude dependence",IF(O6&lt;=3,"Approximately proportional","Good proportionality")))</x:f>
        <x:v>Good proportionality</x:v>
      </x:c>
    </x:row>
    <x:row r="7">
      <x:c r="A7" s="63" t="n">
        <x:v>225</x:v>
      </x:c>
      <x:c r="B7" s="64" t="str">
        <x:f>IF(MAX(E7:G7)=E7,"X",IF(MAX(E7:G7)=F7,"Y","Z"))</x:f>
        <x:v>Z</x:v>
      </x:c>
      <x:c r="C7" s="64" t="str">
        <x:f>IF(MAX(I7:K7)=I7,"X",IF(MAX(I7:K7)=J7,"Y","Z"))</x:f>
        <x:v>Z</x:v>
      </x:c>
      <x:c r="D7" s="64" t="str">
        <x:f>IF(B7=C7,"Stable "&amp;C7&amp;"-dominant",B7&amp;"→"&amp;C7&amp;" transition")</x:f>
        <x:v>Stable Z-dominant</x:v>
      </x:c>
      <x:c r="E7" s="65" t="n">
        <x:f>'Point Summary'!K32</x:f>
        <x:v>0.02912</x:v>
      </x:c>
      <x:c r="F7" s="65" t="n">
        <x:f>'Point Summary'!M32</x:f>
        <x:v>0.17226</x:v>
      </x:c>
      <x:c r="G7" s="65" t="n">
        <x:f>'Point Summary'!O32</x:f>
        <x:v>0.25462</x:v>
      </x:c>
      <x:c r="H7" s="65" t="n">
        <x:f>'Point Summary'!Q32</x:f>
        <x:v>0.30934</x:v>
      </x:c>
      <x:c r="I7" s="65" t="n">
        <x:f>'Point Summary'!K37</x:f>
        <x:v>0.03635</x:v>
      </x:c>
      <x:c r="J7" s="65" t="n">
        <x:f>'Point Summary'!M37</x:f>
        <x:v>0.28218</x:v>
      </x:c>
      <x:c r="K7" s="65" t="n">
        <x:f>'Point Summary'!O37</x:f>
        <x:v>0.43474</x:v>
      </x:c>
      <x:c r="L7" s="65" t="n">
        <x:f>'Point Summary'!Q37</x:f>
        <x:v>0.51993</x:v>
      </x:c>
      <x:c r="M7" s="65" t="n">
        <x:f>L7/H7</x:f>
        <x:v>1.6807719661214198</x:v>
      </x:c>
      <x:c r="N7" s="65" t="n">
        <x:f>AVERAGE('Point Summary'!AA32:AA37)</x:f>
        <x:v>0.03358166666666667</x:v>
      </x:c>
      <x:c r="O7" s="66" t="n">
        <x:f>STDEV.S('Point Summary'!AA32:AA37)/AVERAGE('Point Summary'!AA32:AA37)*100</x:f>
        <x:v>4.083036133202521</x:v>
      </x:c>
      <x:c r="P7" s="65" t="n">
        <x:f>SLOPE('Point Summary'!Q32:Q37,'Point Summary'!D32:D37)</x:f>
        <x:v>0.040851142857142864</x:v>
      </x:c>
      <x:c r="Q7" s="65" t="n">
        <x:f>INTERCEPT('Point Summary'!Q32:Q37,'Point Summary'!D32:D37)</x:f>
        <x:v>-0.08905761904761911</x:v>
      </x:c>
      <x:c r="R7" s="67" t="n">
        <x:f>RSQ('Point Summary'!Q32:Q37,'Point Summary'!D32:D37)</x:f>
        <x:v>0.991496699408417</x:v>
      </x:c>
      <x:c r="S7" s="68" t="n">
        <x:f>MAX('Point Summary'!AB32:AB37)</x:f>
        <x:v>0.03363999999999123</x:v>
      </x:c>
      <x:c r="T7" s="68" t="n">
        <x:f>AVERAGE('Raw DATA'!AP32:AP37)</x:f>
        <x:v>4.886666666666667</x:v>
      </x:c>
      <x:c r="U7" s="68" t="n">
        <x:f>IF(C7="X",'Raw DATA'!AD37,IF(C7="Y",'Raw DATA'!AH37,'Raw DATA'!AL37))</x:f>
        <x:v>147.16</x:v>
      </x:c>
      <x:c r="V7" s="68" t="n">
        <x:f>IF(C7="X",'Raw DATA'!AE37,IF(C7="Y",'Raw DATA'!AI37,'Raw DATA'!AM37))</x:f>
        <x:v>0.673</x:v>
      </x:c>
      <x:c r="W7" s="64" t="str">
        <x:f>IF(O7&gt;20,"Strongly amplitude-dependent / nonlinear",IF(O7&gt;7,"Moderate amplitude dependence",IF(O7&lt;=3,"Approximately proportional","Good proportionality")))</x:f>
        <x:v>Good proportionality</x:v>
      </x:c>
    </x:row>
    <x:row r="8">
      <x:c r="A8" s="63" t="n">
        <x:v>250</x:v>
      </x:c>
      <x:c r="B8" s="64" t="str">
        <x:f>IF(MAX(E8:G8)=E8,"X",IF(MAX(E8:G8)=F8,"Y","Z"))</x:f>
        <x:v>Z</x:v>
      </x:c>
      <x:c r="C8" s="64" t="str">
        <x:f>IF(MAX(I8:K8)=I8,"X",IF(MAX(I8:K8)=J8,"Y","Z"))</x:f>
        <x:v>Z</x:v>
      </x:c>
      <x:c r="D8" s="64" t="str">
        <x:f>IF(B8=C8,"Stable "&amp;C8&amp;"-dominant",B8&amp;"→"&amp;C8&amp;" transition")</x:f>
        <x:v>Stable Z-dominant</x:v>
      </x:c>
      <x:c r="E8" s="65" t="n">
        <x:f>'Point Summary'!K38</x:f>
        <x:v>0.04737</x:v>
      </x:c>
      <x:c r="F8" s="65" t="n">
        <x:f>'Point Summary'!M38</x:f>
        <x:v>0.26909</x:v>
      </x:c>
      <x:c r="G8" s="65" t="n">
        <x:f>'Point Summary'!O38</x:f>
        <x:v>0.53948</x:v>
      </x:c>
      <x:c r="H8" s="65" t="n">
        <x:f>'Point Summary'!Q38</x:f>
        <x:v>0.60838</x:v>
      </x:c>
      <x:c r="I8" s="65" t="n">
        <x:f>'Point Summary'!K43</x:f>
        <x:v>0.0975</x:v>
      </x:c>
      <x:c r="J8" s="65" t="n">
        <x:f>'Point Summary'!M43</x:f>
        <x:v>0.40939</x:v>
      </x:c>
      <x:c r="K8" s="65" t="n">
        <x:f>'Point Summary'!O43</x:f>
        <x:v>0.7997</x:v>
      </x:c>
      <x:c r="L8" s="65" t="n">
        <x:f>'Point Summary'!Q43</x:f>
        <x:v>0.90656</x:v>
      </x:c>
      <x:c r="M8" s="65" t="n">
        <x:f>L8/H8</x:f>
        <x:v>1.4901213057628455</x:v>
      </x:c>
      <x:c r="N8" s="65" t="n">
        <x:f>AVERAGE('Point Summary'!AA38:AA43)</x:f>
        <x:v>0.06063166666666667</x:v>
      </x:c>
      <x:c r="O8" s="66" t="n">
        <x:f>STDEV.S('Point Summary'!AA38:AA43)/AVERAGE('Point Summary'!AA38:AA43)*100</x:f>
        <x:v>0.6182064100151987</x:v>
      </x:c>
      <x:c r="P8" s="65" t="n">
        <x:f>SLOPE('Point Summary'!Q38:Q43,'Point Summary'!D38:D43)</x:f>
        <x:v>0.06074142857142857</x:v>
      </x:c>
      <x:c r="Q8" s="65" t="n">
        <x:f>INTERCEPT('Point Summary'!Q38:Q43,'Point Summary'!D38:D43)</x:f>
        <x:v>-0.0013628571428572211</x:v>
      </x:c>
      <x:c r="R8" s="67" t="n">
        <x:f>RSQ('Point Summary'!Q38:Q43,'Point Summary'!D38:D43)</x:f>
        <x:v>0.9983106204252103</x:v>
      </x:c>
      <x:c r="S8" s="68" t="n">
        <x:f>MAX('Point Summary'!AB38:AB43)</x:f>
        <x:v>0.01944000000000301</x:v>
      </x:c>
      <x:c r="T8" s="68" t="n">
        <x:f>AVERAGE('Raw DATA'!AP38:AP43)</x:f>
        <x:v>5.8950000000000005</x:v>
      </x:c>
      <x:c r="U8" s="68" t="n">
        <x:f>IF(C8="X",'Raw DATA'!AD43,IF(C8="Y",'Raw DATA'!AH43,'Raw DATA'!AL43))</x:f>
        <x:v>130.13</x:v>
      </x:c>
      <x:c r="V8" s="68" t="n">
        <x:f>IF(C8="X",'Raw DATA'!AE43,IF(C8="Y",'Raw DATA'!AI43,'Raw DATA'!AM43))</x:f>
        <x:v>0.823</x:v>
      </x:c>
      <x:c r="W8" s="64" t="str">
        <x:f>IF(O8&gt;20,"Strongly amplitude-dependent / nonlinear",IF(O8&gt;7,"Moderate amplitude dependence",IF(O8&lt;=3,"Approximately proportional","Good proportionality")))</x:f>
        <x:v>Approximately proportional</x:v>
      </x:c>
    </x:row>
    <x:row r="9">
      <x:c r="A9" s="63" t="n">
        <x:v>275</x:v>
      </x:c>
      <x:c r="B9" s="64" t="str">
        <x:f>IF(MAX(E9:G9)=E9,"X",IF(MAX(E9:G9)=F9,"Y","Z"))</x:f>
        <x:v>Z</x:v>
      </x:c>
      <x:c r="C9" s="64" t="str">
        <x:f>IF(MAX(I9:K9)=I9,"X",IF(MAX(I9:K9)=J9,"Y","Z"))</x:f>
        <x:v>Z</x:v>
      </x:c>
      <x:c r="D9" s="64" t="str">
        <x:f>IF(B9=C9,"Stable "&amp;C9&amp;"-dominant",B9&amp;"→"&amp;C9&amp;" transition")</x:f>
        <x:v>Stable Z-dominant</x:v>
      </x:c>
      <x:c r="E9" s="65" t="n">
        <x:f>'Point Summary'!K44</x:f>
        <x:v>0.11984</x:v>
      </x:c>
      <x:c r="F9" s="65" t="n">
        <x:f>'Point Summary'!M44</x:f>
        <x:v>0.28688</x:v>
      </x:c>
      <x:c r="G9" s="65" t="n">
        <x:f>'Point Summary'!O44</x:f>
        <x:v>0.67702</x:v>
      </x:c>
      <x:c r="H9" s="65" t="n">
        <x:f>'Point Summary'!Q44</x:f>
        <x:v>0.74558</x:v>
      </x:c>
      <x:c r="I9" s="65" t="n">
        <x:f>'Point Summary'!K49</x:f>
        <x:v>0.1935</x:v>
      </x:c>
      <x:c r="J9" s="65" t="n">
        <x:f>'Point Summary'!M49</x:f>
        <x:v>0.50459</x:v>
      </x:c>
      <x:c r="K9" s="65" t="n">
        <x:f>'Point Summary'!O49</x:f>
        <x:v>1.0661</x:v>
      </x:c>
      <x:c r="L9" s="65" t="n">
        <x:f>'Point Summary'!Q49</x:f>
        <x:v>1.19635</x:v>
      </x:c>
      <x:c r="M9" s="65" t="n">
        <x:f>L9/H9</x:f>
        <x:v>1.6045897153893613</x:v>
      </x:c>
      <x:c r="N9" s="65" t="n">
        <x:f>AVERAGE('Point Summary'!AA44:AA49)</x:f>
        <x:v>0.07742666666666666</x:v>
      </x:c>
      <x:c r="O9" s="66" t="n">
        <x:f>STDEV.S('Point Summary'!AA44:AA49)/AVERAGE('Point Summary'!AA44:AA49)*100</x:f>
        <x:v>2.248900371311409</x:v>
      </x:c>
      <x:c r="P9" s="65" t="n">
        <x:f>SLOPE('Point Summary'!Q44:Q49,'Point Summary'!D44:D49)</x:f>
        <x:v>0.08781885714285716</x:v>
      </x:c>
      <x:c r="Q9" s="65" t="n">
        <x:f>INTERCEPT('Point Summary'!Q44:Q49,'Point Summary'!D44:D49)</x:f>
        <x:v>-0.12746904761904765</x:v>
      </x:c>
      <x:c r="R9" s="67" t="n">
        <x:f>RSQ('Point Summary'!Q44:Q49,'Point Summary'!D44:D49)</x:f>
        <x:v>0.9972249310602674</x:v>
      </x:c>
      <x:c r="S9" s="68" t="n">
        <x:f>MAX('Point Summary'!AB44:AB49)</x:f>
        <x:v>0.015879999999981464</x:v>
      </x:c>
      <x:c r="T9" s="68" t="n">
        <x:f>AVERAGE('Raw DATA'!AP44:AP49)</x:f>
        <x:v>2.2050000000000005</x:v>
      </x:c>
      <x:c r="U9" s="68" t="n">
        <x:f>IF(C9="X",'Raw DATA'!AD49,IF(C9="Y",'Raw DATA'!AH49,'Raw DATA'!AL49))</x:f>
        <x:v>101.38</x:v>
      </x:c>
      <x:c r="V9" s="68" t="n">
        <x:f>IF(C9="X",'Raw DATA'!AE49,IF(C9="Y",'Raw DATA'!AI49,'Raw DATA'!AM49))</x:f>
        <x:v>0.862</x:v>
      </x:c>
      <x:c r="W9" s="64" t="str">
        <x:f>IF(O9&gt;20,"Strongly amplitude-dependent / nonlinear",IF(O9&gt;7,"Moderate amplitude dependence",IF(O9&lt;=3,"Approximately proportional","Good proportionality")))</x:f>
        <x:v>Approximately proportional</x:v>
      </x:c>
    </x:row>
    <x:row r="10">
      <x:c r="A10" s="63" t="n">
        <x:v>300</x:v>
      </x:c>
      <x:c r="B10" s="64" t="str">
        <x:f>IF(MAX(E10:G10)=E10,"X",IF(MAX(E10:G10)=F10,"Y","Z"))</x:f>
        <x:v>Z</x:v>
      </x:c>
      <x:c r="C10" s="64" t="str">
        <x:f>IF(MAX(I10:K10)=I10,"X",IF(MAX(I10:K10)=J10,"Y","Z"))</x:f>
        <x:v>Z</x:v>
      </x:c>
      <x:c r="D10" s="64" t="str">
        <x:f>IF(B10=C10,"Stable "&amp;C10&amp;"-dominant",B10&amp;"→"&amp;C10&amp;" transition")</x:f>
        <x:v>Stable Z-dominant</x:v>
      </x:c>
      <x:c r="E10" s="65" t="n">
        <x:f>'Point Summary'!K50</x:f>
        <x:v>0.23242</x:v>
      </x:c>
      <x:c r="F10" s="65" t="n">
        <x:f>'Point Summary'!M50</x:f>
        <x:v>0.3742</x:v>
      </x:c>
      <x:c r="G10" s="65" t="n">
        <x:f>'Point Summary'!O50</x:f>
        <x:v>0.62642</x:v>
      </x:c>
      <x:c r="H10" s="65" t="n">
        <x:f>'Point Summary'!Q50</x:f>
        <x:v>0.76602</x:v>
      </x:c>
      <x:c r="I10" s="65" t="n">
        <x:f>'Point Summary'!K55</x:f>
        <x:v>0.37804</x:v>
      </x:c>
      <x:c r="J10" s="65" t="n">
        <x:f>'Point Summary'!M55</x:f>
        <x:v>0.63158</x:v>
      </x:c>
      <x:c r="K10" s="65" t="n">
        <x:f>'Point Summary'!O55</x:f>
        <x:v>0.87515</x:v>
      </x:c>
      <x:c r="L10" s="65" t="n">
        <x:f>'Point Summary'!Q55</x:f>
        <x:v>1.1439</x:v>
      </x:c>
      <x:c r="M10" s="65" t="n">
        <x:f>L10/H10</x:f>
        <x:v>1.4933030469178348</x:v>
      </x:c>
      <x:c r="N10" s="65" t="n">
        <x:f>AVERAGE('Point Summary'!AA50:AA55)</x:f>
        <x:v>0.07659333333333333</x:v>
      </x:c>
      <x:c r="O10" s="66" t="n">
        <x:f>STDEV.S('Point Summary'!AA50:AA55)/AVERAGE('Point Summary'!AA50:AA55)*100</x:f>
        <x:v>0.41931135997361724</x:v>
      </x:c>
      <x:c r="P10" s="65" t="n">
        <x:f>SLOPE('Point Summary'!Q50:Q55,'Point Summary'!D50:D55)</x:f>
        <x:v>0.07545942857142855</x:v>
      </x:c>
      <x:c r="Q10" s="65" t="n">
        <x:f>INTERCEPT('Point Summary'!Q50:Q55,'Point Summary'!D50:D55)</x:f>
        <x:v>0.013943809523809803</x:v>
      </x:c>
      <x:c r="R10" s="67" t="n">
        <x:f>RSQ('Point Summary'!Q50:Q55,'Point Summary'!D50:D55)</x:f>
        <x:v>0.9993654574969428</x:v>
      </x:c>
      <x:c r="S10" s="68" t="n">
        <x:f>MAX('Point Summary'!AB50:AB55)</x:f>
        <x:v>0.010839999999973315</x:v>
      </x:c>
      <x:c r="T10" s="68" t="n">
        <x:f>AVERAGE('Raw DATA'!AP50:AP55)</x:f>
        <x:v>2.18</x:v>
      </x:c>
      <x:c r="U10" s="68" t="n">
        <x:f>IF(C10="X",'Raw DATA'!AD55,IF(C10="Y",'Raw DATA'!AH55,'Raw DATA'!AL55))</x:f>
        <x:v>57.69</x:v>
      </x:c>
      <x:c r="V10" s="68" t="n">
        <x:f>IF(C10="X",'Raw DATA'!AE55,IF(C10="Y",'Raw DATA'!AI55,'Raw DATA'!AM55))</x:f>
        <x:v>0.831</x:v>
      </x:c>
      <x:c r="W10" s="64" t="str">
        <x:f>IF(O10&gt;20,"Strongly amplitude-dependent / nonlinear",IF(O10&gt;7,"Moderate amplitude dependence",IF(O10&lt;=3,"Approximately proportional","Good proportionality")))</x:f>
        <x:v>Approximately proportional</x:v>
      </x:c>
    </x:row>
    <x:row r="11">
      <x:c r="A11" s="63" t="n">
        <x:v>325</x:v>
      </x:c>
      <x:c r="B11" s="64" t="str">
        <x:f>IF(MAX(E11:G11)=E11,"X",IF(MAX(E11:G11)=F11,"Y","Z"))</x:f>
        <x:v>Y</x:v>
      </x:c>
      <x:c r="C11" s="64" t="str">
        <x:f>IF(MAX(I11:K11)=I11,"X",IF(MAX(I11:K11)=J11,"Y","Z"))</x:f>
        <x:v>Y</x:v>
      </x:c>
      <x:c r="D11" s="64" t="str">
        <x:f>IF(B11=C11,"Stable "&amp;C11&amp;"-dominant",B11&amp;"→"&amp;C11&amp;" transition")</x:f>
        <x:v>Stable Y-dominant</x:v>
      </x:c>
      <x:c r="E11" s="65" t="n">
        <x:f>'Point Summary'!K56</x:f>
        <x:v>0.28951</x:v>
      </x:c>
      <x:c r="F11" s="65" t="n">
        <x:f>'Point Summary'!M56</x:f>
        <x:v>0.46616</x:v>
      </x:c>
      <x:c r="G11" s="65" t="n">
        <x:f>'Point Summary'!O56</x:f>
        <x:v>0.09583</x:v>
      </x:c>
      <x:c r="H11" s="65" t="n">
        <x:f>'Point Summary'!Q56</x:f>
        <x:v>0.55811</x:v>
      </x:c>
      <x:c r="I11" s="65" t="n">
        <x:f>'Point Summary'!K61</x:f>
        <x:v>0.4409</x:v>
      </x:c>
      <x:c r="J11" s="65" t="n">
        <x:f>'Point Summary'!M61</x:f>
        <x:v>0.7119</x:v>
      </x:c>
      <x:c r="K11" s="65" t="n">
        <x:f>'Point Summary'!O61</x:f>
        <x:v>0.21045</x:v>
      </x:c>
      <x:c r="L11" s="65" t="n">
        <x:f>'Point Summary'!Q61</x:f>
        <x:v>0.86391</x:v>
      </x:c>
      <x:c r="M11" s="65" t="n">
        <x:f>L11/H11</x:f>
        <x:v>1.547920660801634</x:v>
      </x:c>
      <x:c r="N11" s="65" t="n">
        <x:f>AVERAGE('Point Summary'!AA56:AA61)</x:f>
        <x:v>0.05657833333333334</x:v>
      </x:c>
      <x:c r="O11" s="66" t="n">
        <x:f>STDEV.S('Point Summary'!AA56:AA61)/AVERAGE('Point Summary'!AA56:AA61)*100</x:f>
        <x:v>1.2894190591230814</x:v>
      </x:c>
      <x:c r="P11" s="65" t="n">
        <x:f>SLOPE('Point Summary'!Q56:Q61,'Point Summary'!D56:D61)</x:f>
        <x:v>0.060989714285714286</x:v>
      </x:c>
      <x:c r="Q11" s="65" t="n">
        <x:f>INTERCEPT('Point Summary'!Q56:Q61,'Point Summary'!D56:D61)</x:f>
        <x:v>-0.05412809523809525</x:v>
      </x:c>
      <x:c r="R11" s="67" t="n">
        <x:f>RSQ('Point Summary'!Q56:Q61,'Point Summary'!D56:D61)</x:f>
        <x:v>0.9979997292669341</x:v>
      </x:c>
      <x:c r="S11" s="68" t="n">
        <x:f>MAX('Point Summary'!AB56:AB61)</x:f>
        <x:v>0.014259999999978845</x:v>
      </x:c>
      <x:c r="T11" s="68" t="n">
        <x:f>AVERAGE('Raw DATA'!AP56:AP61)</x:f>
        <x:v>3.34</x:v>
      </x:c>
      <x:c r="U11" s="68" t="n">
        <x:f>IF(C11="X",'Raw DATA'!AD61,IF(C11="Y",'Raw DATA'!AH61,'Raw DATA'!AL61))</x:f>
        <x:v>-165.44</x:v>
      </x:c>
      <x:c r="V11" s="68" t="n">
        <x:f>IF(C11="X",'Raw DATA'!AE61,IF(C11="Y",'Raw DATA'!AI61,'Raw DATA'!AM61))</x:f>
        <x:v>0.603</x:v>
      </x:c>
      <x:c r="W11" s="64" t="str">
        <x:f>IF(O11&gt;20,"Strongly amplitude-dependent / nonlinear",IF(O11&gt;7,"Moderate amplitude dependence",IF(O11&lt;=3,"Approximately proportional","Good proportionality")))</x:f>
        <x:v>Approximately proportional</x:v>
      </x:c>
    </x:row>
    <x:row r="12">
      <x:c r="A12" s="63" t="n">
        <x:v>350</x:v>
      </x:c>
      <x:c r="B12" s="64" t="str">
        <x:f>IF(MAX(E12:G12)=E12,"X",IF(MAX(E12:G12)=F12,"Y","Z"))</x:f>
        <x:v>Z</x:v>
      </x:c>
      <x:c r="C12" s="64" t="str">
        <x:f>IF(MAX(I12:K12)=I12,"X",IF(MAX(I12:K12)=J12,"Y","Z"))</x:f>
        <x:v>Z</x:v>
      </x:c>
      <x:c r="D12" s="64" t="str">
        <x:f>IF(B12=C12,"Stable "&amp;C12&amp;"-dominant",B12&amp;"→"&amp;C12&amp;" transition")</x:f>
        <x:v>Stable Z-dominant</x:v>
      </x:c>
      <x:c r="E12" s="65" t="n">
        <x:f>'Point Summary'!K62</x:f>
        <x:v>0.1478</x:v>
      </x:c>
      <x:c r="F12" s="65" t="n">
        <x:f>'Point Summary'!M62</x:f>
        <x:v>0.3752</x:v>
      </x:c>
      <x:c r="G12" s="65" t="n">
        <x:f>'Point Summary'!O62</x:f>
        <x:v>0.63898</x:v>
      </x:c>
      <x:c r="H12" s="65" t="n">
        <x:f>'Point Summary'!Q62</x:f>
        <x:v>0.75772</x:v>
      </x:c>
      <x:c r="I12" s="65" t="n">
        <x:f>'Point Summary'!K67</x:f>
        <x:v>0.26629</x:v>
      </x:c>
      <x:c r="J12" s="65" t="n">
        <x:f>'Point Summary'!M67</x:f>
        <x:v>0.71421</x:v>
      </x:c>
      <x:c r="K12" s="65" t="n">
        <x:f>'Point Summary'!O67</x:f>
        <x:v>0.85805</x:v>
      </x:c>
      <x:c r="L12" s="65" t="n">
        <x:f>'Point Summary'!Q67</x:f>
        <x:v>1.14839</x:v>
      </x:c>
      <x:c r="M12" s="65" t="n">
        <x:f>L12/H12</x:f>
        <x:v>1.5155862323813547</x:v>
      </x:c>
      <x:c r="N12" s="65" t="n">
        <x:f>AVERAGE('Point Summary'!AA62:AA67)</x:f>
        <x:v>0.07529500000000001</x:v>
      </x:c>
      <x:c r="O12" s="66" t="n">
        <x:f>STDEV.S('Point Summary'!AA62:AA67)/AVERAGE('Point Summary'!AA62:AA67)*100</x:f>
        <x:v>1.2351774770329138</x:v>
      </x:c>
      <x:c r="P12" s="65" t="n">
        <x:f>SLOPE('Point Summary'!Q62:Q67,'Point Summary'!D62:D67)</x:f>
        <x:v>0.0761257142857143</x:v>
      </x:c>
      <x:c r="Q12" s="65" t="n">
        <x:f>INTERCEPT('Point Summary'!Q62:Q67,'Point Summary'!D62:D67)</x:f>
        <x:v>-0.010341428571428724</x:v>
      </x:c>
      <x:c r="R12" s="67" t="n">
        <x:f>RSQ('Point Summary'!Q62:Q67,'Point Summary'!D62:D67)</x:f>
        <x:v>0.9924227546748747</x:v>
      </x:c>
      <x:c r="S12" s="68" t="n">
        <x:f>MAX('Point Summary'!AB62:AB67)</x:f>
        <x:v>0.0302300000000173</x:v>
      </x:c>
      <x:c r="T12" s="68" t="n">
        <x:f>AVERAGE('Raw DATA'!AP62:AP67)</x:f>
        <x:v>3.3033333333333332</x:v>
      </x:c>
      <x:c r="U12" s="68" t="n">
        <x:f>IF(C12="X",'Raw DATA'!AD67,IF(C12="Y",'Raw DATA'!AH67,'Raw DATA'!AL67))</x:f>
        <x:v>76.72</x:v>
      </x:c>
      <x:c r="V12" s="68" t="n">
        <x:f>IF(C12="X",'Raw DATA'!AE67,IF(C12="Y",'Raw DATA'!AI67,'Raw DATA'!AM67))</x:f>
        <x:v>0.775</x:v>
      </x:c>
      <x:c r="W12" s="64" t="str">
        <x:f>IF(O12&gt;20,"Strongly amplitude-dependent / nonlinear",IF(O12&gt;7,"Moderate amplitude dependence",IF(O12&lt;=3,"Approximately proportional","Good proportionality")))</x:f>
        <x:v>Approximately proportional</x:v>
      </x:c>
    </x:row>
  </x:sheetData>
  <x:conditionalFormatting sqref="O2:O12">
    <x:cfRule type="colorScale" priority="1">
      <x:colorScale>
        <x:cfvo type="min"/>
        <x:cfvo type="percentile" val="50"/>
        <x:cfvo type="max"/>
        <x:color rgb="FFE2F0D9"/>
        <x:color rgb="FFFFF2CC"/>
        <x:color rgb="FFF4CCCC"/>
      </x:colorScale>
    </x:cfRule>
  </x:conditionalFormatting>
  <x:conditionalFormatting sqref="R2:R12">
    <x:cfRule type="colorScale" priority="2">
      <x:colorScale>
        <x:cfvo type="min"/>
        <x:cfvo type="percentile" val="50"/>
        <x:cfvo type="max"/>
        <x:color rgb="FFF4CCCC"/>
        <x:color rgb="FFFFF2CC"/>
        <x:color rgb="FFE2F0D9"/>
      </x:colorScale>
    </x:cfRule>
  </x:conditionalFormatting>
  <x:pageMargins left="0.7" right="0.7" top="0.75" bottom="0.75" header="0.3" footer="0.3"/>
  <x:tableParts count="1">
    <x:tablePart xmlns:r="http://schemas.openxmlformats.org/officeDocument/2006/relationships" r:id="R65e18b94b84f498f"/>
  </x:tableParts>
</x:worksheet>
</file>

<file path=xl/worksheets/sheet5.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6" hidden="0" customWidth="1"/>
    <x:col min="8" max="8" width="15" hidden="0" customWidth="1"/>
    <x:col min="9" max="9" width="15" hidden="0" customWidth="1"/>
    <x:col min="10" max="10" width="15" hidden="0" customWidth="1"/>
  </x:cols>
  <x:sheetData>
    <x:row r="1">
      <x:c r="A1" s="4" t="str">
        <x:v>Directional response map from exact-command-frequency quadrature amplitudes</x:v>
      </x:c>
      <x:c r="B1" s="4"/>
      <x:c r="C1" s="4"/>
      <x:c r="D1" s="4"/>
      <x:c r="E1" s="4"/>
      <x:c r="F1" s="4"/>
      <x:c r="G1" s="4"/>
      <x:c r="H1" s="4"/>
      <x:c r="I1" s="4"/>
      <x:c r="J1" s="4"/>
    </x:row>
    <x:row r="3">
      <x:c r="A3" s="16" t="str">
        <x:v>Frequency_Hz</x:v>
      </x:c>
      <x:c r="B3" s="16" t="str">
        <x:v>DAC</x:v>
      </x:c>
      <x:c r="C3" s="16" t="str">
        <x:v>X_A</x:v>
      </x:c>
      <x:c r="D3" s="16" t="str">
        <x:v>Y_A</x:v>
      </x:c>
      <x:c r="E3" s="16" t="str">
        <x:v>Z_A</x:v>
      </x:c>
      <x:c r="F3" s="16" t="str">
        <x:v>Total_A</x:v>
      </x:c>
      <x:c r="G3" s="16" t="str">
        <x:v>Dominant axis</x:v>
      </x:c>
      <x:c r="H3" s="16" t="str">
        <x:v>X fraction</x:v>
      </x:c>
      <x:c r="I3" s="16" t="str">
        <x:v>Y fraction</x:v>
      </x:c>
      <x:c r="J3" s="16" t="str">
        <x:v>Z fraction</x:v>
      </x:c>
    </x:row>
    <x:row r="4">
      <x:c r="A4" s="57" t="n">
        <x:v>100</x:v>
      </x:c>
      <x:c r="B4" s="57" t="n">
        <x:v>10</x:v>
      </x:c>
      <x:c r="C4" s="59" t="n">
        <x:v>0.20592</x:v>
      </x:c>
      <x:c r="D4" s="59" t="n">
        <x:v>0.11588</x:v>
      </x:c>
      <x:c r="E4" s="59" t="n">
        <x:v>0.36369</x:v>
      </x:c>
      <x:c r="F4" s="59" t="n">
        <x:v>0.434</x:v>
      </x:c>
      <x:c r="G4" s="59" t="str">
        <x:f>IF(MAX(C4:E4)=C4,"X",IF(MAX(C4:E4)=D4,"Y","Z"))</x:f>
        <x:v>Z</x:v>
      </x:c>
      <x:c r="H4" s="59" t="n">
        <x:v>0.4745</x:v>
      </x:c>
      <x:c r="I4" s="59" t="n">
        <x:v>0.267</x:v>
      </x:c>
      <x:c r="J4" s="59" t="n">
        <x:v>0.838</x:v>
      </x:c>
    </x:row>
    <x:row r="5">
      <x:c r="A5" s="57" t="n">
        <x:v>100</x:v>
      </x:c>
      <x:c r="B5" s="57" t="n">
        <x:v>11</x:v>
      </x:c>
      <x:c r="C5" s="59" t="n">
        <x:v>0.33339</x:v>
      </x:c>
      <x:c r="D5" s="59" t="n">
        <x:v>0.26494</x:v>
      </x:c>
      <x:c r="E5" s="59" t="n">
        <x:v>0.49317</x:v>
      </x:c>
      <x:c r="F5" s="59" t="n">
        <x:v>0.65179</x:v>
      </x:c>
      <x:c r="G5" s="59" t="str">
        <x:f>IF(MAX(C5:E5)=C5,"X",IF(MAX(C5:E5)=D5,"Y","Z"))</x:f>
        <x:v>Z</x:v>
      </x:c>
      <x:c r="H5" s="59" t="n">
        <x:v>0.5115</x:v>
      </x:c>
      <x:c r="I5" s="59" t="n">
        <x:v>0.4065</x:v>
      </x:c>
      <x:c r="J5" s="59" t="n">
        <x:v>0.7566</x:v>
      </x:c>
    </x:row>
    <x:row r="6">
      <x:c r="A6" s="57" t="n">
        <x:v>100</x:v>
      </x:c>
      <x:c r="B6" s="57" t="n">
        <x:v>12</x:v>
      </x:c>
      <x:c r="C6" s="59" t="n">
        <x:v>1.19863</x:v>
      </x:c>
      <x:c r="D6" s="59" t="n">
        <x:v>1.07706</x:v>
      </x:c>
      <x:c r="E6" s="59" t="n">
        <x:v>0.85251</x:v>
      </x:c>
      <x:c r="F6" s="59" t="n">
        <x:v>1.82322</x:v>
      </x:c>
      <x:c r="G6" s="59" t="str">
        <x:f>IF(MAX(C6:E6)=C6,"X",IF(MAX(C6:E6)=D6,"Y","Z"))</x:f>
        <x:v>X</x:v>
      </x:c>
      <x:c r="H6" s="59" t="n">
        <x:v>0.6574</x:v>
      </x:c>
      <x:c r="I6" s="59" t="n">
        <x:v>0.5907</x:v>
      </x:c>
      <x:c r="J6" s="59" t="n">
        <x:v>0.4676</x:v>
      </x:c>
    </x:row>
    <x:row r="7">
      <x:c r="A7" s="57" t="n">
        <x:v>100</x:v>
      </x:c>
      <x:c r="B7" s="57" t="n">
        <x:v>13</x:v>
      </x:c>
      <x:c r="C7" s="59" t="n">
        <x:v>1.46801</x:v>
      </x:c>
      <x:c r="D7" s="59" t="n">
        <x:v>1.23041</x:v>
      </x:c>
      <x:c r="E7" s="59" t="n">
        <x:v>0.97872</x:v>
      </x:c>
      <x:c r="F7" s="59" t="n">
        <x:v>2.15533</x:v>
      </x:c>
      <x:c r="G7" s="59" t="str">
        <x:f>IF(MAX(C7:E7)=C7,"X",IF(MAX(C7:E7)=D7,"Y","Z"))</x:f>
        <x:v>X</x:v>
      </x:c>
      <x:c r="H7" s="59" t="n">
        <x:v>0.6811</x:v>
      </x:c>
      <x:c r="I7" s="59" t="n">
        <x:v>0.5709</x:v>
      </x:c>
      <x:c r="J7" s="59" t="n">
        <x:v>0.4541</x:v>
      </x:c>
    </x:row>
    <x:row r="8">
      <x:c r="A8" s="57" t="n">
        <x:v>100</x:v>
      </x:c>
      <x:c r="B8" s="57" t="n">
        <x:v>14</x:v>
      </x:c>
      <x:c r="C8" s="59" t="n">
        <x:v>2.16977</x:v>
      </x:c>
      <x:c r="D8" s="59" t="n">
        <x:v>1.8301</x:v>
      </x:c>
      <x:c r="E8" s="59" t="n">
        <x:v>1.38395</x:v>
      </x:c>
      <x:c r="F8" s="59" t="n">
        <x:v>3.15806</x:v>
      </x:c>
      <x:c r="G8" s="59" t="str">
        <x:f>IF(MAX(C8:E8)=C8,"X",IF(MAX(C8:E8)=D8,"Y","Z"))</x:f>
        <x:v>X</x:v>
      </x:c>
      <x:c r="H8" s="59" t="n">
        <x:v>0.6871</x:v>
      </x:c>
      <x:c r="I8" s="59" t="n">
        <x:v>0.5795</x:v>
      </x:c>
      <x:c r="J8" s="59" t="n">
        <x:v>0.4382</x:v>
      </x:c>
    </x:row>
    <x:row r="9">
      <x:c r="A9" s="57" t="n">
        <x:v>100</x:v>
      </x:c>
      <x:c r="B9" s="57" t="n">
        <x:v>15</x:v>
      </x:c>
      <x:c r="C9" s="59" t="n">
        <x:v>2.31402</x:v>
      </x:c>
      <x:c r="D9" s="59" t="n">
        <x:v>2.05378</x:v>
      </x:c>
      <x:c r="E9" s="59" t="n">
        <x:v>1.57215</x:v>
      </x:c>
      <x:c r="F9" s="59" t="n">
        <x:v>3.47061</x:v>
      </x:c>
      <x:c r="G9" s="59" t="str">
        <x:f>IF(MAX(C9:E9)=C9,"X",IF(MAX(C9:E9)=D9,"Y","Z"))</x:f>
        <x:v>X</x:v>
      </x:c>
      <x:c r="H9" s="59" t="n">
        <x:v>0.6667</x:v>
      </x:c>
      <x:c r="I9" s="59" t="n">
        <x:v>0.5918</x:v>
      </x:c>
      <x:c r="J9" s="59" t="n">
        <x:v>0.453</x:v>
      </x:c>
    </x:row>
    <x:row r="10">
      <x:c r="A10" s="57" t="n">
        <x:v>125</x:v>
      </x:c>
      <x:c r="B10" s="57" t="n">
        <x:v>10</x:v>
      </x:c>
      <x:c r="C10" s="59" t="n">
        <x:v>0.09842</x:v>
      </x:c>
      <x:c r="D10" s="59" t="n">
        <x:v>0.43396</x:v>
      </x:c>
      <x:c r="E10" s="59" t="n">
        <x:v>0.20861</x:v>
      </x:c>
      <x:c r="F10" s="59" t="n">
        <x:v>0.49177</x:v>
      </x:c>
      <x:c r="G10" s="59" t="str">
        <x:f>IF(MAX(C10:E10)=C10,"X",IF(MAX(C10:E10)=D10,"Y","Z"))</x:f>
        <x:v>Y</x:v>
      </x:c>
      <x:c r="H10" s="59" t="n">
        <x:v>0.2001</x:v>
      </x:c>
      <x:c r="I10" s="59" t="n">
        <x:v>0.8825</x:v>
      </x:c>
      <x:c r="J10" s="59" t="n">
        <x:v>0.4242</x:v>
      </x:c>
    </x:row>
    <x:row r="11">
      <x:c r="A11" s="57" t="n">
        <x:v>125</x:v>
      </x:c>
      <x:c r="B11" s="57" t="n">
        <x:v>11</x:v>
      </x:c>
      <x:c r="C11" s="59" t="n">
        <x:v>0.26609</x:v>
      </x:c>
      <x:c r="D11" s="59" t="n">
        <x:v>0.85828</x:v>
      </x:c>
      <x:c r="E11" s="59" t="n">
        <x:v>0.3371</x:v>
      </x:c>
      <x:c r="F11" s="59" t="n">
        <x:v>0.95987</x:v>
      </x:c>
      <x:c r="G11" s="59" t="str">
        <x:f>IF(MAX(C11:E11)=C11,"X",IF(MAX(C11:E11)=D11,"Y","Z"))</x:f>
        <x:v>Y</x:v>
      </x:c>
      <x:c r="H11" s="59" t="n">
        <x:v>0.2772</x:v>
      </x:c>
      <x:c r="I11" s="59" t="n">
        <x:v>0.8942</x:v>
      </x:c>
      <x:c r="J11" s="59" t="n">
        <x:v>0.3512</x:v>
      </x:c>
    </x:row>
    <x:row r="12">
      <x:c r="A12" s="57" t="n">
        <x:v>125</x:v>
      </x:c>
      <x:c r="B12" s="57" t="n">
        <x:v>12</x:v>
      </x:c>
      <x:c r="C12" s="59" t="n">
        <x:v>0.36782</x:v>
      </x:c>
      <x:c r="D12" s="59" t="n">
        <x:v>1.13109</x:v>
      </x:c>
      <x:c r="E12" s="59" t="n">
        <x:v>0.4202</x:v>
      </x:c>
      <x:c r="F12" s="59" t="n">
        <x:v>1.26153</x:v>
      </x:c>
      <x:c r="G12" s="59" t="str">
        <x:f>IF(MAX(C12:E12)=C12,"X",IF(MAX(C12:E12)=D12,"Y","Z"))</x:f>
        <x:v>Y</x:v>
      </x:c>
      <x:c r="H12" s="59" t="n">
        <x:v>0.2916</x:v>
      </x:c>
      <x:c r="I12" s="59" t="n">
        <x:v>0.8966</x:v>
      </x:c>
      <x:c r="J12" s="59" t="n">
        <x:v>0.3331</x:v>
      </x:c>
    </x:row>
    <x:row r="13">
      <x:c r="A13" s="57" t="n">
        <x:v>125</x:v>
      </x:c>
      <x:c r="B13" s="57" t="n">
        <x:v>13</x:v>
      </x:c>
      <x:c r="C13" s="59" t="n">
        <x:v>0.50899</x:v>
      </x:c>
      <x:c r="D13" s="59" t="n">
        <x:v>1.56406</x:v>
      </x:c>
      <x:c r="E13" s="59" t="n">
        <x:v>0.50429</x:v>
      </x:c>
      <x:c r="F13" s="59" t="n">
        <x:v>1.72055</x:v>
      </x:c>
      <x:c r="G13" s="59" t="str">
        <x:f>IF(MAX(C13:E13)=C13,"X",IF(MAX(C13:E13)=D13,"Y","Z"))</x:f>
        <x:v>Y</x:v>
      </x:c>
      <x:c r="H13" s="59" t="n">
        <x:v>0.2958</x:v>
      </x:c>
      <x:c r="I13" s="59" t="n">
        <x:v>0.909</x:v>
      </x:c>
      <x:c r="J13" s="59" t="n">
        <x:v>0.2931</x:v>
      </x:c>
    </x:row>
    <x:row r="14">
      <x:c r="A14" s="57" t="n">
        <x:v>125</x:v>
      </x:c>
      <x:c r="B14" s="57" t="n">
        <x:v>14</x:v>
      </x:c>
      <x:c r="C14" s="59" t="n">
        <x:v>0.63429</x:v>
      </x:c>
      <x:c r="D14" s="59" t="n">
        <x:v>1.87806</x:v>
      </x:c>
      <x:c r="E14" s="59" t="n">
        <x:v>0.5902</x:v>
      </x:c>
      <x:c r="F14" s="59" t="n">
        <x:v>2.06833</x:v>
      </x:c>
      <x:c r="G14" s="59" t="str">
        <x:f>IF(MAX(C14:E14)=C14,"X",IF(MAX(C14:E14)=D14,"Y","Z"))</x:f>
        <x:v>Y</x:v>
      </x:c>
      <x:c r="H14" s="59" t="n">
        <x:v>0.3067</x:v>
      </x:c>
      <x:c r="I14" s="59" t="n">
        <x:v>0.908</x:v>
      </x:c>
      <x:c r="J14" s="59" t="n">
        <x:v>0.2854</x:v>
      </x:c>
    </x:row>
    <x:row r="15">
      <x:c r="A15" s="57" t="n">
        <x:v>125</x:v>
      </x:c>
      <x:c r="B15" s="57" t="n">
        <x:v>15</x:v>
      </x:c>
      <x:c r="C15" s="59" t="n">
        <x:v>0.79395</x:v>
      </x:c>
      <x:c r="D15" s="59" t="n">
        <x:v>2.26703</x:v>
      </x:c>
      <x:c r="E15" s="59" t="n">
        <x:v>0.70313</x:v>
      </x:c>
      <x:c r="F15" s="59" t="n">
        <x:v>2.50293</x:v>
      </x:c>
      <x:c r="G15" s="59" t="str">
        <x:f>IF(MAX(C15:E15)=C15,"X",IF(MAX(C15:E15)=D15,"Y","Z"))</x:f>
        <x:v>Y</x:v>
      </x:c>
      <x:c r="H15" s="59" t="n">
        <x:v>0.3172</x:v>
      </x:c>
      <x:c r="I15" s="59" t="n">
        <x:v>0.9057</x:v>
      </x:c>
      <x:c r="J15" s="59" t="n">
        <x:v>0.2809</x:v>
      </x:c>
    </x:row>
    <x:row r="16">
      <x:c r="A16" s="57" t="n">
        <x:v>150</x:v>
      </x:c>
      <x:c r="B16" s="57" t="n">
        <x:v>10</x:v>
      </x:c>
      <x:c r="C16" s="59" t="n">
        <x:v>0.02435</x:v>
      </x:c>
      <x:c r="D16" s="59" t="n">
        <x:v>0.10561</x:v>
      </x:c>
      <x:c r="E16" s="59" t="n">
        <x:v>0.14192</x:v>
      </x:c>
      <x:c r="F16" s="59" t="n">
        <x:v>0.17939</x:v>
      </x:c>
      <x:c r="G16" s="59" t="str">
        <x:f>IF(MAX(C16:E16)=C16,"X",IF(MAX(C16:E16)=D16,"Y","Z"))</x:f>
        <x:v>Z</x:v>
      </x:c>
      <x:c r="H16" s="59" t="n">
        <x:v>0.1357</x:v>
      </x:c>
      <x:c r="I16" s="59" t="n">
        <x:v>0.5887</x:v>
      </x:c>
      <x:c r="J16" s="59" t="n">
        <x:v>0.7911</x:v>
      </x:c>
    </x:row>
    <x:row r="17">
      <x:c r="A17" s="57" t="n">
        <x:v>150</x:v>
      </x:c>
      <x:c r="B17" s="57" t="n">
        <x:v>11</x:v>
      </x:c>
      <x:c r="C17" s="59" t="n">
        <x:v>0.02371</x:v>
      </x:c>
      <x:c r="D17" s="59" t="n">
        <x:v>0.12261</x:v>
      </x:c>
      <x:c r="E17" s="59" t="n">
        <x:v>0.16514</x:v>
      </x:c>
      <x:c r="F17" s="59" t="n">
        <x:v>0.20766</x:v>
      </x:c>
      <x:c r="G17" s="59" t="str">
        <x:f>IF(MAX(C17:E17)=C17,"X",IF(MAX(C17:E17)=D17,"Y","Z"))</x:f>
        <x:v>Z</x:v>
      </x:c>
      <x:c r="H17" s="59" t="n">
        <x:v>0.1142</x:v>
      </x:c>
      <x:c r="I17" s="59" t="n">
        <x:v>0.5905</x:v>
      </x:c>
      <x:c r="J17" s="59" t="n">
        <x:v>0.7952</x:v>
      </x:c>
    </x:row>
    <x:row r="18">
      <x:c r="A18" s="57" t="n">
        <x:v>150</x:v>
      </x:c>
      <x:c r="B18" s="57" t="n">
        <x:v>12</x:v>
      </x:c>
      <x:c r="C18" s="59" t="n">
        <x:v>0.03756</x:v>
      </x:c>
      <x:c r="D18" s="59" t="n">
        <x:v>0.13965</x:v>
      </x:c>
      <x:c r="E18" s="59" t="n">
        <x:v>0.18543</x:v>
      </x:c>
      <x:c r="F18" s="59" t="n">
        <x:v>0.23703</x:v>
      </x:c>
      <x:c r="G18" s="59" t="str">
        <x:f>IF(MAX(C18:E18)=C18,"X",IF(MAX(C18:E18)=D18,"Y","Z"))</x:f>
        <x:v>Z</x:v>
      </x:c>
      <x:c r="H18" s="59" t="n">
        <x:v>0.1585</x:v>
      </x:c>
      <x:c r="I18" s="59" t="n">
        <x:v>0.5892</x:v>
      </x:c>
      <x:c r="J18" s="59" t="n">
        <x:v>0.7823</x:v>
      </x:c>
    </x:row>
    <x:row r="19">
      <x:c r="A19" s="57" t="n">
        <x:v>150</x:v>
      </x:c>
      <x:c r="B19" s="57" t="n">
        <x:v>13</x:v>
      </x:c>
      <x:c r="C19" s="59" t="n">
        <x:v>0.15517</x:v>
      </x:c>
      <x:c r="D19" s="59" t="n">
        <x:v>0.57488</x:v>
      </x:c>
      <x:c r="E19" s="59" t="n">
        <x:v>0.58432</x:v>
      </x:c>
      <x:c r="F19" s="59" t="n">
        <x:v>0.83458</x:v>
      </x:c>
      <x:c r="G19" s="59" t="str">
        <x:f>IF(MAX(C19:E19)=C19,"X",IF(MAX(C19:E19)=D19,"Y","Z"))</x:f>
        <x:v>Z</x:v>
      </x:c>
      <x:c r="H19" s="59" t="n">
        <x:v>0.1859</x:v>
      </x:c>
      <x:c r="I19" s="59" t="n">
        <x:v>0.6888</x:v>
      </x:c>
      <x:c r="J19" s="59" t="n">
        <x:v>0.7001</x:v>
      </x:c>
    </x:row>
    <x:row r="20">
      <x:c r="A20" s="57" t="n">
        <x:v>150</x:v>
      </x:c>
      <x:c r="B20" s="57" t="n">
        <x:v>14</x:v>
      </x:c>
      <x:c r="C20" s="59" t="n">
        <x:v>0.2403</x:v>
      </x:c>
      <x:c r="D20" s="59" t="n">
        <x:v>0.76388</x:v>
      </x:c>
      <x:c r="E20" s="59" t="n">
        <x:v>0.71499</x:v>
      </x:c>
      <x:c r="F20" s="59" t="n">
        <x:v>1.07367</x:v>
      </x:c>
      <x:c r="G20" s="59" t="str">
        <x:f>IF(MAX(C20:E20)=C20,"X",IF(MAX(C20:E20)=D20,"Y","Z"))</x:f>
        <x:v>Y</x:v>
      </x:c>
      <x:c r="H20" s="59" t="n">
        <x:v>0.2238</x:v>
      </x:c>
      <x:c r="I20" s="59" t="n">
        <x:v>0.7115</x:v>
      </x:c>
      <x:c r="J20" s="59" t="n">
        <x:v>0.6659</x:v>
      </x:c>
    </x:row>
    <x:row r="21">
      <x:c r="A21" s="57" t="n">
        <x:v>150</x:v>
      </x:c>
      <x:c r="B21" s="57" t="n">
        <x:v>15</x:v>
      </x:c>
      <x:c r="C21" s="59" t="n">
        <x:v>0.30715</x:v>
      </x:c>
      <x:c r="D21" s="59" t="n">
        <x:v>0.92824</x:v>
      </x:c>
      <x:c r="E21" s="59" t="n">
        <x:v>0.80842</x:v>
      </x:c>
      <x:c r="F21" s="59" t="n">
        <x:v>1.26878</x:v>
      </x:c>
      <x:c r="G21" s="59" t="str">
        <x:f>IF(MAX(C21:E21)=C21,"X",IF(MAX(C21:E21)=D21,"Y","Z"))</x:f>
        <x:v>Y</x:v>
      </x:c>
      <x:c r="H21" s="59" t="n">
        <x:v>0.2421</x:v>
      </x:c>
      <x:c r="I21" s="59" t="n">
        <x:v>0.7316</x:v>
      </x:c>
      <x:c r="J21" s="59" t="n">
        <x:v>0.6372</x:v>
      </x:c>
    </x:row>
    <x:row r="22">
      <x:c r="A22" s="57" t="n">
        <x:v>175</x:v>
      </x:c>
      <x:c r="B22" s="57" t="n">
        <x:v>10</x:v>
      </x:c>
      <x:c r="C22" s="59" t="n">
        <x:v>0.02837</x:v>
      </x:c>
      <x:c r="D22" s="59" t="n">
        <x:v>0.09323</x:v>
      </x:c>
      <x:c r="E22" s="59" t="n">
        <x:v>0.26175</x:v>
      </x:c>
      <x:c r="F22" s="59" t="n">
        <x:v>0.27953</x:v>
      </x:c>
      <x:c r="G22" s="59" t="str">
        <x:f>IF(MAX(C22:E22)=C22,"X",IF(MAX(C22:E22)=D22,"Y","Z"))</x:f>
        <x:v>Z</x:v>
      </x:c>
      <x:c r="H22" s="59" t="n">
        <x:v>0.1015</x:v>
      </x:c>
      <x:c r="I22" s="59" t="n">
        <x:v>0.3335</x:v>
      </x:c>
      <x:c r="J22" s="59" t="n">
        <x:v>0.9364</x:v>
      </x:c>
    </x:row>
    <x:row r="23">
      <x:c r="A23" s="57" t="n">
        <x:v>175</x:v>
      </x:c>
      <x:c r="B23" s="57" t="n">
        <x:v>11</x:v>
      </x:c>
      <x:c r="C23" s="59" t="n">
        <x:v>0.01662</x:v>
      </x:c>
      <x:c r="D23" s="59" t="n">
        <x:v>0.10453</x:v>
      </x:c>
      <x:c r="E23" s="59" t="n">
        <x:v>0.30712</x:v>
      </x:c>
      <x:c r="F23" s="59" t="n">
        <x:v>0.32541</x:v>
      </x:c>
      <x:c r="G23" s="59" t="str">
        <x:f>IF(MAX(C23:E23)=C23,"X",IF(MAX(C23:E23)=D23,"Y","Z"))</x:f>
        <x:v>Z</x:v>
      </x:c>
      <x:c r="H23" s="59" t="n">
        <x:v>0.0511</x:v>
      </x:c>
      <x:c r="I23" s="59" t="n">
        <x:v>0.3212</x:v>
      </x:c>
      <x:c r="J23" s="59" t="n">
        <x:v>0.9438</x:v>
      </x:c>
    </x:row>
    <x:row r="24">
      <x:c r="A24" s="57" t="n">
        <x:v>175</x:v>
      </x:c>
      <x:c r="B24" s="57" t="n">
        <x:v>12</x:v>
      </x:c>
      <x:c r="C24" s="59" t="n">
        <x:v>0.02519</x:v>
      </x:c>
      <x:c r="D24" s="59" t="n">
        <x:v>0.12771</x:v>
      </x:c>
      <x:c r="E24" s="59" t="n">
        <x:v>0.3308</x:v>
      </x:c>
      <x:c r="F24" s="59" t="n">
        <x:v>0.35621</x:v>
      </x:c>
      <x:c r="G24" s="59" t="str">
        <x:f>IF(MAX(C24:E24)=C24,"X",IF(MAX(C24:E24)=D24,"Y","Z"))</x:f>
        <x:v>Z</x:v>
      </x:c>
      <x:c r="H24" s="59" t="n">
        <x:v>0.0707</x:v>
      </x:c>
      <x:c r="I24" s="59" t="n">
        <x:v>0.3585</x:v>
      </x:c>
      <x:c r="J24" s="59" t="n">
        <x:v>0.9287</x:v>
      </x:c>
    </x:row>
    <x:row r="25">
      <x:c r="A25" s="57" t="n">
        <x:v>175</x:v>
      </x:c>
      <x:c r="B25" s="57" t="n">
        <x:v>13</x:v>
      </x:c>
      <x:c r="C25" s="59" t="n">
        <x:v>0.02312</x:v>
      </x:c>
      <x:c r="D25" s="59" t="n">
        <x:v>0.14219</x:v>
      </x:c>
      <x:c r="E25" s="59" t="n">
        <x:v>0.36051</x:v>
      </x:c>
      <x:c r="F25" s="59" t="n">
        <x:v>0.39009</x:v>
      </x:c>
      <x:c r="G25" s="59" t="str">
        <x:f>IF(MAX(C25:E25)=C25,"X",IF(MAX(C25:E25)=D25,"Y","Z"))</x:f>
        <x:v>Z</x:v>
      </x:c>
      <x:c r="H25" s="59" t="n">
        <x:v>0.0593</x:v>
      </x:c>
      <x:c r="I25" s="59" t="n">
        <x:v>0.3645</x:v>
      </x:c>
      <x:c r="J25" s="59" t="n">
        <x:v>0.9242</x:v>
      </x:c>
    </x:row>
    <x:row r="26">
      <x:c r="A26" s="57" t="n">
        <x:v>175</x:v>
      </x:c>
      <x:c r="B26" s="57" t="n">
        <x:v>14</x:v>
      </x:c>
      <x:c r="C26" s="59" t="n">
        <x:v>0.02677</x:v>
      </x:c>
      <x:c r="D26" s="59" t="n">
        <x:v>0.15306</x:v>
      </x:c>
      <x:c r="E26" s="59" t="n">
        <x:v>0.39136</x:v>
      </x:c>
      <x:c r="F26" s="59" t="n">
        <x:v>0.4223</x:v>
      </x:c>
      <x:c r="G26" s="59" t="str">
        <x:f>IF(MAX(C26:E26)=C26,"X",IF(MAX(C26:E26)=D26,"Y","Z"))</x:f>
        <x:v>Z</x:v>
      </x:c>
      <x:c r="H26" s="59" t="n">
        <x:v>0.0634</x:v>
      </x:c>
      <x:c r="I26" s="59" t="n">
        <x:v>0.3625</x:v>
      </x:c>
      <x:c r="J26" s="59" t="n">
        <x:v>0.9267</x:v>
      </x:c>
    </x:row>
    <x:row r="27">
      <x:c r="A27" s="57" t="n">
        <x:v>175</x:v>
      </x:c>
      <x:c r="B27" s="57" t="n">
        <x:v>15</x:v>
      </x:c>
      <x:c r="C27" s="59" t="n">
        <x:v>0.02367</x:v>
      </x:c>
      <x:c r="D27" s="59" t="n">
        <x:v>0.19369</x:v>
      </x:c>
      <x:c r="E27" s="59" t="n">
        <x:v>0.48801</x:v>
      </x:c>
      <x:c r="F27" s="59" t="n">
        <x:v>0.52734</x:v>
      </x:c>
      <x:c r="G27" s="59" t="str">
        <x:f>IF(MAX(C27:E27)=C27,"X",IF(MAX(C27:E27)=D27,"Y","Z"))</x:f>
        <x:v>Z</x:v>
      </x:c>
      <x:c r="H27" s="59" t="n">
        <x:v>0.0449</x:v>
      </x:c>
      <x:c r="I27" s="59" t="n">
        <x:v>0.3673</x:v>
      </x:c>
      <x:c r="J27" s="59" t="n">
        <x:v>0.9254</x:v>
      </x:c>
    </x:row>
    <x:row r="28">
      <x:c r="A28" s="57" t="n">
        <x:v>200</x:v>
      </x:c>
      <x:c r="B28" s="57" t="n">
        <x:v>10</x:v>
      </x:c>
      <x:c r="C28" s="59" t="n">
        <x:v>0.03443</x:v>
      </x:c>
      <x:c r="D28" s="59" t="n">
        <x:v>0.12198</x:v>
      </x:c>
      <x:c r="E28" s="59" t="n">
        <x:v>0.35496</x:v>
      </x:c>
      <x:c r="F28" s="59" t="n">
        <x:v>0.37754</x:v>
      </x:c>
      <x:c r="G28" s="59" t="str">
        <x:f>IF(MAX(C28:E28)=C28,"X",IF(MAX(C28:E28)=D28,"Y","Z"))</x:f>
        <x:v>Z</x:v>
      </x:c>
      <x:c r="H28" s="59" t="n">
        <x:v>0.0912</x:v>
      </x:c>
      <x:c r="I28" s="59" t="n">
        <x:v>0.3231</x:v>
      </x:c>
      <x:c r="J28" s="59" t="n">
        <x:v>0.9402</x:v>
      </x:c>
    </x:row>
    <x:row r="29">
      <x:c r="A29" s="57" t="n">
        <x:v>200</x:v>
      </x:c>
      <x:c r="B29" s="57" t="n">
        <x:v>11</x:v>
      </x:c>
      <x:c r="C29" s="59" t="n">
        <x:v>0.02802</x:v>
      </x:c>
      <x:c r="D29" s="59" t="n">
        <x:v>0.14224</x:v>
      </x:c>
      <x:c r="E29" s="59" t="n">
        <x:v>0.39975</x:v>
      </x:c>
      <x:c r="F29" s="59" t="n">
        <x:v>0.42565</x:v>
      </x:c>
      <x:c r="G29" s="59" t="str">
        <x:f>IF(MAX(C29:E29)=C29,"X",IF(MAX(C29:E29)=D29,"Y","Z"))</x:f>
        <x:v>Z</x:v>
      </x:c>
      <x:c r="H29" s="59" t="n">
        <x:v>0.0658</x:v>
      </x:c>
      <x:c r="I29" s="59" t="n">
        <x:v>0.3342</x:v>
      </x:c>
      <x:c r="J29" s="59" t="n">
        <x:v>0.9392</x:v>
      </x:c>
    </x:row>
    <x:row r="30">
      <x:c r="A30" s="57" t="n">
        <x:v>200</x:v>
      </x:c>
      <x:c r="B30" s="57" t="n">
        <x:v>12</x:v>
      </x:c>
      <x:c r="C30" s="59" t="n">
        <x:v>0.02202</x:v>
      </x:c>
      <x:c r="D30" s="59" t="n">
        <x:v>0.14342</x:v>
      </x:c>
      <x:c r="E30" s="59" t="n">
        <x:v>0.44218</x:v>
      </x:c>
      <x:c r="F30" s="59" t="n">
        <x:v>0.46547</x:v>
      </x:c>
      <x:c r="G30" s="59" t="str">
        <x:f>IF(MAX(C30:E30)=C30,"X",IF(MAX(C30:E30)=D30,"Y","Z"))</x:f>
        <x:v>Z</x:v>
      </x:c>
      <x:c r="H30" s="59" t="n">
        <x:v>0.0473</x:v>
      </x:c>
      <x:c r="I30" s="59" t="n">
        <x:v>0.3081</x:v>
      </x:c>
      <x:c r="J30" s="59" t="n">
        <x:v>0.95</x:v>
      </x:c>
    </x:row>
    <x:row r="31">
      <x:c r="A31" s="57" t="n">
        <x:v>200</x:v>
      </x:c>
      <x:c r="B31" s="57" t="n">
        <x:v>13</x:v>
      </x:c>
      <x:c r="C31" s="59" t="n">
        <x:v>0.01348</x:v>
      </x:c>
      <x:c r="D31" s="59" t="n">
        <x:v>0.17755</x:v>
      </x:c>
      <x:c r="E31" s="59" t="n">
        <x:v>0.49018</x:v>
      </x:c>
      <x:c r="F31" s="59" t="n">
        <x:v>0.52193</x:v>
      </x:c>
      <x:c r="G31" s="59" t="str">
        <x:f>IF(MAX(C31:E31)=C31,"X",IF(MAX(C31:E31)=D31,"Y","Z"))</x:f>
        <x:v>Z</x:v>
      </x:c>
      <x:c r="H31" s="59" t="n">
        <x:v>0.0258</x:v>
      </x:c>
      <x:c r="I31" s="59" t="n">
        <x:v>0.3402</x:v>
      </x:c>
      <x:c r="J31" s="59" t="n">
        <x:v>0.9392</x:v>
      </x:c>
    </x:row>
    <x:row r="32">
      <x:c r="A32" s="57" t="n">
        <x:v>200</x:v>
      </x:c>
      <x:c r="B32" s="57" t="n">
        <x:v>14</x:v>
      </x:c>
      <x:c r="C32" s="59" t="n">
        <x:v>0.01617</x:v>
      </x:c>
      <x:c r="D32" s="59" t="n">
        <x:v>0.18289</x:v>
      </x:c>
      <x:c r="E32" s="59" t="n">
        <x:v>0.5253</x:v>
      </x:c>
      <x:c r="F32" s="59" t="n">
        <x:v>0.55658</x:v>
      </x:c>
      <x:c r="G32" s="59" t="str">
        <x:f>IF(MAX(C32:E32)=C32,"X",IF(MAX(C32:E32)=D32,"Y","Z"))</x:f>
        <x:v>Z</x:v>
      </x:c>
      <x:c r="H32" s="59" t="n">
        <x:v>0.029</x:v>
      </x:c>
      <x:c r="I32" s="59" t="n">
        <x:v>0.3286</x:v>
      </x:c>
      <x:c r="J32" s="59" t="n">
        <x:v>0.9438</x:v>
      </x:c>
    </x:row>
    <x:row r="33">
      <x:c r="A33" s="57" t="n">
        <x:v>200</x:v>
      </x:c>
      <x:c r="B33" s="57" t="n">
        <x:v>15</x:v>
      </x:c>
      <x:c r="C33" s="59" t="n">
        <x:v>0.02327</x:v>
      </x:c>
      <x:c r="D33" s="59" t="n">
        <x:v>0.20091</x:v>
      </x:c>
      <x:c r="E33" s="59" t="n">
        <x:v>0.58172</x:v>
      </x:c>
      <x:c r="F33" s="59" t="n">
        <x:v>0.61603</x:v>
      </x:c>
      <x:c r="G33" s="59" t="str">
        <x:f>IF(MAX(C33:E33)=C33,"X",IF(MAX(C33:E33)=D33,"Y","Z"))</x:f>
        <x:v>Z</x:v>
      </x:c>
      <x:c r="H33" s="59" t="n">
        <x:v>0.0378</x:v>
      </x:c>
      <x:c r="I33" s="59" t="n">
        <x:v>0.3261</x:v>
      </x:c>
      <x:c r="J33" s="59" t="n">
        <x:v>0.9443</x:v>
      </x:c>
    </x:row>
    <x:row r="34">
      <x:c r="A34" s="57" t="n">
        <x:v>225</x:v>
      </x:c>
      <x:c r="B34" s="57" t="n">
        <x:v>10</x:v>
      </x:c>
      <x:c r="C34" s="59" t="n">
        <x:v>0.02912</x:v>
      </x:c>
      <x:c r="D34" s="59" t="n">
        <x:v>0.17226</x:v>
      </x:c>
      <x:c r="E34" s="59" t="n">
        <x:v>0.25462</x:v>
      </x:c>
      <x:c r="F34" s="59" t="n">
        <x:v>0.30934</x:v>
      </x:c>
      <x:c r="G34" s="59" t="str">
        <x:f>IF(MAX(C34:E34)=C34,"X",IF(MAX(C34:E34)=D34,"Y","Z"))</x:f>
        <x:v>Z</x:v>
      </x:c>
      <x:c r="H34" s="59" t="n">
        <x:v>0.0941</x:v>
      </x:c>
      <x:c r="I34" s="59" t="n">
        <x:v>0.5569</x:v>
      </x:c>
      <x:c r="J34" s="59" t="n">
        <x:v>0.8231</x:v>
      </x:c>
    </x:row>
    <x:row r="35">
      <x:c r="A35" s="57" t="n">
        <x:v>225</x:v>
      </x:c>
      <x:c r="B35" s="57" t="n">
        <x:v>11</x:v>
      </x:c>
      <x:c r="C35" s="59" t="n">
        <x:v>0.03431</x:v>
      </x:c>
      <x:c r="D35" s="59" t="n">
        <x:v>0.21817</x:v>
      </x:c>
      <x:c r="E35" s="59" t="n">
        <x:v>0.29637</x:v>
      </x:c>
      <x:c r="F35" s="59" t="n">
        <x:v>0.37023</x:v>
      </x:c>
      <x:c r="G35" s="59" t="str">
        <x:f>IF(MAX(C35:E35)=C35,"X",IF(MAX(C35:E35)=D35,"Y","Z"))</x:f>
        <x:v>Z</x:v>
      </x:c>
      <x:c r="H35" s="59" t="n">
        <x:v>0.0927</x:v>
      </x:c>
      <x:c r="I35" s="59" t="n">
        <x:v>0.5893</x:v>
      </x:c>
      <x:c r="J35" s="59" t="n">
        <x:v>0.8005</x:v>
      </x:c>
    </x:row>
    <x:row r="36">
      <x:c r="A36" s="57" t="n">
        <x:v>225</x:v>
      </x:c>
      <x:c r="B36" s="57" t="n">
        <x:v>12</x:v>
      </x:c>
      <x:c r="C36" s="59" t="n">
        <x:v>0.03503</x:v>
      </x:c>
      <x:c r="D36" s="59" t="n">
        <x:v>0.21998</x:v>
      </x:c>
      <x:c r="E36" s="59" t="n">
        <x:v>0.33806</x:v>
      </x:c>
      <x:c r="F36" s="59" t="n">
        <x:v>0.40602</x:v>
      </x:c>
      <x:c r="G36" s="59" t="str">
        <x:f>IF(MAX(C36:E36)=C36,"X",IF(MAX(C36:E36)=D36,"Y","Z"))</x:f>
        <x:v>Z</x:v>
      </x:c>
      <x:c r="H36" s="59" t="n">
        <x:v>0.0863</x:v>
      </x:c>
      <x:c r="I36" s="59" t="n">
        <x:v>0.5418</x:v>
      </x:c>
      <x:c r="J36" s="59" t="n">
        <x:v>0.8326</x:v>
      </x:c>
    </x:row>
    <x:row r="37">
      <x:c r="A37" s="57" t="n">
        <x:v>225</x:v>
      </x:c>
      <x:c r="B37" s="57" t="n">
        <x:v>13</x:v>
      </x:c>
      <x:c r="C37" s="59" t="n">
        <x:v>0.03017</x:v>
      </x:c>
      <x:c r="D37" s="59" t="n">
        <x:v>0.24237</x:v>
      </x:c>
      <x:c r="E37" s="59" t="n">
        <x:v>0.36402</x:v>
      </x:c>
      <x:c r="F37" s="59" t="n">
        <x:v>0.43918</x:v>
      </x:c>
      <x:c r="G37" s="59" t="str">
        <x:f>IF(MAX(C37:E37)=C37,"X",IF(MAX(C37:E37)=D37,"Y","Z"))</x:f>
        <x:v>Z</x:v>
      </x:c>
      <x:c r="H37" s="59" t="n">
        <x:v>0.0687</x:v>
      </x:c>
      <x:c r="I37" s="59" t="n">
        <x:v>0.5519</x:v>
      </x:c>
      <x:c r="J37" s="59" t="n">
        <x:v>0.8289</x:v>
      </x:c>
    </x:row>
    <x:row r="38">
      <x:c r="A38" s="57" t="n">
        <x:v>225</x:v>
      </x:c>
      <x:c r="B38" s="57" t="n">
        <x:v>14</x:v>
      </x:c>
      <x:c r="C38" s="59" t="n">
        <x:v>0.03888</x:v>
      </x:c>
      <x:c r="D38" s="59" t="n">
        <x:v>0.27116</x:v>
      </x:c>
      <x:c r="E38" s="59" t="n">
        <x:v>0.39951</x:v>
      </x:c>
      <x:c r="F38" s="59" t="n">
        <x:v>0.48479</x:v>
      </x:c>
      <x:c r="G38" s="59" t="str">
        <x:f>IF(MAX(C38:E38)=C38,"X",IF(MAX(C38:E38)=D38,"Y","Z"))</x:f>
        <x:v>Z</x:v>
      </x:c>
      <x:c r="H38" s="59" t="n">
        <x:v>0.0802</x:v>
      </x:c>
      <x:c r="I38" s="59" t="n">
        <x:v>0.5593</x:v>
      </x:c>
      <x:c r="J38" s="59" t="n">
        <x:v>0.8241</x:v>
      </x:c>
    </x:row>
    <x:row r="39">
      <x:c r="A39" s="57" t="n">
        <x:v>225</x:v>
      </x:c>
      <x:c r="B39" s="57" t="n">
        <x:v>15</x:v>
      </x:c>
      <x:c r="C39" s="59" t="n">
        <x:v>0.03635</x:v>
      </x:c>
      <x:c r="D39" s="59" t="n">
        <x:v>0.28218</x:v>
      </x:c>
      <x:c r="E39" s="59" t="n">
        <x:v>0.43474</x:v>
      </x:c>
      <x:c r="F39" s="59" t="n">
        <x:v>0.51993</x:v>
      </x:c>
      <x:c r="G39" s="59" t="str">
        <x:f>IF(MAX(C39:E39)=C39,"X",IF(MAX(C39:E39)=D39,"Y","Z"))</x:f>
        <x:v>Z</x:v>
      </x:c>
      <x:c r="H39" s="59" t="n">
        <x:v>0.0699</x:v>
      </x:c>
      <x:c r="I39" s="59" t="n">
        <x:v>0.5427</x:v>
      </x:c>
      <x:c r="J39" s="59" t="n">
        <x:v>0.8362</x:v>
      </x:c>
    </x:row>
    <x:row r="40">
      <x:c r="A40" s="57" t="n">
        <x:v>250</x:v>
      </x:c>
      <x:c r="B40" s="57" t="n">
        <x:v>10</x:v>
      </x:c>
      <x:c r="C40" s="59" t="n">
        <x:v>0.04737</x:v>
      </x:c>
      <x:c r="D40" s="59" t="n">
        <x:v>0.26909</x:v>
      </x:c>
      <x:c r="E40" s="59" t="n">
        <x:v>0.53948</x:v>
      </x:c>
      <x:c r="F40" s="59" t="n">
        <x:v>0.60838</x:v>
      </x:c>
      <x:c r="G40" s="59" t="str">
        <x:f>IF(MAX(C40:E40)=C40,"X",IF(MAX(C40:E40)=D40,"Y","Z"))</x:f>
        <x:v>Z</x:v>
      </x:c>
      <x:c r="H40" s="59" t="n">
        <x:v>0.0779</x:v>
      </x:c>
      <x:c r="I40" s="59" t="n">
        <x:v>0.4423</x:v>
      </x:c>
      <x:c r="J40" s="59" t="n">
        <x:v>0.8868</x:v>
      </x:c>
    </x:row>
    <x:row r="41">
      <x:c r="A41" s="57" t="n">
        <x:v>250</x:v>
      </x:c>
      <x:c r="B41" s="57" t="n">
        <x:v>11</x:v>
      </x:c>
      <x:c r="C41" s="59" t="n">
        <x:v>0.07181</x:v>
      </x:c>
      <x:c r="D41" s="59" t="n">
        <x:v>0.26745</x:v>
      </x:c>
      <x:c r="E41" s="59" t="n">
        <x:v>0.59796</x:v>
      </x:c>
      <x:c r="F41" s="59" t="n">
        <x:v>0.66363</x:v>
      </x:c>
      <x:c r="G41" s="59" t="str">
        <x:f>IF(MAX(C41:E41)=C41,"X",IF(MAX(C41:E41)=D41,"Y","Z"))</x:f>
        <x:v>Z</x:v>
      </x:c>
      <x:c r="H41" s="59" t="n">
        <x:v>0.1082</x:v>
      </x:c>
      <x:c r="I41" s="59" t="n">
        <x:v>0.403</x:v>
      </x:c>
      <x:c r="J41" s="59" t="n">
        <x:v>0.901</x:v>
      </x:c>
    </x:row>
    <x:row r="42">
      <x:c r="A42" s="57" t="n">
        <x:v>250</x:v>
      </x:c>
      <x:c r="B42" s="57" t="n">
        <x:v>12</x:v>
      </x:c>
      <x:c r="C42" s="59" t="n">
        <x:v>0.08014</x:v>
      </x:c>
      <x:c r="D42" s="59" t="n">
        <x:v>0.29112</x:v>
      </x:c>
      <x:c r="E42" s="59" t="n">
        <x:v>0.65061</x:v>
      </x:c>
      <x:c r="F42" s="59" t="n">
        <x:v>0.72237</x:v>
      </x:c>
      <x:c r="G42" s="59" t="str">
        <x:f>IF(MAX(C42:E42)=C42,"X",IF(MAX(C42:E42)=D42,"Y","Z"))</x:f>
        <x:v>Z</x:v>
      </x:c>
      <x:c r="H42" s="59" t="n">
        <x:v>0.1109</x:v>
      </x:c>
      <x:c r="I42" s="59" t="n">
        <x:v>0.403</x:v>
      </x:c>
      <x:c r="J42" s="59" t="n">
        <x:v>0.9007</x:v>
      </x:c>
    </x:row>
    <x:row r="43">
      <x:c r="A43" s="57" t="n">
        <x:v>250</x:v>
      </x:c>
      <x:c r="B43" s="57" t="n">
        <x:v>13</x:v>
      </x:c>
      <x:c r="C43" s="59" t="n">
        <x:v>0.07325</x:v>
      </x:c>
      <x:c r="D43" s="59" t="n">
        <x:v>0.37631</x:v>
      </x:c>
      <x:c r="E43" s="59" t="n">
        <x:v>0.69531</x:v>
      </x:c>
      <x:c r="F43" s="59" t="n">
        <x:v>0.79558</x:v>
      </x:c>
      <x:c r="G43" s="59" t="str">
        <x:f>IF(MAX(C43:E43)=C43,"X",IF(MAX(C43:E43)=D43,"Y","Z"))</x:f>
        <x:v>Z</x:v>
      </x:c>
      <x:c r="H43" s="59" t="n">
        <x:v>0.0921</x:v>
      </x:c>
      <x:c r="I43" s="59" t="n">
        <x:v>0.473</x:v>
      </x:c>
      <x:c r="J43" s="59" t="n">
        <x:v>0.874</x:v>
      </x:c>
    </x:row>
    <x:row r="44">
      <x:c r="A44" s="57" t="n">
        <x:v>250</x:v>
      </x:c>
      <x:c r="B44" s="57" t="n">
        <x:v>14</x:v>
      </x:c>
      <x:c r="C44" s="59" t="n">
        <x:v>0.08008</x:v>
      </x:c>
      <x:c r="D44" s="59" t="n">
        <x:v>0.37511</x:v>
      </x:c>
      <x:c r="E44" s="59" t="n">
        <x:v>0.75536</x:v>
      </x:c>
      <x:c r="F44" s="59" t="n">
        <x:v>0.85091</x:v>
      </x:c>
      <x:c r="G44" s="59" t="str">
        <x:f>IF(MAX(C44:E44)=C44,"X",IF(MAX(C44:E44)=D44,"Y","Z"))</x:f>
        <x:v>Z</x:v>
      </x:c>
      <x:c r="H44" s="59" t="n">
        <x:v>0.0941</x:v>
      </x:c>
      <x:c r="I44" s="59" t="n">
        <x:v>0.4408</x:v>
      </x:c>
      <x:c r="J44" s="59" t="n">
        <x:v>0.8877</x:v>
      </x:c>
    </x:row>
    <x:row r="45">
      <x:c r="A45" s="57" t="n">
        <x:v>250</x:v>
      </x:c>
      <x:c r="B45" s="57" t="n">
        <x:v>15</x:v>
      </x:c>
      <x:c r="C45" s="59" t="n">
        <x:v>0.0975</x:v>
      </x:c>
      <x:c r="D45" s="59" t="n">
        <x:v>0.40939</x:v>
      </x:c>
      <x:c r="E45" s="59" t="n">
        <x:v>0.7997</x:v>
      </x:c>
      <x:c r="F45" s="59" t="n">
        <x:v>0.90656</x:v>
      </x:c>
      <x:c r="G45" s="59" t="str">
        <x:f>IF(MAX(C45:E45)=C45,"X",IF(MAX(C45:E45)=D45,"Y","Z"))</x:f>
        <x:v>Z</x:v>
      </x:c>
      <x:c r="H45" s="59" t="n">
        <x:v>0.1076</x:v>
      </x:c>
      <x:c r="I45" s="59" t="n">
        <x:v>0.4516</x:v>
      </x:c>
      <x:c r="J45" s="59" t="n">
        <x:v>0.8821</x:v>
      </x:c>
    </x:row>
    <x:row r="46">
      <x:c r="A46" s="57" t="n">
        <x:v>275</x:v>
      </x:c>
      <x:c r="B46" s="57" t="n">
        <x:v>10</x:v>
      </x:c>
      <x:c r="C46" s="59" t="n">
        <x:v>0.11984</x:v>
      </x:c>
      <x:c r="D46" s="59" t="n">
        <x:v>0.28688</x:v>
      </x:c>
      <x:c r="E46" s="59" t="n">
        <x:v>0.67702</x:v>
      </x:c>
      <x:c r="F46" s="59" t="n">
        <x:v>0.74558</x:v>
      </x:c>
      <x:c r="G46" s="59" t="str">
        <x:f>IF(MAX(C46:E46)=C46,"X",IF(MAX(C46:E46)=D46,"Y","Z"))</x:f>
        <x:v>Z</x:v>
      </x:c>
      <x:c r="H46" s="59" t="n">
        <x:v>0.1607</x:v>
      </x:c>
      <x:c r="I46" s="59" t="n">
        <x:v>0.3848</x:v>
      </x:c>
      <x:c r="J46" s="59" t="n">
        <x:v>0.908</x:v>
      </x:c>
    </x:row>
    <x:row r="47">
      <x:c r="A47" s="57" t="n">
        <x:v>275</x:v>
      </x:c>
      <x:c r="B47" s="57" t="n">
        <x:v>11</x:v>
      </x:c>
      <x:c r="C47" s="59" t="n">
        <x:v>0.12748</x:v>
      </x:c>
      <x:c r="D47" s="59" t="n">
        <x:v>0.3248</x:v>
      </x:c>
      <x:c r="E47" s="59" t="n">
        <x:v>0.7784</x:v>
      </x:c>
      <x:c r="F47" s="59" t="n">
        <x:v>0.8532</x:v>
      </x:c>
      <x:c r="G47" s="59" t="str">
        <x:f>IF(MAX(C47:E47)=C47,"X",IF(MAX(C47:E47)=D47,"Y","Z"))</x:f>
        <x:v>Z</x:v>
      </x:c>
      <x:c r="H47" s="59" t="n">
        <x:v>0.1494</x:v>
      </x:c>
      <x:c r="I47" s="59" t="n">
        <x:v>0.3807</x:v>
      </x:c>
      <x:c r="J47" s="59" t="n">
        <x:v>0.9123</x:v>
      </x:c>
    </x:row>
    <x:row r="48">
      <x:c r="A48" s="57" t="n">
        <x:v>275</x:v>
      </x:c>
      <x:c r="B48" s="57" t="n">
        <x:v>12</x:v>
      </x:c>
      <x:c r="C48" s="59" t="n">
        <x:v>0.15274</x:v>
      </x:c>
      <x:c r="D48" s="59" t="n">
        <x:v>0.3539</x:v>
      </x:c>
      <x:c r="E48" s="59" t="n">
        <x:v>0.83416</x:v>
      </x:c>
      <x:c r="F48" s="59" t="n">
        <x:v>0.91966</x:v>
      </x:c>
      <x:c r="G48" s="59" t="str">
        <x:f>IF(MAX(C48:E48)=C48,"X",IF(MAX(C48:E48)=D48,"Y","Z"))</x:f>
        <x:v>Z</x:v>
      </x:c>
      <x:c r="H48" s="59" t="n">
        <x:v>0.1661</x:v>
      </x:c>
      <x:c r="I48" s="59" t="n">
        <x:v>0.3848</x:v>
      </x:c>
      <x:c r="J48" s="59" t="n">
        <x:v>0.907</x:v>
      </x:c>
    </x:row>
    <x:row r="49">
      <x:c r="A49" s="57" t="n">
        <x:v>275</x:v>
      </x:c>
      <x:c r="B49" s="57" t="n">
        <x:v>13</x:v>
      </x:c>
      <x:c r="C49" s="59" t="n">
        <x:v>0.15189</x:v>
      </x:c>
      <x:c r="D49" s="59" t="n">
        <x:v>0.41263</x:v>
      </x:c>
      <x:c r="E49" s="59" t="n">
        <x:v>0.9097</x:v>
      </x:c>
      <x:c r="F49" s="59" t="n">
        <x:v>1.01068</x:v>
      </x:c>
      <x:c r="G49" s="59" t="str">
        <x:f>IF(MAX(C49:E49)=C49,"X",IF(MAX(C49:E49)=D49,"Y","Z"))</x:f>
        <x:v>Z</x:v>
      </x:c>
      <x:c r="H49" s="59" t="n">
        <x:v>0.1503</x:v>
      </x:c>
      <x:c r="I49" s="59" t="n">
        <x:v>0.4083</x:v>
      </x:c>
      <x:c r="J49" s="59" t="n">
        <x:v>0.9001</x:v>
      </x:c>
    </x:row>
    <x:row r="50">
      <x:c r="A50" s="57" t="n">
        <x:v>275</x:v>
      </x:c>
      <x:c r="B50" s="57" t="n">
        <x:v>14</x:v>
      </x:c>
      <x:c r="C50" s="59" t="n">
        <x:v>0.17025</x:v>
      </x:c>
      <x:c r="D50" s="59" t="n">
        <x:v>0.43518</x:v>
      </x:c>
      <x:c r="E50" s="59" t="n">
        <x:v>0.99126</x:v>
      </x:c>
      <x:c r="F50" s="59" t="n">
        <x:v>1.09613</x:v>
      </x:c>
      <x:c r="G50" s="59" t="str">
        <x:f>IF(MAX(C50:E50)=C50,"X",IF(MAX(C50:E50)=D50,"Y","Z"))</x:f>
        <x:v>Z</x:v>
      </x:c>
      <x:c r="H50" s="59" t="n">
        <x:v>0.1553</x:v>
      </x:c>
      <x:c r="I50" s="59" t="n">
        <x:v>0.397</x:v>
      </x:c>
      <x:c r="J50" s="59" t="n">
        <x:v>0.9043</x:v>
      </x:c>
    </x:row>
    <x:row r="51">
      <x:c r="A51" s="57" t="n">
        <x:v>275</x:v>
      </x:c>
      <x:c r="B51" s="57" t="n">
        <x:v>15</x:v>
      </x:c>
      <x:c r="C51" s="59" t="n">
        <x:v>0.1935</x:v>
      </x:c>
      <x:c r="D51" s="59" t="n">
        <x:v>0.50459</x:v>
      </x:c>
      <x:c r="E51" s="59" t="n">
        <x:v>1.0661</x:v>
      </x:c>
      <x:c r="F51" s="59" t="n">
        <x:v>1.19635</x:v>
      </x:c>
      <x:c r="G51" s="59" t="str">
        <x:f>IF(MAX(C51:E51)=C51,"X",IF(MAX(C51:E51)=D51,"Y","Z"))</x:f>
        <x:v>Z</x:v>
      </x:c>
      <x:c r="H51" s="59" t="n">
        <x:v>0.1617</x:v>
      </x:c>
      <x:c r="I51" s="59" t="n">
        <x:v>0.4218</x:v>
      </x:c>
      <x:c r="J51" s="59" t="n">
        <x:v>0.8911</x:v>
      </x:c>
    </x:row>
    <x:row r="52">
      <x:c r="A52" s="57" t="n">
        <x:v>300</x:v>
      </x:c>
      <x:c r="B52" s="57" t="n">
        <x:v>10</x:v>
      </x:c>
      <x:c r="C52" s="59" t="n">
        <x:v>0.23242</x:v>
      </x:c>
      <x:c r="D52" s="59" t="n">
        <x:v>0.3742</x:v>
      </x:c>
      <x:c r="E52" s="59" t="n">
        <x:v>0.62642</x:v>
      </x:c>
      <x:c r="F52" s="59" t="n">
        <x:v>0.76602</x:v>
      </x:c>
      <x:c r="G52" s="59" t="str">
        <x:f>IF(MAX(C52:E52)=C52,"X",IF(MAX(C52:E52)=D52,"Y","Z"))</x:f>
        <x:v>Z</x:v>
      </x:c>
      <x:c r="H52" s="59" t="n">
        <x:v>0.3034</x:v>
      </x:c>
      <x:c r="I52" s="59" t="n">
        <x:v>0.4885</x:v>
      </x:c>
      <x:c r="J52" s="59" t="n">
        <x:v>0.8178</x:v>
      </x:c>
    </x:row>
    <x:row r="53">
      <x:c r="A53" s="57" t="n">
        <x:v>300</x:v>
      </x:c>
      <x:c r="B53" s="57" t="n">
        <x:v>11</x:v>
      </x:c>
      <x:c r="C53" s="59" t="n">
        <x:v>0.2517</x:v>
      </x:c>
      <x:c r="D53" s="59" t="n">
        <x:v>0.43632</x:v>
      </x:c>
      <x:c r="E53" s="59" t="n">
        <x:v>0.67708</x:v>
      </x:c>
      <x:c r="F53" s="59" t="n">
        <x:v>0.84422</x:v>
      </x:c>
      <x:c r="G53" s="59" t="str">
        <x:f>IF(MAX(C53:E53)=C53,"X",IF(MAX(C53:E53)=D53,"Y","Z"))</x:f>
        <x:v>Z</x:v>
      </x:c>
      <x:c r="H53" s="59" t="n">
        <x:v>0.2981</x:v>
      </x:c>
      <x:c r="I53" s="59" t="n">
        <x:v>0.5168</x:v>
      </x:c>
      <x:c r="J53" s="59" t="n">
        <x:v>0.802</x:v>
      </x:c>
    </x:row>
    <x:row r="54">
      <x:c r="A54" s="57" t="n">
        <x:v>300</x:v>
      </x:c>
      <x:c r="B54" s="57" t="n">
        <x:v>12</x:v>
      </x:c>
      <x:c r="C54" s="59" t="n">
        <x:v>0.28444</x:v>
      </x:c>
      <x:c r="D54" s="59" t="n">
        <x:v>0.48143</x:v>
      </x:c>
      <x:c r="E54" s="59" t="n">
        <x:v>0.73669</x:v>
      </x:c>
      <x:c r="F54" s="59" t="n">
        <x:v>0.92513</x:v>
      </x:c>
      <x:c r="G54" s="59" t="str">
        <x:f>IF(MAX(C54:E54)=C54,"X",IF(MAX(C54:E54)=D54,"Y","Z"))</x:f>
        <x:v>Z</x:v>
      </x:c>
      <x:c r="H54" s="59" t="n">
        <x:v>0.3075</x:v>
      </x:c>
      <x:c r="I54" s="59" t="n">
        <x:v>0.5204</x:v>
      </x:c>
      <x:c r="J54" s="59" t="n">
        <x:v>0.7963</x:v>
      </x:c>
    </x:row>
    <x:row r="55">
      <x:c r="A55" s="57" t="n">
        <x:v>300</x:v>
      </x:c>
      <x:c r="B55" s="57" t="n">
        <x:v>13</x:v>
      </x:c>
      <x:c r="C55" s="59" t="n">
        <x:v>0.31419</x:v>
      </x:c>
      <x:c r="D55" s="59" t="n">
        <x:v>0.52991</x:v>
      </x:c>
      <x:c r="E55" s="59" t="n">
        <x:v>0.77607</x:v>
      </x:c>
      <x:c r="F55" s="59" t="n">
        <x:v>0.99104</x:v>
      </x:c>
      <x:c r="G55" s="59" t="str">
        <x:f>IF(MAX(C55:E55)=C55,"X",IF(MAX(C55:E55)=D55,"Y","Z"))</x:f>
        <x:v>Z</x:v>
      </x:c>
      <x:c r="H55" s="59" t="n">
        <x:v>0.317</x:v>
      </x:c>
      <x:c r="I55" s="59" t="n">
        <x:v>0.5347</x:v>
      </x:c>
      <x:c r="J55" s="59" t="n">
        <x:v>0.7831</x:v>
      </x:c>
    </x:row>
    <x:row r="56">
      <x:c r="A56" s="57" t="n">
        <x:v>300</x:v>
      </x:c>
      <x:c r="B56" s="57" t="n">
        <x:v>14</x:v>
      </x:c>
      <x:c r="C56" s="59" t="n">
        <x:v>0.35319</x:v>
      </x:c>
      <x:c r="D56" s="59" t="n">
        <x:v>0.56732</x:v>
      </x:c>
      <x:c r="E56" s="59" t="n">
        <x:v>0.83853</x:v>
      </x:c>
      <x:c r="F56" s="59" t="n">
        <x:v>1.07281</x:v>
      </x:c>
      <x:c r="G56" s="59" t="str">
        <x:f>IF(MAX(C56:E56)=C56,"X",IF(MAX(C56:E56)=D56,"Y","Z"))</x:f>
        <x:v>Z</x:v>
      </x:c>
      <x:c r="H56" s="59" t="n">
        <x:v>0.3292</x:v>
      </x:c>
      <x:c r="I56" s="59" t="n">
        <x:v>0.5288</x:v>
      </x:c>
      <x:c r="J56" s="59" t="n">
        <x:v>0.7816</x:v>
      </x:c>
    </x:row>
    <x:row r="57">
      <x:c r="A57" s="57" t="n">
        <x:v>300</x:v>
      </x:c>
      <x:c r="B57" s="57" t="n">
        <x:v>15</x:v>
      </x:c>
      <x:c r="C57" s="59" t="n">
        <x:v>0.37804</x:v>
      </x:c>
      <x:c r="D57" s="59" t="n">
        <x:v>0.63158</x:v>
      </x:c>
      <x:c r="E57" s="59" t="n">
        <x:v>0.87515</x:v>
      </x:c>
      <x:c r="F57" s="59" t="n">
        <x:v>1.1439</x:v>
      </x:c>
      <x:c r="G57" s="59" t="str">
        <x:f>IF(MAX(C57:E57)=C57,"X",IF(MAX(C57:E57)=D57,"Y","Z"))</x:f>
        <x:v>Z</x:v>
      </x:c>
      <x:c r="H57" s="59" t="n">
        <x:v>0.3305</x:v>
      </x:c>
      <x:c r="I57" s="59" t="n">
        <x:v>0.5521</x:v>
      </x:c>
      <x:c r="J57" s="59" t="n">
        <x:v>0.7651</x:v>
      </x:c>
    </x:row>
    <x:row r="58">
      <x:c r="A58" s="57" t="n">
        <x:v>325</x:v>
      </x:c>
      <x:c r="B58" s="57" t="n">
        <x:v>10</x:v>
      </x:c>
      <x:c r="C58" s="59" t="n">
        <x:v>0.28951</x:v>
      </x:c>
      <x:c r="D58" s="59" t="n">
        <x:v>0.46616</x:v>
      </x:c>
      <x:c r="E58" s="59" t="n">
        <x:v>0.09583</x:v>
      </x:c>
      <x:c r="F58" s="59" t="n">
        <x:v>0.55811</x:v>
      </x:c>
      <x:c r="G58" s="59" t="str">
        <x:f>IF(MAX(C58:E58)=C58,"X",IF(MAX(C58:E58)=D58,"Y","Z"))</x:f>
        <x:v>Y</x:v>
      </x:c>
      <x:c r="H58" s="59" t="n">
        <x:v>0.5187</x:v>
      </x:c>
      <x:c r="I58" s="59" t="n">
        <x:v>0.8353</x:v>
      </x:c>
      <x:c r="J58" s="59" t="n">
        <x:v>0.1717</x:v>
      </x:c>
    </x:row>
    <x:row r="59">
      <x:c r="A59" s="57" t="n">
        <x:v>325</x:v>
      </x:c>
      <x:c r="B59" s="57" t="n">
        <x:v>11</x:v>
      </x:c>
      <x:c r="C59" s="59" t="n">
        <x:v>0.32115</x:v>
      </x:c>
      <x:c r="D59" s="59" t="n">
        <x:v>0.51531</x:v>
      </x:c>
      <x:c r="E59" s="59" t="n">
        <x:v>0.11418</x:v>
      </x:c>
      <x:c r="F59" s="59" t="n">
        <x:v>0.61822</x:v>
      </x:c>
      <x:c r="G59" s="59" t="str">
        <x:f>IF(MAX(C59:E59)=C59,"X",IF(MAX(C59:E59)=D59,"Y","Z"))</x:f>
        <x:v>Y</x:v>
      </x:c>
      <x:c r="H59" s="59" t="n">
        <x:v>0.5195</x:v>
      </x:c>
      <x:c r="I59" s="59" t="n">
        <x:v>0.8335</x:v>
      </x:c>
      <x:c r="J59" s="59" t="n">
        <x:v>0.1847</x:v>
      </x:c>
    </x:row>
    <x:row r="60">
      <x:c r="A60" s="57" t="n">
        <x:v>325</x:v>
      </x:c>
      <x:c r="B60" s="57" t="n">
        <x:v>12</x:v>
      </x:c>
      <x:c r="C60" s="59" t="n">
        <x:v>0.34656</x:v>
      </x:c>
      <x:c r="D60" s="59" t="n">
        <x:v>0.56162</x:v>
      </x:c>
      <x:c r="E60" s="59" t="n">
        <x:v>0.14941</x:v>
      </x:c>
      <x:c r="F60" s="59" t="n">
        <x:v>0.67751</x:v>
      </x:c>
      <x:c r="G60" s="59" t="str">
        <x:f>IF(MAX(C60:E60)=C60,"X",IF(MAX(C60:E60)=D60,"Y","Z"))</x:f>
        <x:v>Y</x:v>
      </x:c>
      <x:c r="H60" s="59" t="n">
        <x:v>0.5115</x:v>
      </x:c>
      <x:c r="I60" s="59" t="n">
        <x:v>0.8289</x:v>
      </x:c>
      <x:c r="J60" s="59" t="n">
        <x:v>0.2205</x:v>
      </x:c>
    </x:row>
    <x:row r="61">
      <x:c r="A61" s="57" t="n">
        <x:v>325</x:v>
      </x:c>
      <x:c r="B61" s="57" t="n">
        <x:v>13</x:v>
      </x:c>
      <x:c r="C61" s="59" t="n">
        <x:v>0.37704</x:v>
      </x:c>
      <x:c r="D61" s="59" t="n">
        <x:v>0.6031</x:v>
      </x:c>
      <x:c r="E61" s="59" t="n">
        <x:v>0.15681</x:v>
      </x:c>
      <x:c r="F61" s="59" t="n">
        <x:v>0.72866</x:v>
      </x:c>
      <x:c r="G61" s="59" t="str">
        <x:f>IF(MAX(C61:E61)=C61,"X",IF(MAX(C61:E61)=D61,"Y","Z"))</x:f>
        <x:v>Y</x:v>
      </x:c>
      <x:c r="H61" s="59" t="n">
        <x:v>0.5174</x:v>
      </x:c>
      <x:c r="I61" s="59" t="n">
        <x:v>0.8277</x:v>
      </x:c>
      <x:c r="J61" s="59" t="n">
        <x:v>0.2152</x:v>
      </x:c>
    </x:row>
    <x:row r="62">
      <x:c r="A62" s="57" t="n">
        <x:v>325</x:v>
      </x:c>
      <x:c r="B62" s="57" t="n">
        <x:v>14</x:v>
      </x:c>
      <x:c r="C62" s="59" t="n">
        <x:v>0.42152</x:v>
      </x:c>
      <x:c r="D62" s="59" t="n">
        <x:v>0.65547</x:v>
      </x:c>
      <x:c r="E62" s="59" t="n">
        <x:v>0.1914</x:v>
      </x:c>
      <x:c r="F62" s="59" t="n">
        <x:v>0.80305</x:v>
      </x:c>
      <x:c r="G62" s="59" t="str">
        <x:f>IF(MAX(C62:E62)=C62,"X",IF(MAX(C62:E62)=D62,"Y","Z"))</x:f>
        <x:v>Y</x:v>
      </x:c>
      <x:c r="H62" s="59" t="n">
        <x:v>0.5249</x:v>
      </x:c>
      <x:c r="I62" s="59" t="n">
        <x:v>0.8162</x:v>
      </x:c>
      <x:c r="J62" s="59" t="n">
        <x:v>0.2383</x:v>
      </x:c>
    </x:row>
    <x:row r="63">
      <x:c r="A63" s="57" t="n">
        <x:v>325</x:v>
      </x:c>
      <x:c r="B63" s="57" t="n">
        <x:v>15</x:v>
      </x:c>
      <x:c r="C63" s="59" t="n">
        <x:v>0.4409</x:v>
      </x:c>
      <x:c r="D63" s="59" t="n">
        <x:v>0.7119</x:v>
      </x:c>
      <x:c r="E63" s="59" t="n">
        <x:v>0.21045</x:v>
      </x:c>
      <x:c r="F63" s="59" t="n">
        <x:v>0.86391</x:v>
      </x:c>
      <x:c r="G63" s="59" t="str">
        <x:f>IF(MAX(C63:E63)=C63,"X",IF(MAX(C63:E63)=D63,"Y","Z"))</x:f>
        <x:v>Y</x:v>
      </x:c>
      <x:c r="H63" s="59" t="n">
        <x:v>0.5104</x:v>
      </x:c>
      <x:c r="I63" s="59" t="n">
        <x:v>0.8241</x:v>
      </x:c>
      <x:c r="J63" s="59" t="n">
        <x:v>0.2436</x:v>
      </x:c>
    </x:row>
    <x:row r="64">
      <x:c r="A64" s="57" t="n">
        <x:v>350</x:v>
      </x:c>
      <x:c r="B64" s="57" t="n">
        <x:v>10</x:v>
      </x:c>
      <x:c r="C64" s="59" t="n">
        <x:v>0.1478</x:v>
      </x:c>
      <x:c r="D64" s="59" t="n">
        <x:v>0.3752</x:v>
      </x:c>
      <x:c r="E64" s="59" t="n">
        <x:v>0.63898</x:v>
      </x:c>
      <x:c r="F64" s="59" t="n">
        <x:v>0.75772</x:v>
      </x:c>
      <x:c r="G64" s="59" t="str">
        <x:f>IF(MAX(C64:E64)=C64,"X",IF(MAX(C64:E64)=D64,"Y","Z"))</x:f>
        <x:v>Z</x:v>
      </x:c>
      <x:c r="H64" s="59" t="n">
        <x:v>0.1951</x:v>
      </x:c>
      <x:c r="I64" s="59" t="n">
        <x:v>0.4952</x:v>
      </x:c>
      <x:c r="J64" s="59" t="n">
        <x:v>0.8433</x:v>
      </x:c>
    </x:row>
    <x:row r="65">
      <x:c r="A65" s="57" t="n">
        <x:v>350</x:v>
      </x:c>
      <x:c r="B65" s="57" t="n">
        <x:v>11</x:v>
      </x:c>
      <x:c r="C65" s="59" t="n">
        <x:v>0.15733</x:v>
      </x:c>
      <x:c r="D65" s="59" t="n">
        <x:v>0.45961</x:v>
      </x:c>
      <x:c r="E65" s="59" t="n">
        <x:v>0.67689</x:v>
      </x:c>
      <x:c r="F65" s="59" t="n">
        <x:v>0.83414</x:v>
      </x:c>
      <x:c r="G65" s="59" t="str">
        <x:f>IF(MAX(C65:E65)=C65,"X",IF(MAX(C65:E65)=D65,"Y","Z"))</x:f>
        <x:v>Z</x:v>
      </x:c>
      <x:c r="H65" s="59" t="n">
        <x:v>0.1886</x:v>
      </x:c>
      <x:c r="I65" s="59" t="n">
        <x:v>0.551</x:v>
      </x:c>
      <x:c r="J65" s="59" t="n">
        <x:v>0.8115</x:v>
      </x:c>
    </x:row>
    <x:row r="66">
      <x:c r="A66" s="57" t="n">
        <x:v>350</x:v>
      </x:c>
      <x:c r="B66" s="57" t="n">
        <x:v>12</x:v>
      </x:c>
      <x:c r="C66" s="59" t="n">
        <x:v>0.19555</x:v>
      </x:c>
      <x:c r="D66" s="59" t="n">
        <x:v>0.52219</x:v>
      </x:c>
      <x:c r="E66" s="59" t="n">
        <x:v>0.70081</x:v>
      </x:c>
      <x:c r="F66" s="59" t="n">
        <x:v>0.89607</x:v>
      </x:c>
      <x:c r="G66" s="59" t="str">
        <x:f>IF(MAX(C66:E66)=C66,"X",IF(MAX(C66:E66)=D66,"Y","Z"))</x:f>
        <x:v>Z</x:v>
      </x:c>
      <x:c r="H66" s="59" t="n">
        <x:v>0.2182</x:v>
      </x:c>
      <x:c r="I66" s="59" t="n">
        <x:v>0.5828</x:v>
      </x:c>
      <x:c r="J66" s="59" t="n">
        <x:v>0.7821</x:v>
      </x:c>
    </x:row>
    <x:row r="67">
      <x:c r="A67" s="57" t="n">
        <x:v>350</x:v>
      </x:c>
      <x:c r="B67" s="57" t="n">
        <x:v>13</x:v>
      </x:c>
      <x:c r="C67" s="59" t="n">
        <x:v>0.20276</x:v>
      </x:c>
      <x:c r="D67" s="59" t="n">
        <x:v>0.5775</x:v>
      </x:c>
      <x:c r="E67" s="59" t="n">
        <x:v>0.74143</x:v>
      </x:c>
      <x:c r="F67" s="59" t="n">
        <x:v>0.96182</x:v>
      </x:c>
      <x:c r="G67" s="59" t="str">
        <x:f>IF(MAX(C67:E67)=C67,"X",IF(MAX(C67:E67)=D67,"Y","Z"))</x:f>
        <x:v>Z</x:v>
      </x:c>
      <x:c r="H67" s="59" t="n">
        <x:v>0.2108</x:v>
      </x:c>
      <x:c r="I67" s="59" t="n">
        <x:v>0.6004</x:v>
      </x:c>
      <x:c r="J67" s="59" t="n">
        <x:v>0.7709</x:v>
      </x:c>
    </x:row>
    <x:row r="68">
      <x:c r="A68" s="57" t="n">
        <x:v>350</x:v>
      </x:c>
      <x:c r="B68" s="57" t="n">
        <x:v>14</x:v>
      </x:c>
      <x:c r="C68" s="59" t="n">
        <x:v>0.23705</x:v>
      </x:c>
      <x:c r="D68" s="59" t="n">
        <x:v>0.64742</x:v>
      </x:c>
      <x:c r="E68" s="59" t="n">
        <x:v>0.78994</x:v>
      </x:c>
      <x:c r="F68" s="59" t="n">
        <x:v>1.04924</x:v>
      </x:c>
      <x:c r="G68" s="59" t="str">
        <x:f>IF(MAX(C68:E68)=C68,"X",IF(MAX(C68:E68)=D68,"Y","Z"))</x:f>
        <x:v>Z</x:v>
      </x:c>
      <x:c r="H68" s="59" t="n">
        <x:v>0.2259</x:v>
      </x:c>
      <x:c r="I68" s="59" t="n">
        <x:v>0.617</x:v>
      </x:c>
      <x:c r="J68" s="59" t="n">
        <x:v>0.7529</x:v>
      </x:c>
    </x:row>
    <x:row r="69">
      <x:c r="A69" s="57" t="n">
        <x:v>350</x:v>
      </x:c>
      <x:c r="B69" s="57" t="n">
        <x:v>15</x:v>
      </x:c>
      <x:c r="C69" s="59" t="n">
        <x:v>0.26629</x:v>
      </x:c>
      <x:c r="D69" s="59" t="n">
        <x:v>0.71421</x:v>
      </x:c>
      <x:c r="E69" s="59" t="n">
        <x:v>0.85805</x:v>
      </x:c>
      <x:c r="F69" s="59" t="n">
        <x:v>1.14839</x:v>
      </x:c>
      <x:c r="G69" s="59" t="str">
        <x:f>IF(MAX(C69:E69)=C69,"X",IF(MAX(C69:E69)=D69,"Y","Z"))</x:f>
        <x:v>Z</x:v>
      </x:c>
      <x:c r="H69" s="59" t="n">
        <x:v>0.2319</x:v>
      </x:c>
      <x:c r="I69" s="59" t="n">
        <x:v>0.6219</x:v>
      </x:c>
      <x:c r="J69" s="59" t="n">
        <x:v>0.7472</x:v>
      </x:c>
    </x:row>
  </x:sheetData>
  <x:mergeCells>
    <x:mergeCell ref="A1:J1"/>
  </x:mergeCells>
  <x:pageMargins left="0.7" right="0.7" top="0.75" bottom="0.75" header="0.3" footer="0.3"/>
  <x:tableParts count="1">
    <x:tablePart xmlns:r="http://schemas.openxmlformats.org/officeDocument/2006/relationships" r:id="Re2f8b608a2d447d7"/>
  </x:tableParts>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1">
      <x:c r="A1" s="75" t="str">
        <x:v>Blind-FFT harmonic indicators requiring follow-up validation</x:v>
      </x:c>
      <x:c r="B1" s="75"/>
      <x:c r="C1" s="4"/>
      <x:c r="D1" s="77"/>
      <x:c r="E1" s="79"/>
      <x:c r="F1" s="79"/>
      <x:c r="G1" s="79"/>
      <x:c r="H1" s="79"/>
      <x:c r="I1" s="79"/>
      <x:c r="J1" s="79"/>
    </x:row>
    <x:row r="3">
      <x:c r="A3" s="16" t="str">
        <x:v>Command_Hz</x:v>
      </x:c>
      <x:c r="B3" s="16" t="str">
        <x:v>DAC</x:v>
      </x:c>
      <x:c r="C3" s="16" t="str">
        <x:v>Axis</x:v>
      </x:c>
      <x:c r="D3" s="16" t="str">
        <x:v>Candidate harmonic</x:v>
      </x:c>
      <x:c r="E3" s="16" t="str">
        <x:v>Blind dominant Hz</x:v>
      </x:c>
      <x:c r="F3" s="16" t="str">
        <x:v>Expected harmonic Hz</x:v>
      </x:c>
      <x:c r="G3" s="16" t="str">
        <x:v>Blind dom amplitude</x:v>
      </x:c>
      <x:c r="H3" s="16" t="str">
        <x:v>Local fundamental Hz</x:v>
      </x:c>
      <x:c r="I3" s="16" t="str">
        <x:v>Local fundamental amplitude</x:v>
      </x:c>
      <x:c r="J3" s="16" t="str">
        <x:v>Blind/Local amplitude ratio</x:v>
      </x:c>
    </x:row>
    <x:row r="4">
      <x:c r="A4" s="22" t="n">
        <x:v>100</x:v>
      </x:c>
      <x:c r="B4" s="22" t="n">
        <x:v>12</x:v>
      </x:c>
      <x:c r="C4" s="22" t="str">
        <x:v>X</x:v>
      </x:c>
      <x:c r="D4" s="22" t="n">
        <x:v>2</x:v>
      </x:c>
      <x:c r="E4" s="22" t="n">
        <x:v>199.94172</x:v>
      </x:c>
      <x:c r="F4" s="22" t="n">
        <x:v>200</x:v>
      </x:c>
      <x:c r="G4" s="22" t="n">
        <x:v>0.99489</x:v>
      </x:c>
      <x:c r="H4" s="22" t="n">
        <x:v>99.9598</x:v>
      </x:c>
      <x:c r="I4" s="22" t="n">
        <x:v>0.87268</x:v>
      </x:c>
      <x:c r="J4" s="22" t="n">
        <x:f>G4/I4</x:f>
        <x:v>1.1400398771600129</x:v>
      </x:c>
    </x:row>
    <x:row r="5">
      <x:c r="A5" s="22" t="n">
        <x:v>100</x:v>
      </x:c>
      <x:c r="B5" s="22" t="n">
        <x:v>12</x:v>
      </x:c>
      <x:c r="C5" s="22" t="str">
        <x:v>Y</x:v>
      </x:c>
      <x:c r="D5" s="22" t="n">
        <x:v>2</x:v>
      </x:c>
      <x:c r="E5" s="22" t="n">
        <x:v>199.9622</x:v>
      </x:c>
      <x:c r="F5" s="22" t="n">
        <x:v>200</x:v>
      </x:c>
      <x:c r="G5" s="22" t="n">
        <x:v>0.84826</x:v>
      </x:c>
      <x:c r="H5" s="22" t="n">
        <x:v>99.97458</x:v>
      </x:c>
      <x:c r="I5" s="22" t="n">
        <x:v>0.8407</x:v>
      </x:c>
      <x:c r="J5" s="22" t="n">
        <x:f>G5/I5</x:f>
        <x:v>1.008992506244796</x:v>
      </x:c>
    </x:row>
    <x:row r="6">
      <x:c r="A6" s="22" t="n">
        <x:v>100</x:v>
      </x:c>
      <x:c r="B6" s="22" t="n">
        <x:v>13</x:v>
      </x:c>
      <x:c r="C6" s="22" t="str">
        <x:v>X</x:v>
      </x:c>
      <x:c r="D6" s="22" t="n">
        <x:v>2</x:v>
      </x:c>
      <x:c r="E6" s="22" t="n">
        <x:v>199.97868</x:v>
      </x:c>
      <x:c r="F6" s="22" t="n">
        <x:v>200</x:v>
      </x:c>
      <x:c r="G6" s="22" t="n">
        <x:v>2.11072</x:v>
      </x:c>
      <x:c r="H6" s="22" t="n">
        <x:v>99.9937</x:v>
      </x:c>
      <x:c r="I6" s="22" t="n">
        <x:v>1.74036</x:v>
      </x:c>
      <x:c r="J6" s="22" t="n">
        <x:f>G6/I6</x:f>
        <x:v>1.2128065457721393</x:v>
      </x:c>
    </x:row>
    <x:row r="7">
      <x:c r="A7" s="22" t="n">
        <x:v>100</x:v>
      </x:c>
      <x:c r="B7" s="22" t="n">
        <x:v>14</x:v>
      </x:c>
      <x:c r="C7" s="22" t="str">
        <x:v>X</x:v>
      </x:c>
      <x:c r="D7" s="22" t="n">
        <x:v>2</x:v>
      </x:c>
      <x:c r="E7" s="22" t="n">
        <x:v>199.99086</x:v>
      </x:c>
      <x:c r="F7" s="22" t="n">
        <x:v>200</x:v>
      </x:c>
      <x:c r="G7" s="22" t="n">
        <x:v>2.4938</x:v>
      </x:c>
      <x:c r="H7" s="22" t="n">
        <x:v>99.99302</x:v>
      </x:c>
      <x:c r="I7" s="22" t="n">
        <x:v>2.07712</x:v>
      </x:c>
      <x:c r="J7" s="22" t="n">
        <x:f>G7/I7</x:f>
        <x:v>1.2006046834077955</x:v>
      </x:c>
    </x:row>
    <x:row r="8">
      <x:c r="A8" s="22" t="n">
        <x:v>100</x:v>
      </x:c>
      <x:c r="B8" s="22" t="n">
        <x:v>15</x:v>
      </x:c>
      <x:c r="C8" s="22" t="str">
        <x:v>X</x:v>
      </x:c>
      <x:c r="D8" s="22" t="n">
        <x:v>2</x:v>
      </x:c>
      <x:c r="E8" s="22" t="n">
        <x:v>199.98509</x:v>
      </x:c>
      <x:c r="F8" s="22" t="n">
        <x:v>200</x:v>
      </x:c>
      <x:c r="G8" s="22" t="n">
        <x:v>2.86542</x:v>
      </x:c>
      <x:c r="H8" s="22" t="n">
        <x:v>99.99235</x:v>
      </x:c>
      <x:c r="I8" s="22" t="n">
        <x:v>2.34046</x:v>
      </x:c>
      <x:c r="J8" s="22" t="n">
        <x:f>G8/I8</x:f>
        <x:v>1.2242977876144003</x:v>
      </x:c>
    </x:row>
    <x:row r="9">
      <x:c r="A9" s="22" t="n">
        <x:v>125</x:v>
      </x:c>
      <x:c r="B9" s="22" t="n">
        <x:v>11</x:v>
      </x:c>
      <x:c r="C9" s="22" t="str">
        <x:v>Z</x:v>
      </x:c>
      <x:c r="D9" s="22" t="n">
        <x:v>3</x:v>
      </x:c>
      <x:c r="E9" s="22" t="n">
        <x:v>375.01451</x:v>
      </x:c>
      <x:c r="F9" s="22" t="n">
        <x:v>375</x:v>
      </x:c>
      <x:c r="G9" s="22" t="n">
        <x:v>0.46279</x:v>
      </x:c>
      <x:c r="H9" s="22" t="n">
        <x:v>124.9841</x:v>
      </x:c>
      <x:c r="I9" s="22" t="n">
        <x:v>0.33725</x:v>
      </x:c>
      <x:c r="J9" s="22" t="n">
        <x:f>G9/I9</x:f>
        <x:v>1.3722461082283173</x:v>
      </x:c>
    </x:row>
    <x:row r="10">
      <x:c r="A10" s="22" t="n">
        <x:v>125</x:v>
      </x:c>
      <x:c r="B10" s="22" t="n">
        <x:v>12</x:v>
      </x:c>
      <x:c r="C10" s="22" t="str">
        <x:v>Z</x:v>
      </x:c>
      <x:c r="D10" s="22" t="n">
        <x:v>3</x:v>
      </x:c>
      <x:c r="E10" s="22" t="n">
        <x:v>375.01342</x:v>
      </x:c>
      <x:c r="F10" s="22" t="n">
        <x:v>375</x:v>
      </x:c>
      <x:c r="G10" s="22" t="n">
        <x:v>0.61326</x:v>
      </x:c>
      <x:c r="H10" s="22" t="n">
        <x:v>125.01953</x:v>
      </x:c>
      <x:c r="I10" s="22" t="n">
        <x:v>0.41957</x:v>
      </x:c>
      <x:c r="J10" s="22" t="n">
        <x:f>G10/I10</x:f>
        <x:v>1.461639297375885</x:v>
      </x:c>
    </x:row>
    <x:row r="11">
      <x:c r="A11" s="22" t="n">
        <x:v>125</x:v>
      </x:c>
      <x:c r="B11" s="22" t="n">
        <x:v>13</x:v>
      </x:c>
      <x:c r="C11" s="22" t="str">
        <x:v>Z</x:v>
      </x:c>
      <x:c r="D11" s="22" t="n">
        <x:v>3</x:v>
      </x:c>
      <x:c r="E11" s="22" t="n">
        <x:v>375.01138</x:v>
      </x:c>
      <x:c r="F11" s="22" t="n">
        <x:v>375</x:v>
      </x:c>
      <x:c r="G11" s="22" t="n">
        <x:v>0.77296</x:v>
      </x:c>
      <x:c r="H11" s="22" t="n">
        <x:v>125.01504</x:v>
      </x:c>
      <x:c r="I11" s="22" t="n">
        <x:v>0.47777</x:v>
      </x:c>
      <x:c r="J11" s="22" t="n">
        <x:f>G11/I11</x:f>
        <x:v>1.6178495929003496</x:v>
      </x:c>
    </x:row>
    <x:row r="12">
      <x:c r="A12" s="22" t="n">
        <x:v>125</x:v>
      </x:c>
      <x:c r="B12" s="22" t="n">
        <x:v>14</x:v>
      </x:c>
      <x:c r="C12" s="22" t="str">
        <x:v>Z</x:v>
      </x:c>
      <x:c r="D12" s="22" t="n">
        <x:v>3</x:v>
      </x:c>
      <x:c r="E12" s="22" t="n">
        <x:v>375.00616</x:v>
      </x:c>
      <x:c r="F12" s="22" t="n">
        <x:v>375</x:v>
      </x:c>
      <x:c r="G12" s="22" t="n">
        <x:v>0.90241</x:v>
      </x:c>
      <x:c r="H12" s="22" t="n">
        <x:v>125.01179</x:v>
      </x:c>
      <x:c r="I12" s="22" t="n">
        <x:v>0.57122</x:v>
      </x:c>
      <x:c r="J12" s="22" t="n">
        <x:f>G12/I12</x:f>
        <x:v>1.5797941248555725</x:v>
      </x:c>
    </x:row>
    <x:row r="13">
      <x:c r="A13" s="22" t="n">
        <x:v>125</x:v>
      </x:c>
      <x:c r="B13" s="22" t="n">
        <x:v>15</x:v>
      </x:c>
      <x:c r="C13" s="22" t="str">
        <x:v>Z</x:v>
      </x:c>
      <x:c r="D13" s="22" t="n">
        <x:v>3</x:v>
      </x:c>
      <x:c r="E13" s="22" t="n">
        <x:v>374.97934</x:v>
      </x:c>
      <x:c r="F13" s="22" t="n">
        <x:v>375</x:v>
      </x:c>
      <x:c r="G13" s="22" t="n">
        <x:v>1.00457</x:v>
      </x:c>
      <x:c r="H13" s="22" t="n">
        <x:v>124.98869</x:v>
      </x:c>
      <x:c r="I13" s="22" t="n">
        <x:v>0.6877</x:v>
      </x:c>
      <x:c r="J13" s="22" t="n">
        <x:f>G13/I13</x:f>
        <x:v>1.4607677766467937</x:v>
      </x:c>
    </x:row>
    <x:row r="14">
      <x:c r="A14" s="22" t="n">
        <x:v>150</x:v>
      </x:c>
      <x:c r="B14" s="22" t="n">
        <x:v>13</x:v>
      </x:c>
      <x:c r="C14" s="22" t="str">
        <x:v>X</x:v>
      </x:c>
      <x:c r="D14" s="22" t="n">
        <x:v>3</x:v>
      </x:c>
      <x:c r="E14" s="22" t="n">
        <x:v>450.04259</x:v>
      </x:c>
      <x:c r="F14" s="22" t="n">
        <x:v>450</x:v>
      </x:c>
      <x:c r="G14" s="22" t="n">
        <x:v>0.14667</x:v>
      </x:c>
      <x:c r="H14" s="22" t="n">
        <x:v>149.9764</x:v>
      </x:c>
      <x:c r="I14" s="22" t="n">
        <x:v>0.14433</x:v>
      </x:c>
      <x:c r="J14" s="22" t="n">
        <x:f>G14/I14</x:f>
        <x:v>1.016212845562253</x:v>
      </x:c>
    </x:row>
    <x:row r="15">
      <x:c r="A15" s="22" t="n">
        <x:v>150</x:v>
      </x:c>
      <x:c r="B15" s="22" t="n">
        <x:v>13</x:v>
      </x:c>
      <x:c r="C15" s="22" t="str">
        <x:v>Y</x:v>
      </x:c>
      <x:c r="D15" s="22" t="n">
        <x:v>3</x:v>
      </x:c>
      <x:c r="E15" s="22" t="n">
        <x:v>449.99805</x:v>
      </x:c>
      <x:c r="F15" s="22" t="n">
        <x:v>450</x:v>
      </x:c>
      <x:c r="G15" s="22" t="n">
        <x:v>0.61675</x:v>
      </x:c>
      <x:c r="H15" s="22" t="n">
        <x:v>149.99213</x:v>
      </x:c>
      <x:c r="I15" s="22" t="n">
        <x:v>0.55058</x:v>
      </x:c>
      <x:c r="J15" s="22" t="n">
        <x:f>G15/I15</x:f>
        <x:v>1.120182353154855</x:v>
      </x:c>
    </x:row>
    <x:row r="18">
      <x:c r="A18" s="30" t="str">
        <x:v>Interpretation: these rows are indicators, not proof of intrinsic actuator harmonic generation. The repeated ≈2f behavior at 100 Hz and ≈3f behavior at 125/150 Hz coincides with amplitude-dependent gain changes, supporting a nonlinear/contact/mounting hypothesis. Repeat the conditions with fixed mounting and multiple independent records before reporting final harmonic distortion.</x:v>
      </x:c>
      <x:c r="B18" s="30"/>
      <x:c r="C18" s="30"/>
      <x:c r="D18" s="30"/>
      <x:c r="E18" s="30"/>
      <x:c r="F18" s="30"/>
      <x:c r="G18" s="30"/>
      <x:c r="H18" s="30"/>
      <x:c r="I18" s="30"/>
      <x:c r="J18" s="30"/>
    </x:row>
    <x:row r="19">
      <x:c r="A19" s="30"/>
      <x:c r="B19" s="30"/>
      <x:c r="C19" s="30"/>
      <x:c r="D19" s="30"/>
      <x:c r="E19" s="30"/>
      <x:c r="F19" s="30"/>
      <x:c r="G19" s="30"/>
      <x:c r="H19" s="30"/>
      <x:c r="I19" s="30"/>
      <x:c r="J19" s="30"/>
    </x:row>
    <x:row r="20">
      <x:c r="A20" s="30"/>
      <x:c r="B20" s="30"/>
      <x:c r="C20" s="30"/>
      <x:c r="D20" s="30"/>
      <x:c r="E20" s="30"/>
      <x:c r="F20" s="30"/>
      <x:c r="G20" s="30"/>
      <x:c r="H20" s="30"/>
      <x:c r="I20" s="30"/>
      <x:c r="J20" s="30"/>
    </x:row>
    <x:row r="21">
      <x:c r="A21" s="30"/>
      <x:c r="B21" s="30"/>
      <x:c r="C21" s="30"/>
      <x:c r="D21" s="30"/>
      <x:c r="E21" s="30"/>
      <x:c r="F21" s="30"/>
      <x:c r="G21" s="30"/>
      <x:c r="H21" s="30"/>
      <x:c r="I21" s="30"/>
      <x:c r="J21" s="30"/>
    </x:row>
  </x:sheetData>
  <x:mergeCells>
    <x:mergeCell ref="A1:J1"/>
    <x:mergeCell ref="A18:J21"/>
  </x:mergeCells>
  <x:pageMargins left="0.7" right="0.7" top="0.75" bottom="0.75" header="0.3" footer="0.3"/>
  <x:tableParts count="1">
    <x:tablePart xmlns:r="http://schemas.openxmlformats.org/officeDocument/2006/relationships" r:id="R8c9b213b70e84305"/>
  </x:tableParts>
</x:worksheet>
</file>

<file path=xl/worksheets/sheet7.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x:c r="A1" s="77" t="str">
        <x:v>DAC 15 — phase, synchronization and measurement-quality comparison</x:v>
      </x:c>
      <x:c r="B1" s="79"/>
      <x:c r="C1" s="79"/>
      <x:c r="D1" s="79"/>
      <x:c r="E1" s="79"/>
      <x:c r="F1" s="79"/>
      <x:c r="G1" s="79"/>
      <x:c r="H1" s="79"/>
      <x:c r="I1" s="79"/>
      <x:c r="J1" s="79"/>
      <x:c r="K1" s="79"/>
      <x:c r="L1" s="79"/>
      <x:c r="M1" s="79"/>
      <x:c r="N1" s="4"/>
    </x:row>
    <x:row r="3">
      <x:c r="A3" s="16" t="str">
        <x:v>Freq_Hz</x:v>
      </x:c>
      <x:c r="B3" s="16" t="str">
        <x:v>X_A</x:v>
      </x:c>
      <x:c r="C3" s="16" t="str">
        <x:v>X phase</x:v>
      </x:c>
      <x:c r="D3" s="16" t="str">
        <x:v>X sync</x:v>
      </x:c>
      <x:c r="E3" s="16" t="str">
        <x:v>Y_A</x:v>
      </x:c>
      <x:c r="F3" s="16" t="str">
        <x:v>Y phase</x:v>
      </x:c>
      <x:c r="G3" s="16" t="str">
        <x:v>Y sync</x:v>
      </x:c>
      <x:c r="H3" s="16" t="str">
        <x:v>Z_A</x:v>
      </x:c>
      <x:c r="I3" s="16" t="str">
        <x:v>Z phase</x:v>
      </x:c>
      <x:c r="J3" s="16" t="str">
        <x:v>Z sync</x:v>
      </x:c>
      <x:c r="K3" s="16" t="str">
        <x:v>Total_A</x:v>
      </x:c>
      <x:c r="L3" s="16" t="str">
        <x:v>Total CV %</x:v>
      </x:c>
      <x:c r="M3" s="16" t="str">
        <x:v>Vector freq error Hz</x:v>
      </x:c>
      <x:c r="N3" s="16" t="str">
        <x:v>Dominant axis</x:v>
      </x:c>
    </x:row>
    <x:row r="4">
      <x:c r="A4" s="22" t="n">
        <x:v>100</x:v>
      </x:c>
      <x:c r="B4" s="22" t="n">
        <x:f>'Raw DATA'!AC7</x:f>
        <x:v>2.31402</x:v>
      </x:c>
      <x:c r="C4" s="22" t="n">
        <x:f>'Raw DATA'!AD7</x:f>
        <x:v>-70.1</x:v>
      </x:c>
      <x:c r="D4" s="22" t="n">
        <x:f>'Raw DATA'!AE7</x:f>
        <x:v>0.606</x:v>
      </x:c>
      <x:c r="E4" s="22" t="n">
        <x:f>'Raw DATA'!AG7</x:f>
        <x:v>2.05378</x:v>
      </x:c>
      <x:c r="F4" s="22" t="n">
        <x:f>'Raw DATA'!AH7</x:f>
        <x:v>-63.88</x:v>
      </x:c>
      <x:c r="G4" s="22" t="n">
        <x:f>'Raw DATA'!AI7</x:f>
        <x:v>0.686</x:v>
      </x:c>
      <x:c r="H4" s="22" t="n">
        <x:f>'Raw DATA'!AK7</x:f>
        <x:v>1.57215</x:v>
      </x:c>
      <x:c r="I4" s="22" t="n">
        <x:f>'Raw DATA'!AL7</x:f>
        <x:v>-80.35</x:v>
      </x:c>
      <x:c r="J4" s="22" t="n">
        <x:f>'Raw DATA'!AM7</x:f>
        <x:v>0.713</x:v>
      </x:c>
      <x:c r="K4" s="22" t="n">
        <x:f>'Raw DATA'!AO7</x:f>
        <x:v>3.47061</x:v>
      </x:c>
      <x:c r="L4" s="22" t="n">
        <x:f>'Raw DATA'!AP7</x:f>
        <x:v>0.6</x:v>
      </x:c>
      <x:c r="M4" s="22" t="n">
        <x:f>'Raw DATA'!V7</x:f>
        <x:v>-0.00608</x:v>
      </x:c>
      <x:c r="N4" s="22" t="str">
        <x:f>IF(MAX(B4,E4,H4)=B4,"X",IF(MAX(B4,E4,H4)=E4,"Y","Z"))</x:f>
        <x:v>X</x:v>
      </x:c>
    </x:row>
    <x:row r="5">
      <x:c r="A5" s="22" t="n">
        <x:v>125</x:v>
      </x:c>
      <x:c r="B5" s="22" t="n">
        <x:f>'Raw DATA'!AC13</x:f>
        <x:v>0.79395</x:v>
      </x:c>
      <x:c r="C5" s="22" t="n">
        <x:f>'Raw DATA'!AD13</x:f>
        <x:v>-144.34</x:v>
      </x:c>
      <x:c r="D5" s="22" t="n">
        <x:f>'Raw DATA'!AE13</x:f>
        <x:v>0.685</x:v>
      </x:c>
      <x:c r="E5" s="22" t="n">
        <x:f>'Raw DATA'!AG13</x:f>
        <x:v>2.26703</x:v>
      </x:c>
      <x:c r="F5" s="22" t="n">
        <x:f>'Raw DATA'!AH13</x:f>
        <x:v>-139.3</x:v>
      </x:c>
      <x:c r="G5" s="22" t="n">
        <x:f>'Raw DATA'!AI13</x:f>
        <x:v>0.771</x:v>
      </x:c>
      <x:c r="H5" s="22" t="n">
        <x:f>'Raw DATA'!AK13</x:f>
        <x:v>0.70313</x:v>
      </x:c>
      <x:c r="I5" s="22" t="n">
        <x:f>'Raw DATA'!AL13</x:f>
        <x:v>-151.89</x:v>
      </x:c>
      <x:c r="J5" s="22" t="n">
        <x:f>'Raw DATA'!AM13</x:f>
        <x:v>0.386</x:v>
      </x:c>
      <x:c r="K5" s="22" t="n">
        <x:f>'Raw DATA'!AO13</x:f>
        <x:v>2.50293</x:v>
      </x:c>
      <x:c r="L5" s="22" t="n">
        <x:f>'Raw DATA'!AP13</x:f>
        <x:v>1.61</x:v>
      </x:c>
      <x:c r="M5" s="22" t="n">
        <x:f>'Raw DATA'!V13</x:f>
        <x:v>-0.003</x:v>
      </x:c>
      <x:c r="N5" s="22" t="str">
        <x:f>IF(MAX(B5,E5,H5)=B5,"X",IF(MAX(B5,E5,H5)=E5,"Y","Z"))</x:f>
        <x:v>Y</x:v>
      </x:c>
    </x:row>
    <x:row r="6">
      <x:c r="A6" s="22" t="n">
        <x:v>150</x:v>
      </x:c>
      <x:c r="B6" s="22" t="n">
        <x:f>'Raw DATA'!AC19</x:f>
        <x:v>0.30715</x:v>
      </x:c>
      <x:c r="C6" s="22" t="n">
        <x:f>'Raw DATA'!AD19</x:f>
        <x:v>-169.05</x:v>
      </x:c>
      <x:c r="D6" s="22" t="n">
        <x:f>'Raw DATA'!AE19</x:f>
        <x:v>0.52</x:v>
      </x:c>
      <x:c r="E6" s="22" t="n">
        <x:f>'Raw DATA'!AG19</x:f>
        <x:v>0.92824</x:v>
      </x:c>
      <x:c r="F6" s="22" t="n">
        <x:f>'Raw DATA'!AH19</x:f>
        <x:v>-154.24</x:v>
      </x:c>
      <x:c r="G6" s="22" t="n">
        <x:f>'Raw DATA'!AI19</x:f>
        <x:v>0.652</x:v>
      </x:c>
      <x:c r="H6" s="22" t="n">
        <x:f>'Raw DATA'!AK19</x:f>
        <x:v>0.80842</x:v>
      </x:c>
      <x:c r="I6" s="22" t="n">
        <x:f>'Raw DATA'!AL19</x:f>
        <x:v>-158.83</x:v>
      </x:c>
      <x:c r="J6" s="22" t="n">
        <x:f>'Raw DATA'!AM19</x:f>
        <x:v>0.722</x:v>
      </x:c>
      <x:c r="K6" s="22" t="n">
        <x:f>'Raw DATA'!AO19</x:f>
        <x:v>1.26878</x:v>
      </x:c>
      <x:c r="L6" s="22" t="n">
        <x:f>'Raw DATA'!AP19</x:f>
        <x:v>1.55</x:v>
      </x:c>
      <x:c r="M6" s="22" t="n">
        <x:f>'Raw DATA'!V19</x:f>
        <x:v>-0.00056</x:v>
      </x:c>
      <x:c r="N6" s="22" t="str">
        <x:f>IF(MAX(B6,E6,H6)=B6,"X",IF(MAX(B6,E6,H6)=E6,"Y","Z"))</x:f>
        <x:v>Y</x:v>
      </x:c>
    </x:row>
    <x:row r="7">
      <x:c r="A7" s="22" t="n">
        <x:v>175</x:v>
      </x:c>
      <x:c r="B7" s="22" t="n">
        <x:f>'Raw DATA'!AC25</x:f>
        <x:v>0.02367</x:v>
      </x:c>
      <x:c r="C7" s="22" t="n">
        <x:f>'Raw DATA'!AD25</x:f>
        <x:v>-158.34</x:v>
      </x:c>
      <x:c r="D7" s="22" t="n">
        <x:f>'Raw DATA'!AE25</x:f>
        <x:v>0.054</x:v>
      </x:c>
      <x:c r="E7" s="22" t="n">
        <x:f>'Raw DATA'!AG25</x:f>
        <x:v>0.19369</x:v>
      </x:c>
      <x:c r="F7" s="22" t="n">
        <x:f>'Raw DATA'!AH25</x:f>
        <x:v>-113.66</x:v>
      </x:c>
      <x:c r="G7" s="22" t="n">
        <x:f>'Raw DATA'!AI25</x:f>
        <x:v>0.235</x:v>
      </x:c>
      <x:c r="H7" s="22" t="n">
        <x:f>'Raw DATA'!AK25</x:f>
        <x:v>0.48801</x:v>
      </x:c>
      <x:c r="I7" s="22" t="n">
        <x:f>'Raw DATA'!AL25</x:f>
        <x:v>-161.87</x:v>
      </x:c>
      <x:c r="J7" s="22" t="n">
        <x:f>'Raw DATA'!AM25</x:f>
        <x:v>0.729</x:v>
      </x:c>
      <x:c r="K7" s="22" t="n">
        <x:f>'Raw DATA'!AO25</x:f>
        <x:v>0.52734</x:v>
      </x:c>
      <x:c r="L7" s="22" t="n">
        <x:f>'Raw DATA'!AP25</x:f>
        <x:v>4.45</x:v>
      </x:c>
      <x:c r="M7" s="22" t="n">
        <x:f>'Raw DATA'!V25</x:f>
        <x:v>0.01282</x:v>
      </x:c>
      <x:c r="N7" s="22" t="str">
        <x:f>IF(MAX(B7,E7,H7)=B7,"X",IF(MAX(B7,E7,H7)=E7,"Y","Z"))</x:f>
        <x:v>Z</x:v>
      </x:c>
    </x:row>
    <x:row r="8">
      <x:c r="A8" s="22" t="n">
        <x:v>200</x:v>
      </x:c>
      <x:c r="B8" s="22" t="n">
        <x:f>'Raw DATA'!AC31</x:f>
        <x:v>0.02327</x:v>
      </x:c>
      <x:c r="C8" s="22" t="n">
        <x:f>'Raw DATA'!AD31</x:f>
        <x:v>-119.78</x:v>
      </x:c>
      <x:c r="D8" s="22" t="n">
        <x:f>'Raw DATA'!AE31</x:f>
        <x:v>0.053</x:v>
      </x:c>
      <x:c r="E8" s="22" t="n">
        <x:f>'Raw DATA'!AG31</x:f>
        <x:v>0.20091</x:v>
      </x:c>
      <x:c r="F8" s="22" t="n">
        <x:f>'Raw DATA'!AH31</x:f>
        <x:v>-105.15</x:v>
      </x:c>
      <x:c r="G8" s="22" t="n">
        <x:f>'Raw DATA'!AI31</x:f>
        <x:v>0.24</x:v>
      </x:c>
      <x:c r="H8" s="22" t="n">
        <x:f>'Raw DATA'!AK31</x:f>
        <x:v>0.58172</x:v>
      </x:c>
      <x:c r="I8" s="22" t="n">
        <x:f>'Raw DATA'!AL31</x:f>
        <x:v>154.86</x:v>
      </x:c>
      <x:c r="J8" s="22" t="n">
        <x:f>'Raw DATA'!AM31</x:f>
        <x:v>0.772</x:v>
      </x:c>
      <x:c r="K8" s="22" t="n">
        <x:f>'Raw DATA'!AO31</x:f>
        <x:v>0.61603</x:v>
      </x:c>
      <x:c r="L8" s="22" t="n">
        <x:f>'Raw DATA'!AP31</x:f>
        <x:v>3.58</x:v>
      </x:c>
      <x:c r="M8" s="22" t="n">
        <x:f>'Raw DATA'!V31</x:f>
        <x:v>0.01438</x:v>
      </x:c>
      <x:c r="N8" s="22" t="str">
        <x:f>IF(MAX(B8,E8,H8)=B8,"X",IF(MAX(B8,E8,H8)=E8,"Y","Z"))</x:f>
        <x:v>Z</x:v>
      </x:c>
    </x:row>
    <x:row r="9">
      <x:c r="A9" s="22" t="n">
        <x:v>225</x:v>
      </x:c>
      <x:c r="B9" s="22" t="n">
        <x:f>'Raw DATA'!AC37</x:f>
        <x:v>0.03635</x:v>
      </x:c>
      <x:c r="C9" s="22" t="n">
        <x:f>'Raw DATA'!AD37</x:f>
        <x:v>0.45</x:v>
      </x:c>
      <x:c r="D9" s="22" t="n">
        <x:f>'Raw DATA'!AE37</x:f>
        <x:v>0.081</x:v>
      </x:c>
      <x:c r="E9" s="22" t="n">
        <x:f>'Raw DATA'!AG37</x:f>
        <x:v>0.28218</x:v>
      </x:c>
      <x:c r="F9" s="22" t="n">
        <x:f>'Raw DATA'!AH37</x:f>
        <x:v>-99.34</x:v>
      </x:c>
      <x:c r="G9" s="22" t="n">
        <x:f>'Raw DATA'!AI37</x:f>
        <x:v>0.32</x:v>
      </x:c>
      <x:c r="H9" s="22" t="n">
        <x:f>'Raw DATA'!AK37</x:f>
        <x:v>0.43474</x:v>
      </x:c>
      <x:c r="I9" s="22" t="n">
        <x:f>'Raw DATA'!AL37</x:f>
        <x:v>147.16</x:v>
      </x:c>
      <x:c r="J9" s="22" t="n">
        <x:f>'Raw DATA'!AM37</x:f>
        <x:v>0.673</x:v>
      </x:c>
      <x:c r="K9" s="22" t="n">
        <x:f>'Raw DATA'!AO37</x:f>
        <x:v>0.51993</x:v>
      </x:c>
      <x:c r="L9" s="22" t="n">
        <x:f>'Raw DATA'!AP37</x:f>
        <x:v>3.19</x:v>
      </x:c>
      <x:c r="M9" s="22" t="n">
        <x:f>'Raw DATA'!V37</x:f>
        <x:v>0.01735</x:v>
      </x:c>
      <x:c r="N9" s="22" t="str">
        <x:f>IF(MAX(B9,E9,H9)=B9,"X",IF(MAX(B9,E9,H9)=E9,"Y","Z"))</x:f>
        <x:v>Z</x:v>
      </x:c>
    </x:row>
    <x:row r="10">
      <x:c r="A10" s="22" t="n">
        <x:v>250</x:v>
      </x:c>
      <x:c r="B10" s="22" t="n">
        <x:f>'Raw DATA'!AC43</x:f>
        <x:v>0.0975</x:v>
      </x:c>
      <x:c r="C10" s="22" t="n">
        <x:f>'Raw DATA'!AD43</x:f>
        <x:v>-77.7</x:v>
      </x:c>
      <x:c r="D10" s="22" t="n">
        <x:f>'Raw DATA'!AE43</x:f>
        <x:v>0.188</x:v>
      </x:c>
      <x:c r="E10" s="22" t="n">
        <x:f>'Raw DATA'!AG43</x:f>
        <x:v>0.40939</x:v>
      </x:c>
      <x:c r="F10" s="22" t="n">
        <x:f>'Raw DATA'!AH43</x:f>
        <x:v>-122.41</x:v>
      </x:c>
      <x:c r="G10" s="22" t="n">
        <x:f>'Raw DATA'!AI43</x:f>
        <x:v>0.459</x:v>
      </x:c>
      <x:c r="H10" s="22" t="n">
        <x:f>'Raw DATA'!AK43</x:f>
        <x:v>0.7997</x:v>
      </x:c>
      <x:c r="I10" s="22" t="n">
        <x:f>'Raw DATA'!AL43</x:f>
        <x:v>130.13</x:v>
      </x:c>
      <x:c r="J10" s="22" t="n">
        <x:f>'Raw DATA'!AM43</x:f>
        <x:v>0.823</x:v>
      </x:c>
      <x:c r="K10" s="22" t="n">
        <x:f>'Raw DATA'!AO43</x:f>
        <x:v>0.90656</x:v>
      </x:c>
      <x:c r="L10" s="22" t="n">
        <x:f>'Raw DATA'!AP43</x:f>
        <x:v>5.85</x:v>
      </x:c>
      <x:c r="M10" s="22" t="n">
        <x:f>'Raw DATA'!V43</x:f>
        <x:v>-0.01513</x:v>
      </x:c>
      <x:c r="N10" s="22" t="str">
        <x:f>IF(MAX(B10,E10,H10)=B10,"X",IF(MAX(B10,E10,H10)=E10,"Y","Z"))</x:f>
        <x:v>Z</x:v>
      </x:c>
    </x:row>
    <x:row r="11">
      <x:c r="A11" s="22" t="n">
        <x:v>275</x:v>
      </x:c>
      <x:c r="B11" s="22" t="n">
        <x:f>'Raw DATA'!AC49</x:f>
        <x:v>0.1935</x:v>
      </x:c>
      <x:c r="C11" s="22" t="n">
        <x:f>'Raw DATA'!AD49</x:f>
        <x:v>-124.87</x:v>
      </x:c>
      <x:c r="D11" s="22" t="n">
        <x:f>'Raw DATA'!AE49</x:f>
        <x:v>0.359</x:v>
      </x:c>
      <x:c r="E11" s="22" t="n">
        <x:f>'Raw DATA'!AG49</x:f>
        <x:v>0.50459</x:v>
      </x:c>
      <x:c r="F11" s="22" t="n">
        <x:f>'Raw DATA'!AH49</x:f>
        <x:v>-128.19</x:v>
      </x:c>
      <x:c r="G11" s="22" t="n">
        <x:f>'Raw DATA'!AI49</x:f>
        <x:v>0.494</x:v>
      </x:c>
      <x:c r="H11" s="22" t="n">
        <x:f>'Raw DATA'!AK49</x:f>
        <x:v>1.0661</x:v>
      </x:c>
      <x:c r="I11" s="22" t="n">
        <x:f>'Raw DATA'!AL49</x:f>
        <x:v>101.38</x:v>
      </x:c>
      <x:c r="J11" s="22" t="n">
        <x:f>'Raw DATA'!AM49</x:f>
        <x:v>0.862</x:v>
      </x:c>
      <x:c r="K11" s="22" t="n">
        <x:f>'Raw DATA'!AO49</x:f>
        <x:v>1.19635</x:v>
      </x:c>
      <x:c r="L11" s="22" t="n">
        <x:f>'Raw DATA'!AP49</x:f>
        <x:v>2.25</x:v>
      </x:c>
      <x:c r="M11" s="22" t="n">
        <x:f>'Raw DATA'!V49</x:f>
        <x:v>-0.00237</x:v>
      </x:c>
      <x:c r="N11" s="22" t="str">
        <x:f>IF(MAX(B11,E11,H11)=B11,"X",IF(MAX(B11,E11,H11)=E11,"Y","Z"))</x:f>
        <x:v>Z</x:v>
      </x:c>
    </x:row>
    <x:row r="12">
      <x:c r="A12" s="22" t="n">
        <x:v>300</x:v>
      </x:c>
      <x:c r="B12" s="22" t="n">
        <x:f>'Raw DATA'!AC55</x:f>
        <x:v>0.37804</x:v>
      </x:c>
      <x:c r="C12" s="22" t="n">
        <x:f>'Raw DATA'!AD55</x:f>
        <x:v>-177.22</x:v>
      </x:c>
      <x:c r="D12" s="22" t="n">
        <x:f>'Raw DATA'!AE55</x:f>
        <x:v>0.606</x:v>
      </x:c>
      <x:c r="E12" s="22" t="n">
        <x:f>'Raw DATA'!AG55</x:f>
        <x:v>0.63158</x:v>
      </x:c>
      <x:c r="F12" s="22" t="n">
        <x:f>'Raw DATA'!AH55</x:f>
        <x:v>-145.46</x:v>
      </x:c>
      <x:c r="G12" s="22" t="n">
        <x:f>'Raw DATA'!AI55</x:f>
        <x:v>0.601</x:v>
      </x:c>
      <x:c r="H12" s="22" t="n">
        <x:f>'Raw DATA'!AK55</x:f>
        <x:v>0.87515</x:v>
      </x:c>
      <x:c r="I12" s="22" t="n">
        <x:f>'Raw DATA'!AL55</x:f>
        <x:v>57.69</x:v>
      </x:c>
      <x:c r="J12" s="22" t="n">
        <x:f>'Raw DATA'!AM55</x:f>
        <x:v>0.831</x:v>
      </x:c>
      <x:c r="K12" s="22" t="n">
        <x:f>'Raw DATA'!AO55</x:f>
        <x:v>1.1439</x:v>
      </x:c>
      <x:c r="L12" s="22" t="n">
        <x:f>'Raw DATA'!AP55</x:f>
        <x:v>1.26</x:v>
      </x:c>
      <x:c r="M12" s="22" t="n">
        <x:f>'Raw DATA'!V55</x:f>
        <x:v>0.00472</x:v>
      </x:c>
      <x:c r="N12" s="22" t="str">
        <x:f>IF(MAX(B12,E12,H12)=B12,"X",IF(MAX(B12,E12,H12)=E12,"Y","Z"))</x:f>
        <x:v>Z</x:v>
      </x:c>
    </x:row>
    <x:row r="13">
      <x:c r="A13" s="22" t="n">
        <x:v>325</x:v>
      </x:c>
      <x:c r="B13" s="22" t="n">
        <x:f>'Raw DATA'!AC61</x:f>
        <x:v>0.4409</x:v>
      </x:c>
      <x:c r="C13" s="22" t="n">
        <x:f>'Raw DATA'!AD61</x:f>
        <x:v>109.73</x:v>
      </x:c>
      <x:c r="D13" s="22" t="n">
        <x:f>'Raw DATA'!AE61</x:f>
        <x:v>0.605</x:v>
      </x:c>
      <x:c r="E13" s="22" t="n">
        <x:f>'Raw DATA'!AG61</x:f>
        <x:v>0.7119</x:v>
      </x:c>
      <x:c r="F13" s="22" t="n">
        <x:f>'Raw DATA'!AH61</x:f>
        <x:v>-165.44</x:v>
      </x:c>
      <x:c r="G13" s="22" t="n">
        <x:f>'Raw DATA'!AI61</x:f>
        <x:v>0.603</x:v>
      </x:c>
      <x:c r="H13" s="22" t="n">
        <x:f>'Raw DATA'!AK61</x:f>
        <x:v>0.21045</x:v>
      </x:c>
      <x:c r="I13" s="22" t="n">
        <x:f>'Raw DATA'!AL61</x:f>
        <x:v>119.94</x:v>
      </x:c>
      <x:c r="J13" s="22" t="n">
        <x:f>'Raw DATA'!AM61</x:f>
        <x:v>0.363</x:v>
      </x:c>
      <x:c r="K13" s="22" t="n">
        <x:f>'Raw DATA'!AO61</x:f>
        <x:v>0.86391</x:v>
      </x:c>
      <x:c r="L13" s="22" t="n">
        <x:f>'Raw DATA'!AP61</x:f>
        <x:v>1.23</x:v>
      </x:c>
      <x:c r="M13" s="22" t="n">
        <x:f>'Raw DATA'!V61</x:f>
        <x:v>-0.00538</x:v>
      </x:c>
      <x:c r="N13" s="22" t="str">
        <x:f>IF(MAX(B13,E13,H13)=B13,"X",IF(MAX(B13,E13,H13)=E13,"Y","Z"))</x:f>
        <x:v>Y</x:v>
      </x:c>
    </x:row>
    <x:row r="14">
      <x:c r="A14" s="22" t="n">
        <x:v>350</x:v>
      </x:c>
      <x:c r="B14" s="22" t="n">
        <x:f>'Raw DATA'!AC67</x:f>
        <x:v>0.26629</x:v>
      </x:c>
      <x:c r="C14" s="22" t="n">
        <x:f>'Raw DATA'!AD67</x:f>
        <x:v>104.35</x:v>
      </x:c>
      <x:c r="D14" s="22" t="n">
        <x:f>'Raw DATA'!AE67</x:f>
        <x:v>0.369</x:v>
      </x:c>
      <x:c r="E14" s="22" t="n">
        <x:f>'Raw DATA'!AG67</x:f>
        <x:v>0.71421</x:v>
      </x:c>
      <x:c r="F14" s="22" t="n">
        <x:f>'Raw DATA'!AH67</x:f>
        <x:v>-157.15</x:v>
      </x:c>
      <x:c r="G14" s="22" t="n">
        <x:f>'Raw DATA'!AI67</x:f>
        <x:v>0.601</x:v>
      </x:c>
      <x:c r="H14" s="22" t="n">
        <x:f>'Raw DATA'!AK67</x:f>
        <x:v>0.85805</x:v>
      </x:c>
      <x:c r="I14" s="22" t="n">
        <x:f>'Raw DATA'!AL67</x:f>
        <x:v>76.72</x:v>
      </x:c>
      <x:c r="J14" s="22" t="n">
        <x:f>'Raw DATA'!AM67</x:f>
        <x:v>0.775</x:v>
      </x:c>
      <x:c r="K14" s="22" t="n">
        <x:f>'Raw DATA'!AO67</x:f>
        <x:v>1.14839</x:v>
      </x:c>
      <x:c r="L14" s="22" t="n">
        <x:f>'Raw DATA'!AP67</x:f>
        <x:v>2.11</x:v>
      </x:c>
      <x:c r="M14" s="22" t="n">
        <x:f>'Raw DATA'!V67</x:f>
        <x:v>0.00171</x:v>
      </x:c>
      <x:c r="N14" s="22" t="str">
        <x:f>IF(MAX(B14,E14,H14)=B14,"X",IF(MAX(B14,E14,H14)=E14,"Y","Z"))</x:f>
        <x:v>Z</x:v>
      </x:c>
    </x:row>
    <x:row r="17">
      <x:c r="A17" s="30" t="str">
        <x:v>Phase interpretation rule: phase should only be emphasized where the corresponding exact-frequency component has adequate amplitude and synchronization. Weak-axis phase values are retained for transparency but should not be used as primary thesis evidence.</x:v>
      </x:c>
      <x:c r="B17" s="30"/>
      <x:c r="C17" s="30"/>
      <x:c r="D17" s="30"/>
      <x:c r="E17" s="30"/>
      <x:c r="F17" s="30"/>
      <x:c r="G17" s="30"/>
      <x:c r="H17" s="30"/>
      <x:c r="I17" s="30"/>
      <x:c r="J17" s="30"/>
      <x:c r="K17" s="30"/>
      <x:c r="L17" s="30"/>
      <x:c r="M17" s="30"/>
      <x:c r="N17" s="30"/>
    </x:row>
    <x:row r="18">
      <x:c r="A18" s="30"/>
      <x:c r="B18" s="30"/>
      <x:c r="C18" s="30"/>
      <x:c r="D18" s="30"/>
      <x:c r="E18" s="30"/>
      <x:c r="F18" s="30"/>
      <x:c r="G18" s="30"/>
      <x:c r="H18" s="30"/>
      <x:c r="I18" s="30"/>
      <x:c r="J18" s="30"/>
      <x:c r="K18" s="30"/>
      <x:c r="L18" s="30"/>
      <x:c r="M18" s="30"/>
      <x:c r="N18" s="30"/>
    </x:row>
    <x:row r="19">
      <x:c r="A19" s="30"/>
      <x:c r="B19" s="30"/>
      <x:c r="C19" s="30"/>
      <x:c r="D19" s="30"/>
      <x:c r="E19" s="30"/>
      <x:c r="F19" s="30"/>
      <x:c r="G19" s="30"/>
      <x:c r="H19" s="30"/>
      <x:c r="I19" s="30"/>
      <x:c r="J19" s="30"/>
      <x:c r="K19" s="30"/>
      <x:c r="L19" s="30"/>
      <x:c r="M19" s="30"/>
      <x:c r="N19" s="30"/>
    </x:row>
    <x:row r="20">
      <x:c r="A20" s="30"/>
      <x:c r="B20" s="30"/>
      <x:c r="C20" s="30"/>
      <x:c r="D20" s="30"/>
      <x:c r="E20" s="30"/>
      <x:c r="F20" s="30"/>
      <x:c r="G20" s="30"/>
      <x:c r="H20" s="30"/>
      <x:c r="I20" s="30"/>
      <x:c r="J20" s="30"/>
      <x:c r="K20" s="30"/>
      <x:c r="L20" s="30"/>
      <x:c r="M20" s="30"/>
      <x:c r="N20" s="30"/>
    </x:row>
  </x:sheetData>
  <x:mergeCells>
    <x:mergeCell ref="A1:N1"/>
    <x:mergeCell ref="A17:N20"/>
  </x:mergeCells>
  <x:pageMargins left="0.7" right="0.7" top="0.75" bottom="0.75" header="0.3" footer="0.3"/>
  <x:tableParts count="1">
    <x:tablePart xmlns:r="http://schemas.openxmlformats.org/officeDocument/2006/relationships" r:id="R9fbe0e33e962464b"/>
  </x:tableParts>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 t="str">
        <x:v>Master Thesis Documentation — Interpretation of the Characterization Campaign</x:v>
      </x:c>
      <x:c r="B1" s="4"/>
      <x:c r="C1" s="4"/>
      <x:c r="D1" s="4"/>
      <x:c r="E1" s="4"/>
      <x:c r="F1" s="4"/>
      <x:c r="G1" s="4"/>
      <x:c r="H1" s="4"/>
    </x:row>
    <x:row r="3">
      <x:c r="A3" s="25" t="str">
        <x:v>1. Experimental scope</x:v>
      </x:c>
      <x:c r="B3" s="25"/>
      <x:c r="C3" s="25"/>
      <x:c r="D3" s="25"/>
      <x:c r="E3" s="25"/>
      <x:c r="F3" s="25"/>
      <x:c r="G3" s="25"/>
      <x:c r="H3" s="25"/>
    </x:row>
    <x:row r="4">
      <x:c r="A4" s="30" t="str">
        <x:v>The dataset characterizes the complete command-to-acceleration path comprising the ESP32 DAC output, class-D amplifier, Visaton EX 45 S, mechanical attachment/plate and ADXL2 measurement location. It therefore represents the installed secondary path rather than an intrinsic free-actuator force constant. The tool was switched off. Eleven discrete excitation frequencies from 100 to 350 Hz were tested, each at DAC values 10–15. One independent measurement was collected at each DAC condition.</x:v>
      </x:c>
      <x:c r="B4" s="30"/>
      <x:c r="C4" s="30"/>
      <x:c r="D4" s="30"/>
      <x:c r="E4" s="30"/>
      <x:c r="F4" s="30"/>
      <x:c r="G4" s="30"/>
      <x:c r="H4" s="30"/>
    </x:row>
    <x:row r="5">
      <x:c r="A5" s="30"/>
      <x:c r="B5" s="30"/>
      <x:c r="C5" s="30"/>
      <x:c r="D5" s="30"/>
      <x:c r="E5" s="30"/>
      <x:c r="F5" s="30"/>
      <x:c r="G5" s="30"/>
      <x:c r="H5" s="30"/>
    </x:row>
    <x:row r="6">
      <x:c r="A6" s="30"/>
      <x:c r="B6" s="30"/>
      <x:c r="C6" s="30"/>
      <x:c r="D6" s="30"/>
      <x:c r="E6" s="30"/>
      <x:c r="F6" s="30"/>
      <x:c r="G6" s="30"/>
      <x:c r="H6" s="30"/>
    </x:row>
    <x:row r="8">
      <x:c r="A8" s="25" t="str">
        <x:v>2. Frequency fidelity and signal-processing validation</x:v>
      </x:c>
      <x:c r="B8" s="25"/>
      <x:c r="C8" s="25"/>
      <x:c r="D8" s="25"/>
      <x:c r="E8" s="25"/>
      <x:c r="F8" s="25"/>
      <x:c r="G8" s="25"/>
      <x:c r="H8" s="25"/>
    </x:row>
    <x:row r="9">
      <x:c r="A9" s="30" t="str">
        <x:v>The triaxial vector FFT remained extremely close to the commanded excitation frequency at every accepted point. This validates the hardware-timer NCO excitation architecture and the commanded-frequency measurement strategy. The blind FFT remains useful for identifying harmonics or competing structural components, but it should not be used alone to define actuator direction when the commanded-frequency response on one axis is weak.</x:v>
      </x:c>
      <x:c r="B9" s="30"/>
      <x:c r="C9" s="30"/>
      <x:c r="D9" s="30"/>
      <x:c r="E9" s="30"/>
      <x:c r="F9" s="30"/>
      <x:c r="G9" s="30"/>
      <x:c r="H9" s="30"/>
    </x:row>
    <x:row r="10">
      <x:c r="A10" s="30"/>
      <x:c r="B10" s="30"/>
      <x:c r="C10" s="30"/>
      <x:c r="D10" s="30"/>
      <x:c r="E10" s="30"/>
      <x:c r="F10" s="30"/>
      <x:c r="G10" s="30"/>
      <x:c r="H10" s="30"/>
    </x:row>
    <x:row r="11">
      <x:c r="A11" s="30"/>
      <x:c r="B11" s="30"/>
      <x:c r="C11" s="30"/>
      <x:c r="D11" s="30"/>
      <x:c r="E11" s="30"/>
      <x:c r="F11" s="30"/>
      <x:c r="G11" s="30"/>
      <x:c r="H11" s="30"/>
    </x:row>
    <x:row r="13">
      <x:c r="A13" s="25" t="str">
        <x:v>3. Frequency-dependent directional response</x:v>
      </x:c>
      <x:c r="B13" s="25"/>
      <x:c r="C13" s="25"/>
      <x:c r="D13" s="25"/>
      <x:c r="E13" s="25"/>
      <x:c r="F13" s="25"/>
      <x:c r="G13" s="25"/>
      <x:c r="H13" s="25"/>
    </x:row>
    <x:row r="14">
      <x:c r="A14" s="30" t="str">
        <x:v>The measured response cannot be represented by a single fixed mechanical axis. At 125 Hz and 325 Hz, Y is the dominant exact-frequency component throughout DAC 10–15. From 175 through 300 Hz the response is predominantly Z-directed. At 350 Hz Z remains largest but the Y contribution grows with drive. This demonstrates a frequency-dependent three-dimensional transfer response of the complete actuator–mount structure.</x:v>
      </x:c>
      <x:c r="B14" s="30"/>
      <x:c r="C14" s="30"/>
      <x:c r="D14" s="30"/>
      <x:c r="E14" s="30"/>
      <x:c r="F14" s="30"/>
      <x:c r="G14" s="30"/>
      <x:c r="H14" s="30"/>
    </x:row>
    <x:row r="15">
      <x:c r="A15" s="30"/>
      <x:c r="B15" s="30"/>
      <x:c r="C15" s="30"/>
      <x:c r="D15" s="30"/>
      <x:c r="E15" s="30"/>
      <x:c r="F15" s="30"/>
      <x:c r="G15" s="30"/>
      <x:c r="H15" s="30"/>
    </x:row>
    <x:row r="16">
      <x:c r="A16" s="30"/>
      <x:c r="B16" s="30"/>
      <x:c r="C16" s="30"/>
      <x:c r="D16" s="30"/>
      <x:c r="E16" s="30"/>
      <x:c r="F16" s="30"/>
      <x:c r="G16" s="30"/>
      <x:c r="H16" s="30"/>
    </x:row>
    <x:row r="18">
      <x:c r="A18" s="25" t="str">
        <x:v>4. Amplitude-dependent directional transitions</x:v>
      </x:c>
      <x:c r="B18" s="25"/>
      <x:c r="C18" s="25"/>
      <x:c r="D18" s="25"/>
      <x:c r="E18" s="25"/>
      <x:c r="F18" s="25"/>
      <x:c r="G18" s="25"/>
      <x:c r="H18" s="25"/>
    </x:row>
    <x:row r="19">
      <x:c r="A19" s="30" t="str">
        <x:v>The 100 Hz and 150 Hz datasets show that direction is not only frequency dependent but can also depend on excitation magnitude. At 100 Hz the response changes from Z-dominant at DAC 10–11 to X-dominant from DAC 12 upward. At 150 Hz the response changes from Z-dominant to Y-dominant near DAC 14. These transitions coincide with abrupt acceleration increases and should therefore be treated as amplitude-dependent state changes rather than simple linear axis scaling.</x:v>
      </x:c>
      <x:c r="B19" s="30"/>
      <x:c r="C19" s="30"/>
      <x:c r="D19" s="30"/>
      <x:c r="E19" s="30"/>
      <x:c r="F19" s="30"/>
      <x:c r="G19" s="30"/>
      <x:c r="H19" s="30"/>
    </x:row>
    <x:row r="20">
      <x:c r="A20" s="30"/>
      <x:c r="B20" s="30"/>
      <x:c r="C20" s="30"/>
      <x:c r="D20" s="30"/>
      <x:c r="E20" s="30"/>
      <x:c r="F20" s="30"/>
      <x:c r="G20" s="30"/>
      <x:c r="H20" s="30"/>
    </x:row>
    <x:row r="21">
      <x:c r="A21" s="30"/>
      <x:c r="B21" s="30"/>
      <x:c r="C21" s="30"/>
      <x:c r="D21" s="30"/>
      <x:c r="E21" s="30"/>
      <x:c r="F21" s="30"/>
      <x:c r="G21" s="30"/>
      <x:c r="H21" s="30"/>
    </x:row>
    <x:row r="23">
      <x:c r="A23" s="25" t="str">
        <x:v>5. Nonlinearity and harmonic indicators</x:v>
      </x:c>
      <x:c r="B23" s="25"/>
      <x:c r="C23" s="25"/>
      <x:c r="D23" s="25"/>
      <x:c r="E23" s="25"/>
      <x:c r="F23" s="25"/>
      <x:c r="G23" s="25"/>
      <x:c r="H23" s="25"/>
    </x:row>
    <x:row r="24">
      <x:c r="A24" s="30" t="str">
        <x:v>The low-frequency high-DAC regime contains strong blind-FFT peaks near integer multiples of the commanded frequency. Examples include an approximately 200 Hz component during 100 Hz excitation and approximately 375/450 Hz components during 125/150 Hz excitation. Because these components become prominent near the same drive levels where the gain changes abruptly, the data are consistent with nonlinear mechanical/electromechanical behavior. Possible causes include mounting contact, preload, structural nonlinearity, actuator suspension behavior or amplifier/load effects; the present dataset alone cannot uniquely identify the cause.</x:v>
      </x:c>
      <x:c r="B24" s="30"/>
      <x:c r="C24" s="30"/>
      <x:c r="D24" s="30"/>
      <x:c r="E24" s="30"/>
      <x:c r="F24" s="30"/>
      <x:c r="G24" s="30"/>
      <x:c r="H24" s="30"/>
    </x:row>
    <x:row r="25">
      <x:c r="A25" s="30"/>
      <x:c r="B25" s="30"/>
      <x:c r="C25" s="30"/>
      <x:c r="D25" s="30"/>
      <x:c r="E25" s="30"/>
      <x:c r="F25" s="30"/>
      <x:c r="G25" s="30"/>
      <x:c r="H25" s="30"/>
    </x:row>
    <x:row r="26">
      <x:c r="A26" s="30"/>
      <x:c r="B26" s="30"/>
      <x:c r="C26" s="30"/>
      <x:c r="D26" s="30"/>
      <x:c r="E26" s="30"/>
      <x:c r="F26" s="30"/>
      <x:c r="G26" s="30"/>
      <x:c r="H26" s="30"/>
    </x:row>
    <x:row r="28">
      <x:c r="A28" s="25" t="str">
        <x:v>6. Approximately proportional operating region</x:v>
      </x:c>
      <x:c r="B28" s="25"/>
      <x:c r="C28" s="25"/>
      <x:c r="D28" s="25"/>
      <x:c r="E28" s="25"/>
      <x:c r="F28" s="25"/>
      <x:c r="G28" s="25"/>
      <x:c r="H28" s="25"/>
    </x:row>
    <x:row r="29">
      <x:c r="A29" s="30" t="str">
        <x:v>From approximately 200 Hz upward, the DAC-to-resultant-acceleration relationship becomes substantially more predictable. The cleanest proportionality is observed at 250, 275, 300, 325 and 350 Hz. In these cases the total acceleration per DAC count varies only weakly over DAC 10–15. Such operating points are more suitable for deterministic amplitude matching because the actuator command has a predictable effect on the measured response.</x:v>
      </x:c>
      <x:c r="B29" s="30"/>
      <x:c r="C29" s="30"/>
      <x:c r="D29" s="30"/>
      <x:c r="E29" s="30"/>
      <x:c r="F29" s="30"/>
      <x:c r="G29" s="30"/>
      <x:c r="H29" s="30"/>
    </x:row>
    <x:row r="30">
      <x:c r="A30" s="30"/>
      <x:c r="B30" s="30"/>
      <x:c r="C30" s="30"/>
      <x:c r="D30" s="30"/>
      <x:c r="E30" s="30"/>
      <x:c r="F30" s="30"/>
      <x:c r="G30" s="30"/>
      <x:c r="H30" s="30"/>
    </x:row>
    <x:row r="31">
      <x:c r="A31" s="30"/>
      <x:c r="B31" s="30"/>
      <x:c r="C31" s="30"/>
      <x:c r="D31" s="30"/>
      <x:c r="E31" s="30"/>
      <x:c r="F31" s="30"/>
      <x:c r="G31" s="30"/>
      <x:c r="H31" s="30"/>
    </x:row>
    <x:row r="33">
      <x:c r="A33" s="25" t="str">
        <x:v>7. Relevance to the ~269–275 Hz active-damping objective</x:v>
      </x:c>
      <x:c r="B33" s="25"/>
      <x:c r="C33" s="25"/>
      <x:c r="D33" s="25"/>
      <x:c r="E33" s="25"/>
      <x:c r="F33" s="25"/>
      <x:c r="G33" s="25"/>
      <x:c r="H33" s="25"/>
    </x:row>
    <x:row r="34">
      <x:c r="A34" s="30" t="str">
        <x:v>Near the tool-relevant frequency region, the actuator is not X-dominant in the current mounting. At 275 Hz, Z is the largest component, Y is secondary and X is substantially weaker. The amplitude response is nevertheless comparatively smooth and the dominant-axis phase is stable. This means that amplitude control near the operating frequency is feasible, but the available mechanical control direction is poorly aligned with a predominantly X disturbance. Mounting/orientation therefore remains a fundamental design variable, not merely a controller-tuning issue.</x:v>
      </x:c>
      <x:c r="B34" s="30"/>
      <x:c r="C34" s="30"/>
      <x:c r="D34" s="30"/>
      <x:c r="E34" s="30"/>
      <x:c r="F34" s="30"/>
      <x:c r="G34" s="30"/>
      <x:c r="H34" s="30"/>
    </x:row>
    <x:row r="35">
      <x:c r="A35" s="30"/>
      <x:c r="B35" s="30"/>
      <x:c r="C35" s="30"/>
      <x:c r="D35" s="30"/>
      <x:c r="E35" s="30"/>
      <x:c r="F35" s="30"/>
      <x:c r="G35" s="30"/>
      <x:c r="H35" s="30"/>
    </x:row>
    <x:row r="36">
      <x:c r="A36" s="30"/>
      <x:c r="B36" s="30"/>
      <x:c r="C36" s="30"/>
      <x:c r="D36" s="30"/>
      <x:c r="E36" s="30"/>
      <x:c r="F36" s="30"/>
      <x:c r="G36" s="30"/>
      <x:c r="H36" s="30"/>
    </x:row>
    <x:row r="38">
      <x:c r="A38" s="25" t="str">
        <x:v>8. Correct response model and thesis claim</x:v>
      </x:c>
      <x:c r="B38" s="25"/>
      <x:c r="C38" s="25"/>
      <x:c r="D38" s="25"/>
      <x:c r="E38" s="25"/>
      <x:c r="F38" s="25"/>
      <x:c r="G38" s="25"/>
      <x:c r="H38" s="25"/>
    </x:row>
    <x:row r="39">
      <x:c r="A39" s="30" t="str">
        <x:v>The results support modeling the installed actuator path as a three-dimensional, frequency- and drive-dependent response H(f,U). They do not support a universal rule such as 'the Visaton becomes X-dominant above 250 Hz'. Axis dominance is a property of the complete actuator–mount–sensor configuration and can change with both frequency and DAC. This corrected interpretation should supersede earlier preliminary frequency-range-to-axis classifications.</x:v>
      </x:c>
      <x:c r="B39" s="30"/>
      <x:c r="C39" s="30"/>
      <x:c r="D39" s="30"/>
      <x:c r="E39" s="30"/>
      <x:c r="F39" s="30"/>
      <x:c r="G39" s="30"/>
      <x:c r="H39" s="30"/>
    </x:row>
    <x:row r="40">
      <x:c r="A40" s="30"/>
      <x:c r="B40" s="30"/>
      <x:c r="C40" s="30"/>
      <x:c r="D40" s="30"/>
      <x:c r="E40" s="30"/>
      <x:c r="F40" s="30"/>
      <x:c r="G40" s="30"/>
      <x:c r="H40" s="30"/>
    </x:row>
    <x:row r="41">
      <x:c r="A41" s="30"/>
      <x:c r="B41" s="30"/>
      <x:c r="C41" s="30"/>
      <x:c r="D41" s="30"/>
      <x:c r="E41" s="30"/>
      <x:c r="F41" s="30"/>
      <x:c r="G41" s="30"/>
      <x:c r="H41" s="30"/>
    </x:row>
    <x:row r="43">
      <x:c r="A43" s="25" t="str">
        <x:v>9. Experimental limitations</x:v>
      </x:c>
      <x:c r="B43" s="25"/>
      <x:c r="C43" s="25"/>
      <x:c r="D43" s="25"/>
      <x:c r="E43" s="25"/>
      <x:c r="F43" s="25"/>
      <x:c r="G43" s="25"/>
      <x:c r="H43" s="25"/>
    </x:row>
    <x:row r="44">
      <x:c r="A44" s="30" t="str">
        <x:v>Because n = 1, the dataset is not sufficient to establish between-run repeatability. The abrupt 100 Hz and 150 Hz transitions must be repeated at finer DAC resolution with multiple independent measurements. Selected clean operating points should also be repeated without remounting and in forward/reverse order to quantify drift, heating and order effects. Absolute phase should only be interpreted where axis amplitude and synchronization are adequate.</x:v>
      </x:c>
      <x:c r="B44" s="30"/>
      <x:c r="C44" s="30"/>
      <x:c r="D44" s="30"/>
      <x:c r="E44" s="30"/>
      <x:c r="F44" s="30"/>
      <x:c r="G44" s="30"/>
      <x:c r="H44" s="30"/>
    </x:row>
    <x:row r="45">
      <x:c r="A45" s="30"/>
      <x:c r="B45" s="30"/>
      <x:c r="C45" s="30"/>
      <x:c r="D45" s="30"/>
      <x:c r="E45" s="30"/>
      <x:c r="F45" s="30"/>
      <x:c r="G45" s="30"/>
      <x:c r="H45" s="30"/>
    </x:row>
    <x:row r="46">
      <x:c r="A46" s="30"/>
      <x:c r="B46" s="30"/>
      <x:c r="C46" s="30"/>
      <x:c r="D46" s="30"/>
      <x:c r="E46" s="30"/>
      <x:c r="F46" s="30"/>
      <x:c r="G46" s="30"/>
      <x:c r="H46" s="30"/>
    </x:row>
    <x:row r="48">
      <x:c r="A48" s="25" t="str">
        <x:v>10. Recommended validation campaign</x:v>
      </x:c>
      <x:c r="B48" s="25"/>
      <x:c r="C48" s="25"/>
      <x:c r="D48" s="25"/>
      <x:c r="E48" s="25"/>
      <x:c r="F48" s="25"/>
      <x:c r="G48" s="25"/>
      <x:c r="H48" s="25"/>
    </x:row>
    <x:row r="49">
      <x:c r="A49" s="30" t="str">
        <x:v>Repeat 100 Hz over DAC 10–14 and 150 Hz over DAC 11–15 using approximately 0.25 DAC steps and n ≥ 5 to verify the transition thresholds. Repeat representative clean points (200, 250, 275, 300, 325 and 350 Hz) at three drive levels with n ≥ 5. Perform forward and reverse ordering without mechanical changes. If possible, record amplifier output voltage/current so that DAC can later be related to a physical electrical drive quantity.</x:v>
      </x:c>
      <x:c r="B49" s="30"/>
      <x:c r="C49" s="30"/>
      <x:c r="D49" s="30"/>
      <x:c r="E49" s="30"/>
      <x:c r="F49" s="30"/>
      <x:c r="G49" s="30"/>
      <x:c r="H49" s="30"/>
    </x:row>
    <x:row r="50">
      <x:c r="A50" s="30"/>
      <x:c r="B50" s="30"/>
      <x:c r="C50" s="30"/>
      <x:c r="D50" s="30"/>
      <x:c r="E50" s="30"/>
      <x:c r="F50" s="30"/>
      <x:c r="G50" s="30"/>
      <x:c r="H50" s="30"/>
    </x:row>
    <x:row r="51">
      <x:c r="A51" s="30"/>
      <x:c r="B51" s="30"/>
      <x:c r="C51" s="30"/>
      <x:c r="D51" s="30"/>
      <x:c r="E51" s="30"/>
      <x:c r="F51" s="30"/>
      <x:c r="G51" s="30"/>
      <x:c r="H51" s="30"/>
    </x:row>
  </x:sheetData>
  <x:mergeCells>
    <x:mergeCell ref="A1:H1"/>
    <x:mergeCell ref="A3:H3"/>
    <x:mergeCell ref="A4:H6"/>
    <x:mergeCell ref="A8:H8"/>
    <x:mergeCell ref="A9:H11"/>
    <x:mergeCell ref="A13:H13"/>
    <x:mergeCell ref="A14:H16"/>
    <x:mergeCell ref="A18:H18"/>
    <x:mergeCell ref="A19:H21"/>
    <x:mergeCell ref="A23:H23"/>
    <x:mergeCell ref="A24:H26"/>
    <x:mergeCell ref="A28:H28"/>
    <x:mergeCell ref="A29:H31"/>
    <x:mergeCell ref="A33:H33"/>
    <x:mergeCell ref="A34:H36"/>
    <x:mergeCell ref="A38:H38"/>
    <x:mergeCell ref="A39:H41"/>
    <x:mergeCell ref="A43:H43"/>
    <x:mergeCell ref="A44:H46"/>
    <x:mergeCell ref="A48:H48"/>
    <x:mergeCell ref="A49:H51"/>
  </x:mergeCells>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31" hidden="0" customWidth="1"/>
    <x:col min="5" max="5" width="16" hidden="0" customWidth="1"/>
    <x:col min="7" max="7" width="16" hidden="0" customWidth="1"/>
    <x:col min="8" max="8" width="18" hidden="0" customWidth="1"/>
    <x:col min="9" max="9" width="18" hidden="0" customWidth="1"/>
    <x:col min="10" max="10" width="18" hidden="0" customWidth="1"/>
    <x:col min="12" max="12" width="14" hidden="0" customWidth="1"/>
    <x:col min="13" max="13" width="18" hidden="0" customWidth="1"/>
    <x:col min="14" max="14" width="24" hidden="0" customWidth="1"/>
  </x:cols>
  <x:sheetData>
    <x:row r="1">
      <x:c r="A1" s="4" t="str">
        <x:v>Visaton 3-Axis Characterization Dashboard</x:v>
      </x:c>
      <x:c r="B1" s="79"/>
      <x:c r="C1" s="79"/>
      <x:c r="D1" s="79"/>
      <x:c r="E1" s="79"/>
      <x:c r="F1" s="4"/>
      <x:c r="G1" s="4"/>
      <x:c r="H1" s="79"/>
      <x:c r="I1" s="79"/>
      <x:c r="J1" s="79"/>
      <x:c r="K1" s="4"/>
      <x:c r="L1" s="4"/>
      <x:c r="M1" s="4"/>
      <x:c r="N1" s="4"/>
    </x:row>
    <x:row r="3">
      <x:c r="A3" s="16" t="str">
        <x:v>Dataset KPI</x:v>
      </x:c>
      <x:c r="B3" s="16" t="str">
        <x:v>Value</x:v>
      </x:c>
      <x:c r="D3" s="16" t="str">
        <x:v>Quality KPI</x:v>
      </x:c>
      <x:c r="E3" s="16" t="str">
        <x:v>Value</x:v>
      </x:c>
      <x:c r="L3" s="16" t="str">
        <x:v>Frequency</x:v>
      </x:c>
      <x:c r="M3" s="16" t="str">
        <x:v>Dominant @ DAC15</x:v>
      </x:c>
      <x:c r="N3" s="16" t="str">
        <x:v>Regime</x:v>
      </x:c>
    </x:row>
    <x:row r="4">
      <x:c r="A4" s="22" t="str">
        <x:v>Measurement points</x:v>
      </x:c>
      <x:c r="B4" s="22" t="n">
        <x:v>66</x:v>
      </x:c>
      <x:c r="D4" s="22" t="str">
        <x:v>Maximum |vector freq error| Hz</x:v>
      </x:c>
      <x:c r="E4" s="61" t="n">
        <x:f>MAX('Frequency Analysis'!S2:S12)</x:f>
        <x:v>0.03363999999999123</x:v>
      </x:c>
      <x:c r="L4" s="22" t="n">
        <x:f>'Frequency Analysis'!A2</x:f>
        <x:v>100</x:v>
      </x:c>
      <x:c r="M4" s="22" t="str">
        <x:f>'Frequency Analysis'!C2</x:f>
        <x:v>X</x:v>
      </x:c>
      <x:c r="N4" s="22" t="str">
        <x:f>'Frequency Analysis'!D2</x:f>
        <x:v>Z→X transition</x:v>
      </x:c>
    </x:row>
    <x:row r="5">
      <x:c r="A5" s="22" t="str">
        <x:v>Frequency span</x:v>
      </x:c>
      <x:c r="B5" s="22" t="str">
        <x:v>100–350 Hz</x:v>
      </x:c>
      <x:c r="D5" s="22" t="str">
        <x:v>Most proportional frequency (Hz)</x:v>
      </x:c>
      <x:c r="E5" s="61" t="n">
        <x:f>INDEX('Frequency Analysis'!A2:A12,MATCH(MIN('Frequency Analysis'!O2:O12),'Frequency Analysis'!O2:O12,0))</x:f>
        <x:v>300</x:v>
      </x:c>
      <x:c r="L5" s="22" t="n">
        <x:f>'Frequency Analysis'!A3</x:f>
        <x:v>125</x:v>
      </x:c>
      <x:c r="M5" s="22" t="str">
        <x:f>'Frequency Analysis'!C3</x:f>
        <x:v>Y</x:v>
      </x:c>
      <x:c r="N5" s="22" t="str">
        <x:f>'Frequency Analysis'!D3</x:f>
        <x:v>Stable Y-dominant</x:v>
      </x:c>
    </x:row>
    <x:row r="6">
      <x:c r="A6" s="22" t="str">
        <x:v>DAC span</x:v>
      </x:c>
      <x:c r="B6" s="22" t="str">
        <x:v>10–15</x:v>
      </x:c>
      <x:c r="D6" s="22" t="str">
        <x:v>Lowest Total/DAC CV %</x:v>
      </x:c>
      <x:c r="E6" s="61" t="n">
        <x:f>MIN('Frequency Analysis'!O2:O12)</x:f>
        <x:v>0.41931135997361724</x:v>
      </x:c>
      <x:c r="L6" s="22" t="n">
        <x:f>'Frequency Analysis'!A4</x:f>
        <x:v>150</x:v>
      </x:c>
      <x:c r="M6" s="22" t="str">
        <x:f>'Frequency Analysis'!C4</x:f>
        <x:v>Y</x:v>
      </x:c>
      <x:c r="N6" s="22" t="str">
        <x:f>'Frequency Analysis'!D4</x:f>
        <x:v>Z→Y transition</x:v>
      </x:c>
    </x:row>
    <x:row r="7">
      <x:c r="A7" s="22" t="str">
        <x:v>Independent repeats / point</x:v>
      </x:c>
      <x:c r="B7" s="22" t="n">
        <x:v>1</x:v>
      </x:c>
      <x:c r="D7" s="22" t="str">
        <x:v>Strongest Total @ DAC15 (m/s²)</x:v>
      </x:c>
      <x:c r="E7" s="61" t="n">
        <x:f>MAX('Frequency Analysis'!L2:L12)</x:f>
        <x:v>3.47061</x:v>
      </x:c>
      <x:c r="L7" s="22" t="n">
        <x:f>'Frequency Analysis'!A5</x:f>
        <x:v>175</x:v>
      </x:c>
      <x:c r="M7" s="22" t="str">
        <x:f>'Frequency Analysis'!C5</x:f>
        <x:v>Z</x:v>
      </x:c>
      <x:c r="N7" s="22" t="str">
        <x:f>'Frequency Analysis'!D5</x:f>
        <x:v>Stable Z-dominant</x:v>
      </x:c>
    </x:row>
    <x:row r="8">
      <x:c r="L8" s="22" t="n">
        <x:f>'Frequency Analysis'!A6</x:f>
        <x:v>200</x:v>
      </x:c>
      <x:c r="M8" s="22" t="str">
        <x:f>'Frequency Analysis'!C6</x:f>
        <x:v>Z</x:v>
      </x:c>
      <x:c r="N8" s="22" t="str">
        <x:f>'Frequency Analysis'!D6</x:f>
        <x:v>Stable Z-dominant</x:v>
      </x:c>
    </x:row>
    <x:row r="9">
      <x:c r="L9" s="22" t="n">
        <x:f>'Frequency Analysis'!A7</x:f>
        <x:v>225</x:v>
      </x:c>
      <x:c r="M9" s="22" t="str">
        <x:f>'Frequency Analysis'!C7</x:f>
        <x:v>Z</x:v>
      </x:c>
      <x:c r="N9" s="22" t="str">
        <x:f>'Frequency Analysis'!D7</x:f>
        <x:v>Stable Z-dominant</x:v>
      </x:c>
    </x:row>
    <x:row r="10">
      <x:c r="A10" s="16" t="str">
        <x:v>Frequency</x:v>
      </x:c>
      <x:c r="B10" s="16" t="str">
        <x:v>X @ DAC15</x:v>
      </x:c>
      <x:c r="C10" s="16" t="str">
        <x:v>Y @ DAC15</x:v>
      </x:c>
      <x:c r="D10" s="16" t="str">
        <x:v>Z @ DAC15</x:v>
      </x:c>
      <x:c r="E10" s="16" t="str">
        <x:v>Total @ DAC15</x:v>
      </x:c>
      <x:c r="F10" s="22"/>
      <x:c r="G10" s="16" t="str">
        <x:v>Frequency</x:v>
      </x:c>
      <x:c r="H10" s="16" t="str">
        <x:v>Total/DAC CV %</x:v>
      </x:c>
      <x:c r="I10" s="16" t="str">
        <x:v>R² Total vs DAC</x:v>
      </x:c>
      <x:c r="J10" s="16" t="str">
        <x:v>A15/A10</x:v>
      </x:c>
      <x:c r="L10" s="22" t="n">
        <x:f>'Frequency Analysis'!A8</x:f>
        <x:v>250</x:v>
      </x:c>
      <x:c r="M10" s="22" t="str">
        <x:f>'Frequency Analysis'!C8</x:f>
        <x:v>Z</x:v>
      </x:c>
      <x:c r="N10" s="22" t="str">
        <x:f>'Frequency Analysis'!D8</x:f>
        <x:v>Stable Z-dominant</x:v>
      </x:c>
    </x:row>
    <x:row r="11">
      <x:c r="A11" s="22" t="n">
        <x:f>'Frequency Analysis'!A2</x:f>
        <x:v>100</x:v>
      </x:c>
      <x:c r="B11" s="61" t="n">
        <x:f>'Frequency Analysis'!I2</x:f>
        <x:v>2.31402</x:v>
      </x:c>
      <x:c r="C11" s="61" t="n">
        <x:f>'Frequency Analysis'!J2</x:f>
        <x:v>2.05378</x:v>
      </x:c>
      <x:c r="D11" s="61" t="n">
        <x:f>'Frequency Analysis'!K2</x:f>
        <x:v>1.57215</x:v>
      </x:c>
      <x:c r="E11" s="61" t="n">
        <x:f>'Frequency Analysis'!L2</x:f>
        <x:v>3.47061</x:v>
      </x:c>
      <x:c r="F11" s="22"/>
      <x:c r="G11" s="22" t="n">
        <x:f>'Frequency Analysis'!A2</x:f>
        <x:v>100</x:v>
      </x:c>
      <x:c r="H11" s="61" t="n">
        <x:f>'Frequency Analysis'!O2</x:f>
        <x:v>54.7973743534022</x:v>
      </x:c>
      <x:c r="I11" s="61" t="n">
        <x:f>'Frequency Analysis'!R2</x:f>
        <x:v>0.9700502902541963</x:v>
      </x:c>
      <x:c r="J11" s="61" t="n">
        <x:f>'Frequency Analysis'!M2</x:f>
        <x:v>7.996797235023042</x:v>
      </x:c>
      <x:c r="L11" s="22" t="n">
        <x:f>'Frequency Analysis'!A9</x:f>
        <x:v>275</x:v>
      </x:c>
      <x:c r="M11" s="22" t="str">
        <x:f>'Frequency Analysis'!C9</x:f>
        <x:v>Z</x:v>
      </x:c>
      <x:c r="N11" s="22" t="str">
        <x:f>'Frequency Analysis'!D9</x:f>
        <x:v>Stable Z-dominant</x:v>
      </x:c>
    </x:row>
    <x:row r="12">
      <x:c r="A12" s="22" t="n">
        <x:f>'Frequency Analysis'!A3</x:f>
        <x:v>125</x:v>
      </x:c>
      <x:c r="B12" s="61" t="n">
        <x:f>'Frequency Analysis'!I3</x:f>
        <x:v>0.79395</x:v>
      </x:c>
      <x:c r="C12" s="61" t="n">
        <x:f>'Frequency Analysis'!J3</x:f>
        <x:v>2.26703</x:v>
      </x:c>
      <x:c r="D12" s="61" t="n">
        <x:f>'Frequency Analysis'!K3</x:f>
        <x:v>0.70313</x:v>
      </x:c>
      <x:c r="E12" s="61" t="n">
        <x:f>'Frequency Analysis'!L3</x:f>
        <x:v>2.50293</x:v>
      </x:c>
      <x:c r="F12" s="22"/>
      <x:c r="G12" s="22" t="n">
        <x:f>'Frequency Analysis'!A3</x:f>
        <x:v>125</x:v>
      </x:c>
      <x:c r="H12" s="61" t="n">
        <x:f>'Frequency Analysis'!O3</x:f>
        <x:v>37.504538397589876</x:v>
      </x:c>
      <x:c r="I12" s="61" t="n">
        <x:f>'Frequency Analysis'!R3</x:f>
        <x:v>0.9977404876740913</x:v>
      </x:c>
      <x:c r="J12" s="61" t="n">
        <x:f>'Frequency Analysis'!M3</x:f>
        <x:v>5.089635398661977</x:v>
      </x:c>
      <x:c r="L12" s="22" t="n">
        <x:f>'Frequency Analysis'!A10</x:f>
        <x:v>300</x:v>
      </x:c>
      <x:c r="M12" s="22" t="str">
        <x:f>'Frequency Analysis'!C10</x:f>
        <x:v>Z</x:v>
      </x:c>
      <x:c r="N12" s="22" t="str">
        <x:f>'Frequency Analysis'!D10</x:f>
        <x:v>Stable Z-dominant</x:v>
      </x:c>
    </x:row>
    <x:row r="13">
      <x:c r="A13" s="22" t="n">
        <x:f>'Frequency Analysis'!A4</x:f>
        <x:v>150</x:v>
      </x:c>
      <x:c r="B13" s="61" t="n">
        <x:f>'Frequency Analysis'!I4</x:f>
        <x:v>0.30715</x:v>
      </x:c>
      <x:c r="C13" s="61" t="n">
        <x:f>'Frequency Analysis'!J4</x:f>
        <x:v>0.92824</x:v>
      </x:c>
      <x:c r="D13" s="61" t="n">
        <x:f>'Frequency Analysis'!K4</x:f>
        <x:v>0.80842</x:v>
      </x:c>
      <x:c r="E13" s="61" t="n">
        <x:f>'Frequency Analysis'!L4</x:f>
        <x:v>1.26878</x:v>
      </x:c>
      <x:c r="F13" s="22"/>
      <x:c r="G13" s="22" t="n">
        <x:f>'Frequency Analysis'!A4</x:f>
        <x:v>150</x:v>
      </x:c>
      <x:c r="H13" s="61" t="n">
        <x:f>'Frequency Analysis'!O4</x:f>
        <x:v>67.05580336980724</x:v>
      </x:c>
      <x:c r="I13" s="61" t="n">
        <x:f>'Frequency Analysis'!R4</x:f>
        <x:v>0.9023600018006195</x:v>
      </x:c>
      <x:c r="J13" s="61" t="n">
        <x:f>'Frequency Analysis'!M4</x:f>
        <x:v>7.072746529906907</x:v>
      </x:c>
      <x:c r="L13" s="22" t="n">
        <x:f>'Frequency Analysis'!A11</x:f>
        <x:v>325</x:v>
      </x:c>
      <x:c r="M13" s="22" t="str">
        <x:f>'Frequency Analysis'!C11</x:f>
        <x:v>Y</x:v>
      </x:c>
      <x:c r="N13" s="22" t="str">
        <x:f>'Frequency Analysis'!D11</x:f>
        <x:v>Stable Y-dominant</x:v>
      </x:c>
    </x:row>
    <x:row r="14">
      <x:c r="A14" s="22" t="n">
        <x:f>'Frequency Analysis'!A5</x:f>
        <x:v>175</x:v>
      </x:c>
      <x:c r="B14" s="61" t="n">
        <x:f>'Frequency Analysis'!I5</x:f>
        <x:v>0.02367</x:v>
      </x:c>
      <x:c r="C14" s="61" t="n">
        <x:f>'Frequency Analysis'!J5</x:f>
        <x:v>0.19369</x:v>
      </x:c>
      <x:c r="D14" s="61" t="n">
        <x:f>'Frequency Analysis'!K5</x:f>
        <x:v>0.48801</x:v>
      </x:c>
      <x:c r="E14" s="61" t="n">
        <x:f>'Frequency Analysis'!L5</x:f>
        <x:v>0.52734</x:v>
      </x:c>
      <x:c r="F14" s="22"/>
      <x:c r="G14" s="22" t="n">
        <x:f>'Frequency Analysis'!A5</x:f>
        <x:v>175</x:v>
      </x:c>
      <x:c r="H14" s="61" t="n">
        <x:f>'Frequency Analysis'!O5</x:f>
        <x:v>8.059042124743886</x:v>
      </x:c>
      <x:c r="I14" s="61" t="n">
        <x:f>'Frequency Analysis'!R5</x:f>
        <x:v>0.9396948440468634</x:v>
      </x:c>
      <x:c r="J14" s="61" t="n">
        <x:f>'Frequency Analysis'!M5</x:f>
        <x:v>1.8865238078202697</x:v>
      </x:c>
      <x:c r="L14" s="22" t="n">
        <x:f>'Frequency Analysis'!A12</x:f>
        <x:v>350</x:v>
      </x:c>
      <x:c r="M14" s="22" t="str">
        <x:f>'Frequency Analysis'!C12</x:f>
        <x:v>Z</x:v>
      </x:c>
      <x:c r="N14" s="22" t="str">
        <x:f>'Frequency Analysis'!D12</x:f>
        <x:v>Stable Z-dominant</x:v>
      </x:c>
    </x:row>
    <x:row r="15">
      <x:c r="A15" s="22" t="n">
        <x:f>'Frequency Analysis'!A6</x:f>
        <x:v>200</x:v>
      </x:c>
      <x:c r="B15" s="61" t="n">
        <x:f>'Frequency Analysis'!I6</x:f>
        <x:v>0.02327</x:v>
      </x:c>
      <x:c r="C15" s="61" t="n">
        <x:f>'Frequency Analysis'!J6</x:f>
        <x:v>0.20091</x:v>
      </x:c>
      <x:c r="D15" s="61" t="n">
        <x:f>'Frequency Analysis'!K6</x:f>
        <x:v>0.58172</x:v>
      </x:c>
      <x:c r="E15" s="61" t="n">
        <x:f>'Frequency Analysis'!L6</x:f>
        <x:v>0.61603</x:v>
      </x:c>
      <x:c r="F15" s="22"/>
      <x:c r="G15" s="22" t="n">
        <x:f>'Frequency Analysis'!A6</x:f>
        <x:v>200</x:v>
      </x:c>
      <x:c r="H15" s="61" t="n">
        <x:f>'Frequency Analysis'!O6</x:f>
        <x:v>3.0182699852363095</x:v>
      </x:c>
      <x:c r="I15" s="61" t="n">
        <x:f>'Frequency Analysis'!R6</x:f>
        <x:v>0.9965417131133769</x:v>
      </x:c>
      <x:c r="J15" s="61" t="n">
        <x:f>'Frequency Analysis'!M6</x:f>
        <x:v>1.631694654871007</x:v>
      </x:c>
    </x:row>
    <x:row r="16">
      <x:c r="A16" s="22" t="n">
        <x:f>'Frequency Analysis'!A7</x:f>
        <x:v>225</x:v>
      </x:c>
      <x:c r="B16" s="61" t="n">
        <x:f>'Frequency Analysis'!I7</x:f>
        <x:v>0.03635</x:v>
      </x:c>
      <x:c r="C16" s="61" t="n">
        <x:f>'Frequency Analysis'!J7</x:f>
        <x:v>0.28218</x:v>
      </x:c>
      <x:c r="D16" s="61" t="n">
        <x:f>'Frequency Analysis'!K7</x:f>
        <x:v>0.43474</x:v>
      </x:c>
      <x:c r="E16" s="61" t="n">
        <x:f>'Frequency Analysis'!L7</x:f>
        <x:v>0.51993</x:v>
      </x:c>
      <x:c r="F16" s="22"/>
      <x:c r="G16" s="22" t="n">
        <x:f>'Frequency Analysis'!A7</x:f>
        <x:v>225</x:v>
      </x:c>
      <x:c r="H16" s="61" t="n">
        <x:f>'Frequency Analysis'!O7</x:f>
        <x:v>4.083036133202521</x:v>
      </x:c>
      <x:c r="I16" s="61" t="n">
        <x:f>'Frequency Analysis'!R7</x:f>
        <x:v>0.991496699408417</x:v>
      </x:c>
      <x:c r="J16" s="61" t="n">
        <x:f>'Frequency Analysis'!M7</x:f>
        <x:v>1.6807719661214198</x:v>
      </x:c>
    </x:row>
    <x:row r="17">
      <x:c r="A17" s="22" t="n">
        <x:f>'Frequency Analysis'!A8</x:f>
        <x:v>250</x:v>
      </x:c>
      <x:c r="B17" s="61" t="n">
        <x:f>'Frequency Analysis'!I8</x:f>
        <x:v>0.0975</x:v>
      </x:c>
      <x:c r="C17" s="61" t="n">
        <x:f>'Frequency Analysis'!J8</x:f>
        <x:v>0.40939</x:v>
      </x:c>
      <x:c r="D17" s="61" t="n">
        <x:f>'Frequency Analysis'!K8</x:f>
        <x:v>0.7997</x:v>
      </x:c>
      <x:c r="E17" s="61" t="n">
        <x:f>'Frequency Analysis'!L8</x:f>
        <x:v>0.90656</x:v>
      </x:c>
      <x:c r="F17" s="22"/>
      <x:c r="G17" s="22" t="n">
        <x:f>'Frequency Analysis'!A8</x:f>
        <x:v>250</x:v>
      </x:c>
      <x:c r="H17" s="61" t="n">
        <x:f>'Frequency Analysis'!O8</x:f>
        <x:v>0.6182064100151987</x:v>
      </x:c>
      <x:c r="I17" s="61" t="n">
        <x:f>'Frequency Analysis'!R8</x:f>
        <x:v>0.9983106204252103</x:v>
      </x:c>
      <x:c r="J17" s="61" t="n">
        <x:f>'Frequency Analysis'!M8</x:f>
        <x:v>1.4901213057628455</x:v>
      </x:c>
    </x:row>
    <x:row r="18">
      <x:c r="A18" s="22" t="n">
        <x:f>'Frequency Analysis'!A9</x:f>
        <x:v>275</x:v>
      </x:c>
      <x:c r="B18" s="61" t="n">
        <x:f>'Frequency Analysis'!I9</x:f>
        <x:v>0.1935</x:v>
      </x:c>
      <x:c r="C18" s="61" t="n">
        <x:f>'Frequency Analysis'!J9</x:f>
        <x:v>0.50459</x:v>
      </x:c>
      <x:c r="D18" s="61" t="n">
        <x:f>'Frequency Analysis'!K9</x:f>
        <x:v>1.0661</x:v>
      </x:c>
      <x:c r="E18" s="61" t="n">
        <x:f>'Frequency Analysis'!L9</x:f>
        <x:v>1.19635</x:v>
      </x:c>
      <x:c r="F18" s="22"/>
      <x:c r="G18" s="22" t="n">
        <x:f>'Frequency Analysis'!A9</x:f>
        <x:v>275</x:v>
      </x:c>
      <x:c r="H18" s="61" t="n">
        <x:f>'Frequency Analysis'!O9</x:f>
        <x:v>2.248900371311409</x:v>
      </x:c>
      <x:c r="I18" s="61" t="n">
        <x:f>'Frequency Analysis'!R9</x:f>
        <x:v>0.9972249310602674</x:v>
      </x:c>
      <x:c r="J18" s="61" t="n">
        <x:f>'Frequency Analysis'!M9</x:f>
        <x:v>1.6045897153893613</x:v>
      </x:c>
    </x:row>
    <x:row r="19">
      <x:c r="A19" s="22" t="n">
        <x:f>'Frequency Analysis'!A10</x:f>
        <x:v>300</x:v>
      </x:c>
      <x:c r="B19" s="61" t="n">
        <x:f>'Frequency Analysis'!I10</x:f>
        <x:v>0.37804</x:v>
      </x:c>
      <x:c r="C19" s="61" t="n">
        <x:f>'Frequency Analysis'!J10</x:f>
        <x:v>0.63158</x:v>
      </x:c>
      <x:c r="D19" s="61" t="n">
        <x:f>'Frequency Analysis'!K10</x:f>
        <x:v>0.87515</x:v>
      </x:c>
      <x:c r="E19" s="61" t="n">
        <x:f>'Frequency Analysis'!L10</x:f>
        <x:v>1.1439</x:v>
      </x:c>
      <x:c r="F19" s="22"/>
      <x:c r="G19" s="22" t="n">
        <x:f>'Frequency Analysis'!A10</x:f>
        <x:v>300</x:v>
      </x:c>
      <x:c r="H19" s="61" t="n">
        <x:f>'Frequency Analysis'!O10</x:f>
        <x:v>0.41931135997361724</x:v>
      </x:c>
      <x:c r="I19" s="61" t="n">
        <x:f>'Frequency Analysis'!R10</x:f>
        <x:v>0.9993654574969428</x:v>
      </x:c>
      <x:c r="J19" s="61" t="n">
        <x:f>'Frequency Analysis'!M10</x:f>
        <x:v>1.4933030469178348</x:v>
      </x:c>
    </x:row>
    <x:row r="20">
      <x:c r="A20" s="22" t="n">
        <x:f>'Frequency Analysis'!A11</x:f>
        <x:v>325</x:v>
      </x:c>
      <x:c r="B20" s="61" t="n">
        <x:f>'Frequency Analysis'!I11</x:f>
        <x:v>0.4409</x:v>
      </x:c>
      <x:c r="C20" s="61" t="n">
        <x:f>'Frequency Analysis'!J11</x:f>
        <x:v>0.7119</x:v>
      </x:c>
      <x:c r="D20" s="61" t="n">
        <x:f>'Frequency Analysis'!K11</x:f>
        <x:v>0.21045</x:v>
      </x:c>
      <x:c r="E20" s="61" t="n">
        <x:f>'Frequency Analysis'!L11</x:f>
        <x:v>0.86391</x:v>
      </x:c>
      <x:c r="F20" s="22"/>
      <x:c r="G20" s="22" t="n">
        <x:f>'Frequency Analysis'!A11</x:f>
        <x:v>325</x:v>
      </x:c>
      <x:c r="H20" s="61" t="n">
        <x:f>'Frequency Analysis'!O11</x:f>
        <x:v>1.2894190591230814</x:v>
      </x:c>
      <x:c r="I20" s="61" t="n">
        <x:f>'Frequency Analysis'!R11</x:f>
        <x:v>0.9979997292669341</x:v>
      </x:c>
      <x:c r="J20" s="61" t="n">
        <x:f>'Frequency Analysis'!M11</x:f>
        <x:v>1.547920660801634</x:v>
      </x:c>
    </x:row>
    <x:row r="21">
      <x:c r="A21" s="22" t="n">
        <x:f>'Frequency Analysis'!A12</x:f>
        <x:v>350</x:v>
      </x:c>
      <x:c r="B21" s="61" t="n">
        <x:f>'Frequency Analysis'!I12</x:f>
        <x:v>0.26629</x:v>
      </x:c>
      <x:c r="C21" s="61" t="n">
        <x:f>'Frequency Analysis'!J12</x:f>
        <x:v>0.71421</x:v>
      </x:c>
      <x:c r="D21" s="61" t="n">
        <x:f>'Frequency Analysis'!K12</x:f>
        <x:v>0.85805</x:v>
      </x:c>
      <x:c r="E21" s="61" t="n">
        <x:f>'Frequency Analysis'!L12</x:f>
        <x:v>1.14839</x:v>
      </x:c>
      <x:c r="F21" s="22"/>
      <x:c r="G21" s="22" t="n">
        <x:f>'Frequency Analysis'!A12</x:f>
        <x:v>350</x:v>
      </x:c>
      <x:c r="H21" s="61" t="n">
        <x:f>'Frequency Analysis'!O12</x:f>
        <x:v>1.2351774770329138</x:v>
      </x:c>
      <x:c r="I21" s="61" t="n">
        <x:f>'Frequency Analysis'!R12</x:f>
        <x:v>0.9924227546748747</x:v>
      </x:c>
      <x:c r="J21" s="61" t="n">
        <x:f>'Frequency Analysis'!M12</x:f>
        <x:v>1.5155862323813547</x:v>
      </x:c>
    </x:row>
  </x:sheetData>
  <x:mergeCells>
    <x:mergeCell ref="A1:N1"/>
  </x:mergeCells>
  <x:pageMargins left="0.7" right="0.7" top="0.75" bottom="0.75" header="0.3" footer="0.3"/>
  <x:drawing xmlns:r="http://schemas.openxmlformats.org/officeDocument/2006/relationships" r:id="Rec33e81c8a454089"/>
</x:worksheet>
</file>
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65426a4dc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3 Summary" sheetId="1" r:id="Re479b91b46154ac1"/>
    <x:sheet xmlns:r="http://schemas.openxmlformats.org/officeDocument/2006/relationships" name="Simple Run Table" sheetId="2" r:id="R15d9c78711bb4421"/>
    <x:sheet xmlns:r="http://schemas.openxmlformats.org/officeDocument/2006/relationships" name="Full Run Data" sheetId="3" r:id="Rb992934747164407"/>
    <x:sheet xmlns:r="http://schemas.openxmlformats.org/officeDocument/2006/relationships" name="Axis Analysis" sheetId="4" r:id="R69346a782968472d"/>
    <x:sheet xmlns:r="http://schemas.openxmlformats.org/officeDocument/2006/relationships" name="Quality &amp; Integrity" sheetId="5" r:id="R1ff6ba190f5c4ad4"/>
    <x:sheet xmlns:r="http://schemas.openxmlformats.org/officeDocument/2006/relationships" name="Thesis Notes" sheetId="6" r:id="R830b881803b3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4" borderId="0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200" fontId="0" fillId="0" borderId="1" xfId="0" applyNumberFormat="1" applyFont="1" applyFill="1" applyBorder="1"/>
    <x:xf numFmtId="200" fontId="2" fillId="4" borderId="1" xfId="0" applyNumberFormat="1" applyFont="1" applyFill="1" applyBorder="1"/>
    <x:xf numFmtId="201" fontId="0" fillId="0" borderId="0" xfId="0" applyNumberFormat="1" applyFont="1" applyFill="1" applyBorder="1"/>
    <x:xf numFmtId="201" fontId="2" fillId="4" borderId="0" xfId="0" applyNumberFormat="1" applyFont="1" applyFill="1" applyBorder="1"/>
    <x:xf numFmtId="201" fontId="0" fillId="0" borderId="1" xfId="0" applyNumberFormat="1" applyFont="1" applyFill="1" applyBorder="1"/>
    <x:xf numFmtId="201" fontId="2" fillId="4" borderId="1" xfId="0" applyNumberFormat="1" applyFont="1" applyFill="1" applyBorder="1"/>
    <x:xf numFmtId="200" fontId="2" fillId="5" borderId="0" xfId="0" applyNumberFormat="1" applyFont="1" applyFill="1" applyBorder="1" applyAlignment="1">
      <x:alignment horizontal="center"/>
    </x:xf>
    <x:xf numFmtId="200" fontId="2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aec0924ad4f21" /><Relationship Type="http://schemas.openxmlformats.org/officeDocument/2006/relationships/theme" Target="/xl/theme/theme1.xml" Id="Rafa4ba105b4a43e9" /><Relationship Type="http://schemas.openxmlformats.org/officeDocument/2006/relationships/sharedStrings" Target="/xl/sharedStrings.xml" Id="R4d68a337570d4b5e" /><Relationship Type="http://schemas.openxmlformats.org/officeDocument/2006/relationships/worksheet" Target="/xl/worksheets/sheet1.xml" Id="Re479b91b46154ac1" /><Relationship Type="http://schemas.openxmlformats.org/officeDocument/2006/relationships/worksheet" Target="/xl/worksheets/sheet2.xml" Id="R15d9c78711bb4421" /><Relationship Type="http://schemas.openxmlformats.org/officeDocument/2006/relationships/worksheet" Target="/xl/worksheets/sheet3.xml" Id="Rb992934747164407" /><Relationship Type="http://schemas.openxmlformats.org/officeDocument/2006/relationships/worksheet" Target="/xl/worksheets/sheet4.xml" Id="R69346a782968472d" /><Relationship Type="http://schemas.openxmlformats.org/officeDocument/2006/relationships/worksheet" Target="/xl/worksheets/sheet5.xml" Id="R1ff6ba190f5c4ad4" /><Relationship Type="http://schemas.openxmlformats.org/officeDocument/2006/relationships/worksheet" Target="/xl/worksheets/sheet6.xml" Id="R830b881803b342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080fb9178f4967" /><Relationship Type="http://schemas.openxmlformats.org/officeDocument/2006/relationships/chart" Target="/xl/drawings/charts/chart2.xml" Id="Refa0f632ba7a4a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f4040b8ed264f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Controlled 268 Hz Frequency Verification</a:t>
            </a:r>
          </a:p>
        </c:rich>
      </c:tx>
    </c:title>
    <c:plotArea>
      <c:lineChart>
        <c:grouping val="standard"/>
        <c:ser>
          <c:idx val="0"/>
          <c:order val="0"/>
          <c:tx>
            <c:v>Commanded Frequency (Hz)</c:v>
          </c:tx>
          <c:marker>
            <c:symbol val="none"/>
          </c:marker>
          <c:cat>
            <c:strRef>
              <c:f>'Simple Run Table'!$A$4:$A$15</c:f>
              <c:strCache>
                <c:ptCount val="0"/>
              </c:strCache>
            </c:strRef>
          </c:cat>
          <c:val>
            <c:numRef>
              <c:f>'Simple Run Table'!$B$4:$B$15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ADXL1 Frequency (Hz)</c:v>
          </c:tx>
          <c:marker>
            <c:symbol val="none"/>
          </c:marker>
          <c:cat>
            <c:strRef>
              <c:f>'Simple Run Table'!$A$4:$A$15</c:f>
              <c:strCache>
                <c:ptCount val="0"/>
              </c:strCache>
            </c:strRef>
          </c:cat>
          <c:val>
            <c:numRef>
              <c:f>'Simple Run Table'!$C$4:$C$15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ADXL2 Frequency (Hz)</c:v>
          </c:tx>
          <c:marker>
            <c:symbol val="none"/>
          </c:marker>
          <c:cat>
            <c:strRef>
              <c:f>'Simple Run Table'!$A$4:$A$15</c:f>
              <c:strCache>
                <c:ptCount val="0"/>
              </c:strCache>
            </c:strRef>
          </c:cat>
          <c:val>
            <c:numRef>
              <c:f>'Simple Run Table'!$D$4:$D$15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Resultant Amplitude by Run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ADXL1 Resultant</c:v>
          </c:tx>
          <c:marker>
            <c:symbol val="none"/>
          </c:marker>
          <c:cat>
            <c:strRef>
              <c:f>'Simple Run Table'!$A$4:$A$15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'Simple Run Table'!$E$4:$E$15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ADXL2 Resultant</c:v>
          </c:tx>
          <c:marker>
            <c:symbol val="none"/>
          </c:marker>
          <c:cat>
            <c:strRef>
              <c:f>'Simple Run Table'!$A$4:$A$15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'Simple Run Table'!$F$4:$F$15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Exact-Frequency Amplitude by Axis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Qualified points</c:v>
          </c:tx>
          <c:cat>
            <c:strRef>
              <c:f>'Axis Analysis'!$A$4:$A$7</c:f>
              <c:strCache>
                <c:ptCount val="0"/>
              </c:strCache>
            </c:strRef>
          </c:cat>
          <c:val>
            <c:numRef>
              <c:f>'Axis Analysis'!$B$4:$B$7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Mean ADXL1 (m/s²)</c:v>
          </c:tx>
          <c:cat>
            <c:strRef>
              <c:f>'Axis Analysis'!$A$4:$A$7</c:f>
              <c:strCache>
                <c:ptCount val="0"/>
              </c:strCache>
            </c:strRef>
          </c:cat>
          <c:val>
            <c:numRef>
              <c:f>'Axis Analysis'!$C$4:$C$7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Mean ADXL2 (m/s²)</c:v>
          </c:tx>
          <c:cat>
            <c:strRef>
              <c:f>'Axis Analysis'!$A$4:$A$7</c:f>
              <c:strCache>
                <c:ptCount val="0"/>
              </c:strCache>
            </c:strRef>
          </c:cat>
          <c:val>
            <c:numRef>
              <c:f>'Axis Analysis'!$D$4:$D$7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080fb9178f4967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a0f632ba7a4a9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4040b8ed264f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3SimpleTable" displayName="M3SimpleTable" ref="A3:F15" headerRowCount="1" totalsRowCount="0" totalsRowShown="0">
  <x:tableColumns count="6">
    <x:tableColumn id="1" name="Run"/>
    <x:tableColumn id="2" name="Commanded Frequency (Hz)"/>
    <x:tableColumn id="3" name="ADXL1 Frequency (Hz)"/>
    <x:tableColumn id="4" name="ADXL2 Frequency (Hz)"/>
    <x:tableColumn id="5" name="ADXL1 Resultant Amplitude (m/s²)"/>
    <x:tableColumn id="6" name="ADXL2 Resultant Amplitude (m/s²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3FullDataTable" displayName="M3FullDataTable" ref="A1:AK13" headerRowCount="1" totalsRowCount="0" totalsRowShown="0">
  <x:tableColumns count="37">
    <x:tableColumn id="1" name="run"/>
    <x:tableColumn id="2" name="valid"/>
    <x:tableColumn id="3" name="command_hz"/>
    <x:tableColumn id="4" name="actual_nco_hz"/>
    <x:tableColumn id="5" name="dac"/>
    <x:tableColumn id="6" name="f1_fft_hz"/>
    <x:tableColumn id="7" name="f2_fft_hz"/>
    <x:tableColumn id="8" name="f1_cmd_error_hz"/>
    <x:tableColumn id="9" name="f2_cmd_error_hz"/>
    <x:tableColumn id="10" name="delta_f_hz"/>
    <x:tableColumn id="11" name="fft_snr1_db"/>
    <x:tableColumn id="12" name="fft_snr2_db"/>
    <x:tableColumn id="13" name="A1_X"/>
    <x:tableColumn id="14" name="A1_Y"/>
    <x:tableColumn id="15" name="A1_Z"/>
    <x:tableColumn id="16" name="A1_VEC"/>
    <x:tableColumn id="17" name="A2_X"/>
    <x:tableColumn id="18" name="A2_Y"/>
    <x:tableColumn id="19" name="A2_Z"/>
    <x:tableColumn id="20" name="A2_VEC"/>
    <x:tableColumn id="21" name="relDiff_X_pct"/>
    <x:tableColumn id="22" name="relDiff_Y_pct"/>
    <x:tableColumn id="23" name="relDiff_Z_pct"/>
    <x:tableColumn id="24" name="relDiff_VEC_pct"/>
    <x:tableColumn id="25" name="ratio_VEC_A2_A1"/>
    <x:tableColumn id="26" name="sync1"/>
    <x:tableColumn id="27" name="sync2"/>
    <x:tableColumn id="28" name="cv1_X_pct"/>
    <x:tableColumn id="29" name="cv1_Y_pct"/>
    <x:tableColumn id="30" name="cv1_Z_pct"/>
    <x:tableColumn id="31" name="cv2_X_pct"/>
    <x:tableColumn id="32" name="cv2_Y_pct"/>
    <x:tableColumn id="33" name="cv2_Z_pct"/>
    <x:tableColumn id="34" name="abs_delta_f_hz"/>
    <x:tableColumn id="35" name="abs_f1_cmd_error_hz"/>
    <x:tableColumn id="36" name="abs_f2_cmd_error_hz"/>
    <x:tableColumn id="37" name="vector_diff_calc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3AxisSummaryTable" displayName="M3AxisSummaryTable" ref="A3:H7" headerRowCount="1" totalsRowCount="0" totalsRowShown="0">
  <x:tableColumns count="8">
    <x:tableColumn id="1" name="Axis"/>
    <x:tableColumn id="2" name="Qualified points"/>
    <x:tableColumn id="3" name="Mean ADXL1 (m/s²)"/>
    <x:tableColumn id="4" name="Mean ADXL2 (m/s²)"/>
    <x:tableColumn id="5" name="Mean A2/A1"/>
    <x:tableColumn id="6" name="Mean SymDiff (%)"/>
    <x:tableColumn id="7" name="Mean CV ADXL1 (%)"/>
    <x:tableColumn id="8" name="Mean CV ADXL2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1698d2078f64c7f" /><Relationship Type="http://schemas.openxmlformats.org/officeDocument/2006/relationships/table" Target="/xl/tables/table1.xml" Id="R81bcbbd90b274e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b3b819004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6c614d910ea441d" /><Relationship Type="http://schemas.openxmlformats.org/officeDocument/2006/relationships/table" Target="/xl/tables/table3.xml" Id="R9cc845815c124e5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4" max="4" width="28" hidden="0" customWidth="1"/>
    <x:col min="5" max="5" width="16" hidden="0" customWidth="1"/>
    <x:col min="7" max="7" width="28" hidden="0" customWidth="1"/>
    <x:col min="8" max="8" width="16" hidden="0" customWidth="1"/>
  </x:cols>
  <x:sheetData>
    <x:row r="1" ht="30" customHeight="1">
      <x:c r="A1" s="5" t="str">
        <x:v>M3 — Dual-ADXL Controlled-Visaton Consistency | Final Frozen Dataset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Test ID</x:v>
      </x:c>
      <x:c r="B3" s="17" t="str">
        <x:v>M3 — Dual-ADXL rigid-body / controlled-source consistency</x:v>
      </x:c>
    </x:row>
    <x:row r="4">
      <x:c r="A4" s="12" t="str">
        <x:v>Final dataset</x:v>
      </x:c>
      <x:c r="B4" s="17" t="str">
        <x:v>12 independent Visaton ON/OFF cycles; clean campaign after reset</x:v>
      </x:c>
    </x:row>
    <x:row r="5">
      <x:c r="A5" s="12" t="str">
        <x:v>Command</x:v>
      </x:c>
      <x:c r="B5" s="17" t="str">
        <x:v>268.000 Hz; DAC sine peak = 19.00</x:v>
      </x:c>
    </x:row>
    <x:row r="6">
      <x:c r="A6" s="12" t="str">
        <x:v>Source</x:v>
      </x:c>
      <x:c r="B6" s="17" t="str">
        <x:v>User-provided final Serial Monitor log: Pasted text(20260817-143523).txt</x:v>
      </x:c>
    </x:row>
    <x:row r="7">
      <x:c r="A7" s="12" t="str">
        <x:v>Physical interpretation constraint</x:v>
      </x:c>
      <x:c r="B7" s="17" t="str">
        <x:v>ADXL1 and ADXL2 were at different locations on the Visaton plate; local vibration amplitude can legitimately differ by position.</x:v>
      </x:c>
    </x:row>
    <x:row r="8">
      <x:c r="A8" s="12" t="str">
        <x:v>Primary objective</x:v>
      </x:c>
      <x:c r="B8" s="17" t="str">
        <x:v>Verify that both ADXL measurement chains recover the same controlled vibration frequency with stable, valid acquisition; characterize—not force—cross-location amplitude agreement.</x:v>
      </x:c>
    </x:row>
    <x:row r="9">
      <x:c r="A9" s="12" t="str">
        <x:v>Final verdict</x:v>
      </x:c>
      <x:c r="B9" s="21" t="str">
        <x:v>GOAL ACHIEVED for M3 measurement-chain consistency. Frequency agreement and acquisition integrity are excellent. Absolute amplitude equality is NOT required or claimed across different Visaton locations.</x:v>
      </x:c>
    </x:row>
    <x:row r="11">
      <x:c r="A11" s="25" t="str">
        <x:v>Key Results — final 12-run campaign</x:v>
      </x:c>
      <x:c r="B11" s="25"/>
      <x:c r="C11" s="25"/>
      <x:c r="D11" s="25"/>
      <x:c r="E11" s="25"/>
      <x:c r="F11" s="25"/>
      <x:c r="G11" s="25"/>
      <x:c r="H11" s="25"/>
    </x:row>
    <x:row r="12">
      <x:c r="A12" s="28" t="str">
        <x:v>Valid runs</x:v>
      </x:c>
      <x:c r="B12" s="32" t="n">
        <x:f>COUNTIF('Full Run Data'!B2:B13,1)</x:f>
        <x:v>12</x:v>
      </x:c>
      <x:c r="C12"/>
      <x:c r="D12" s="28" t="str">
        <x:v>ADXL1 mean resultant (m/s²)</x:v>
      </x:c>
      <x:c r="E12" s="72" t="n">
        <x:f>AVERAGE('Full Run Data'!P2:P13)</x:f>
        <x:v>4.407042916666667</x:v>
      </x:c>
      <x:c r="F12"/>
      <x:c r="G12" s="28" t="str">
        <x:v>Pooled comparable XYZ R²</x:v>
      </x:c>
      <x:c r="H12" s="72" t="n">
        <x:v>0.991788</x:v>
      </x:c>
    </x:row>
    <x:row r="13">
      <x:c r="A13" s="28" t="str">
        <x:v>ADXL1 mean frequency (Hz)</x:v>
      </x:c>
      <x:c r="B13" s="72" t="n">
        <x:f>AVERAGE('Full Run Data'!F2:F13)</x:f>
        <x:v>268.02816</x:v>
      </x:c>
      <x:c r="D13" s="28" t="str">
        <x:v>ADXL2 mean resultant (m/s²)</x:v>
      </x:c>
      <x:c r="E13" s="72" t="n">
        <x:f>AVERAGE('Full Run Data'!T2:T13)</x:f>
        <x:v>4.778675333333333</x:v>
      </x:c>
      <x:c r="G13" s="28" t="str">
        <x:v>Pooled comparable XYZ slope</x:v>
      </x:c>
      <x:c r="H13" s="72" t="n">
        <x:v>1.115671</x:v>
      </x:c>
    </x:row>
    <x:row r="14">
      <x:c r="A14" s="28" t="str">
        <x:v>ADXL2 mean frequency (Hz)</x:v>
      </x:c>
      <x:c r="B14" s="72" t="n">
        <x:f>AVERAGE('Full Run Data'!G2:G13)</x:f>
        <x:v>268.0274808333333</x:v>
      </x:c>
      <x:c r="D14" s="28" t="str">
        <x:v>Mean resultant SymDiff (%)</x:v>
      </x:c>
      <x:c r="E14" s="72" t="n">
        <x:f>AVERAGE('Full Run Data'!X2:X13)</x:f>
        <x:v>8.097416666666666</x:v>
      </x:c>
      <x:c r="G14" s="28" t="str">
        <x:v>Mean Sync ADXL1</x:v>
      </x:c>
      <x:c r="H14" s="72" t="n">
        <x:f>AVERAGE('Full Run Data'!Z2:Z13)</x:f>
        <x:v>0.9040416666666667</x:v>
      </x:c>
    </x:row>
    <x:row r="15">
      <x:c r="A15" s="28" t="str">
        <x:v>Mean |ADXL2-ADXL1| (Hz)</x:v>
      </x:c>
      <x:c r="B15" s="72" t="n">
        <x:f>AVERAGE('Full Run Data'!AH2:AH13)</x:f>
        <x:v>0.0056507499999999995</x:v>
      </x:c>
      <x:c r="D15" s="28" t="str">
        <x:v>Mean resultant A2/A1</x:v>
      </x:c>
      <x:c r="E15" s="72" t="n">
        <x:f>AVERAGE('Full Run Data'!Y2:Y13)</x:f>
        <x:v>1.0846631666666666</x:v>
      </x:c>
      <x:c r="G15" s="28" t="str">
        <x:v>Mean Sync ADXL2</x:v>
      </x:c>
      <x:c r="H15" s="72" t="n">
        <x:f>AVERAGE('Full Run Data'!AA2:AA13)</x:f>
        <x:v>0.9294166666666666</x:v>
      </x:c>
    </x:row>
    <x:row r="17">
      <x:c r="A17" s="25" t="str">
        <x:v>Interpretation for thesis</x:v>
      </x:c>
      <x:c r="B17" s="25"/>
      <x:c r="C17" s="25"/>
      <x:c r="D17" s="25"/>
      <x:c r="E17" s="25"/>
      <x:c r="F17" s="25"/>
      <x:c r="G17" s="25"/>
      <x:c r="H17" s="25"/>
    </x:row>
    <x:row r="18">
      <x:c r="A18" s="39" t="str">
        <x:v>Frequency agreement</x:v>
      </x:c>
      <x:c r="B18" s="17" t="str">
        <x:v>PASS — mean absolute inter-sensor frequency difference = 0.005651 Hz; maximum = 0.015348 Hz. Both sensors resolve the same controlled 268 Hz excitation.</x:v>
      </x:c>
    </x:row>
    <x:row r="19">
      <x:c r="A19" s="39" t="str">
        <x:v>Acquisition validity</x:v>
      </x:c>
      <x:c r="B19" s="17" t="str">
        <x:v>PASS — 12/12 runs valid; no clipping, zero-triplet corruption, or stuck-sample failure was reported.</x:v>
      </x:c>
    </x:row>
    <x:row r="20">
      <x:c r="A20" s="39" t="str">
        <x:v>Resultant amplitude</x:v>
      </x:c>
      <x:c r="B20" s="17" t="str">
        <x:v>Mean cross-location resultant symmetric difference = 8.097%; maximum = 10.285%. This is acceptable for characterizing two different plate locations and is not evidence of sensor failure.</x:v>
      </x:c>
    </x:row>
    <x:row r="21">
      <x:c r="A21" s="39" t="str">
        <x:v>Y-axis</x:v>
      </x:c>
      <x:c r="B21" s="17" t="str">
        <x:v>Excellent cross-location agreement: mean A2/A1 = 0.9850 and mean symmetric difference = 2.183% across all 12 qualified runs.</x:v>
      </x:c>
    </x:row>
    <x:row r="22">
      <x:c r="A22" s="39" t="str">
        <x:v>Z-axis</x:v>
      </x:c>
      <x:c r="B22" s="17" t="str">
        <x:v>Systematic location-dependent response: mean A2/A1 = 1.1112; mean symmetric difference = 10.514%. Very low within-record CV shows this offset is stable/physical rather than random noise.</x:v>
      </x:c>
    </x:row>
    <x:row r="23">
      <x:c r="A23" s="39" t="str">
        <x:v>X-axis</x:v>
      </x:c>
      <x:c r="B23" s="17" t="str">
        <x:v>Weakest component and lowest synchronous ratio. Only 9/12 points were quality-qualified; percentage differences are therefore less reliable and should not dominate M3 interpretation.</x:v>
      </x:c>
    </x:row>
    <x:row r="24">
      <x:c r="A24" s="39" t="str">
        <x:v>Pooled amplitude relationship</x:v>
      </x:c>
      <x:c r="B24" s="17" t="str">
        <x:v>Strong linear relationship across qualified XYZ points: ADXL2_A = 1.115671·ADXL1_A − 0.103558, R² = 0.991788. The slope &gt;1 reflects systematic local-response difference, not necessarily accelerometer gain error.</x:v>
      </x:c>
    </x:row>
    <x:row r="25">
      <x:c r="A25" s="21" t="str">
        <x:v>Final M3 conclusion</x:v>
      </x:c>
      <x:c r="B25" s="21" t="str">
        <x:v>M3 is complete. The dual-ADXL chain is validated for common-frequency detection and repeatable narrowband measurement. Cross-location absolute amplitudes must be interpreted as local mechanical responses, not as a requirement for equality.</x:v>
      </x:c>
    </x:row>
  </x:sheetData>
  <x:mergeCells>
    <x:mergeCell ref="A1:H1"/>
    <x:mergeCell ref="A11:H11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8" max="8" width="10" hidden="0" customWidth="1"/>
    <x:col min="9" max="9" width="24" hidden="0" customWidth="1"/>
    <x:col min="10" max="10" width="22" hidden="0" customWidth="1"/>
  </x:cols>
  <x:sheetData>
    <x:row r="1">
      <x:c r="A1" s="45" t="str">
        <x:v>Final M3 Run Table — Requested Frequency, Measured Frequency and Resultant Amplitude</x:v>
      </x:c>
      <x:c r="B1" s="45"/>
      <x:c r="C1" s="45"/>
      <x:c r="D1" s="45"/>
      <x:c r="E1" s="45"/>
      <x:c r="F1" s="45"/>
    </x:row>
    <x:row r="3">
      <x:c r="A3" s="49" t="str">
        <x:v>Run</x:v>
      </x:c>
      <x:c r="B3" s="49" t="str">
        <x:v>Commanded Frequency (Hz)</x:v>
      </x:c>
      <x:c r="C3" s="49" t="str">
        <x:v>ADXL1 Frequency (Hz)</x:v>
      </x:c>
      <x:c r="D3" s="49" t="str">
        <x:v>ADXL2 Frequency (Hz)</x:v>
      </x:c>
      <x:c r="E3" s="49" t="str">
        <x:v>ADXL1 Resultant Amplitude (m/s²)</x:v>
      </x:c>
      <x:c r="F3" s="49" t="str">
        <x:v>ADXL2 Resultant Amplitude (m/s²)</x:v>
      </x:c>
      <x:c r="H3" s="48" t="str">
        <x:v>Run</x:v>
      </x:c>
      <x:c r="I3" s="48" t="str">
        <x:v>|ADXL2-ADXL1| Frequency (Hz)</x:v>
      </x:c>
      <x:c r="J3" s="48" t="str">
        <x:v>Resultant SymDiff (%)</x:v>
      </x:c>
    </x:row>
    <x:row r="4">
      <x:c r="A4" s="74" t="n">
        <x:v>1</x:v>
      </x:c>
      <x:c r="B4" s="64" t="n">
        <x:v>268</x:v>
      </x:c>
      <x:c r="C4" s="64" t="n">
        <x:v>268.018438</x:v>
      </x:c>
      <x:c r="D4" s="64" t="n">
        <x:v>268.033283</x:v>
      </x:c>
      <x:c r="E4" s="64" t="n">
        <x:v>4.470147</x:v>
      </x:c>
      <x:c r="F4" s="64" t="n">
        <x:v>4.670297</x:v>
      </x:c>
      <x:c r="H4" t="n">
        <x:f>A4</x:f>
        <x:v>1</x:v>
      </x:c>
      <x:c r="I4" t="n">
        <x:f>ABS(D4-C4)</x:f>
        <x:v>0.014844999999979791</x:v>
      </x:c>
      <x:c r="J4" t="n">
        <x:f>ABS(F4-E4)/((F4+E4)/2)*100</x:f>
        <x:v>4.379437147692166</x:v>
      </x:c>
    </x:row>
    <x:row r="5">
      <x:c r="A5" s="74" t="n">
        <x:v>2</x:v>
      </x:c>
      <x:c r="B5" s="64" t="n">
        <x:v>268</x:v>
      </x:c>
      <x:c r="C5" s="64" t="n">
        <x:v>268.025227</x:v>
      </x:c>
      <x:c r="D5" s="64" t="n">
        <x:v>268.023129</x:v>
      </x:c>
      <x:c r="E5" s="64" t="n">
        <x:v>4.507902</x:v>
      </x:c>
      <x:c r="F5" s="64" t="n">
        <x:v>4.69498</x:v>
      </x:c>
      <x:c r="H5" t="n">
        <x:f>A5</x:f>
        <x:v>2</x:v>
      </x:c>
      <x:c r="I5" t="n">
        <x:f>ABS(D5-C5)</x:f>
        <x:v>0.002097999999989497</x:v>
      </x:c>
      <x:c r="J5" t="n">
        <x:f>ABS(F5-E5)/((F5+E5)/2)*100</x:f>
        <x:v>4.06563943773267</x:v>
      </x:c>
    </x:row>
    <x:row r="6">
      <x:c r="A6" s="74" t="n">
        <x:v>3</x:v>
      </x:c>
      <x:c r="B6" s="64" t="n">
        <x:v>268</x:v>
      </x:c>
      <x:c r="C6" s="64" t="n">
        <x:v>268.025295</x:v>
      </x:c>
      <x:c r="D6" s="64" t="n">
        <x:v>268.032226</x:v>
      </x:c>
      <x:c r="E6" s="64" t="n">
        <x:v>4.490005</x:v>
      </x:c>
      <x:c r="F6" s="64" t="n">
        <x:v>4.760418</x:v>
      </x:c>
      <x:c r="H6" t="n">
        <x:f>A6</x:f>
        <x:v>3</x:v>
      </x:c>
      <x:c r="I6" t="n">
        <x:f>ABS(D6-C6)</x:f>
        <x:v>0.006930999999951837</x:v>
      </x:c>
      <x:c r="J6" t="n">
        <x:f>ABS(F6-E6)/((F6+E6)/2)*100</x:f>
        <x:v>5.84650020869315</x:v>
      </x:c>
    </x:row>
    <x:row r="7">
      <x:c r="A7" s="74" t="n">
        <x:v>4</x:v>
      </x:c>
      <x:c r="B7" s="64" t="n">
        <x:v>268</x:v>
      </x:c>
      <x:c r="C7" s="64" t="n">
        <x:v>268.024035</x:v>
      </x:c>
      <x:c r="D7" s="64" t="n">
        <x:v>268.028537</x:v>
      </x:c>
      <x:c r="E7" s="64" t="n">
        <x:v>4.445474</x:v>
      </x:c>
      <x:c r="F7" s="64" t="n">
        <x:v>4.778792</x:v>
      </x:c>
      <x:c r="H7" t="n">
        <x:f>A7</x:f>
        <x:v>4</x:v>
      </x:c>
      <x:c r="I7" t="n">
        <x:f>ABS(D7-C7)</x:f>
        <x:v>0.004501999999945383</x:v>
      </x:c>
      <x:c r="J7" t="n">
        <x:f>ABS(F7-E7)/((F7+E7)/2)*100</x:f>
        <x:v>7.226981528936833</x:v>
      </x:c>
    </x:row>
    <x:row r="8">
      <x:c r="A8" s="74" t="n">
        <x:v>5</x:v>
      </x:c>
      <x:c r="B8" s="64" t="n">
        <x:v>268</x:v>
      </x:c>
      <x:c r="C8" s="64" t="n">
        <x:v>268.029665</x:v>
      </x:c>
      <x:c r="D8" s="64" t="n">
        <x:v>268.019457</x:v>
      </x:c>
      <x:c r="E8" s="64" t="n">
        <x:v>4.488425</x:v>
      </x:c>
      <x:c r="F8" s="64" t="n">
        <x:v>4.825244</x:v>
      </x:c>
      <x:c r="H8" t="n">
        <x:f>A8</x:f>
        <x:v>5</x:v>
      </x:c>
      <x:c r="I8" t="n">
        <x:f>ABS(D8-C8)</x:f>
        <x:v>0.01020800000003419</x:v>
      </x:c>
      <x:c r="J8" t="n">
        <x:f>ABS(F8-E8)/((F8+E8)/2)*100</x:f>
        <x:v>7.2327887108721445</x:v>
      </x:c>
    </x:row>
    <x:row r="9">
      <x:c r="A9" s="74" t="n">
        <x:v>6</x:v>
      </x:c>
      <x:c r="B9" s="64" t="n">
        <x:v>268</x:v>
      </x:c>
      <x:c r="C9" s="64" t="n">
        <x:v>268.031417</x:v>
      </x:c>
      <x:c r="D9" s="64" t="n">
        <x:v>268.02865</x:v>
      </x:c>
      <x:c r="E9" s="64" t="n">
        <x:v>4.418816</x:v>
      </x:c>
      <x:c r="F9" s="64" t="n">
        <x:v>4.83531</x:v>
      </x:c>
      <x:c r="H9" t="n">
        <x:f>A9</x:f>
        <x:v>6</x:v>
      </x:c>
      <x:c r="I9" t="n">
        <x:f>ABS(D9-C9)</x:f>
        <x:v>0.0027669999999488937</x:v>
      </x:c>
      <x:c r="J9" t="n">
        <x:f>ABS(F9-E9)/((F9+E9)/2)*100</x:f>
        <x:v>9.001260626881463</x:v>
      </x:c>
    </x:row>
    <x:row r="10">
      <x:c r="A10" s="74" t="n">
        <x:v>7</x:v>
      </x:c>
      <x:c r="B10" s="64" t="n">
        <x:v>268</x:v>
      </x:c>
      <x:c r="C10" s="64" t="n">
        <x:v>268.02141</x:v>
      </x:c>
      <x:c r="D10" s="64" t="n">
        <x:v>268.021148</x:v>
      </x:c>
      <x:c r="E10" s="64" t="n">
        <x:v>4.366385</x:v>
      </x:c>
      <x:c r="F10" s="64" t="n">
        <x:v>4.775406</x:v>
      </x:c>
      <x:c r="H10" t="n">
        <x:f>A10</x:f>
        <x:v>7</x:v>
      </x:c>
      <x:c r="I10" t="n">
        <x:f>ABS(D10-C10)</x:f>
        <x:v>0.0002620000000206346</x:v>
      </x:c>
      <x:c r="J10" t="n">
        <x:f>ABS(F10-E10)/((F10+E10)/2)*100</x:f>
        <x:v>8.948377839747156</x:v>
      </x:c>
    </x:row>
    <x:row r="11">
      <x:c r="A11" s="74" t="n">
        <x:v>8</x:v>
      </x:c>
      <x:c r="B11" s="64" t="n">
        <x:v>268</x:v>
      </x:c>
      <x:c r="C11" s="64" t="n">
        <x:v>268.027846</x:v>
      </x:c>
      <x:c r="D11" s="64" t="n">
        <x:v>268.02055</x:v>
      </x:c>
      <x:c r="E11" s="64" t="n">
        <x:v>4.368759</x:v>
      </x:c>
      <x:c r="F11" s="64" t="n">
        <x:v>4.820048</x:v>
      </x:c>
      <x:c r="H11" t="n">
        <x:f>A11</x:f>
        <x:v>8</x:v>
      </x:c>
      <x:c r="I11" t="n">
        <x:f>ABS(D11-C11)</x:f>
        <x:v>0.0072959999999966385</x:v>
      </x:c>
      <x:c r="J11" t="n">
        <x:f>ABS(F11-E11)/((F11+E11)/2)*100</x:f>
        <x:v>9.822580885636189</x:v>
      </x:c>
    </x:row>
    <x:row r="12">
      <x:c r="A12" s="74" t="n">
        <x:v>9</x:v>
      </x:c>
      <x:c r="B12" s="64" t="n">
        <x:v>268</x:v>
      </x:c>
      <x:c r="C12" s="64" t="n">
        <x:v>268.04882</x:v>
      </x:c>
      <x:c r="D12" s="64" t="n">
        <x:v>268.049039</x:v>
      </x:c>
      <x:c r="E12" s="64" t="n">
        <x:v>4.319815</x:v>
      </x:c>
      <x:c r="F12" s="64" t="n">
        <x:v>4.786199</x:v>
      </x:c>
      <x:c r="H12" t="n">
        <x:f>A12</x:f>
        <x:v>9</x:v>
      </x:c>
      <x:c r="I12" t="n">
        <x:f>ABS(D12-C12)</x:f>
        <x:v>0.00021900000001551234</x:v>
      </x:c>
      <x:c r="J12" t="n">
        <x:f>ABS(F12-E12)/((F12+E12)/2)*100</x:f>
        <x:v>10.243428134417533</x:v>
      </x:c>
    </x:row>
    <x:row r="13">
      <x:c r="A13" s="74" t="n">
        <x:v>10</x:v>
      </x:c>
      <x:c r="B13" s="64" t="n">
        <x:v>268</x:v>
      </x:c>
      <x:c r="C13" s="64" t="n">
        <x:v>268.037342</x:v>
      </x:c>
      <x:c r="D13" s="64" t="n">
        <x:v>268.021993</x:v>
      </x:c>
      <x:c r="E13" s="64" t="n">
        <x:v>4.34875</x:v>
      </x:c>
      <x:c r="F13" s="64" t="n">
        <x:v>4.810927</x:v>
      </x:c>
      <x:c r="H13" t="n">
        <x:f>A13</x:f>
        <x:v>10</x:v>
      </x:c>
      <x:c r="I13" t="n">
        <x:f>ABS(D13-C13)</x:f>
        <x:v>0.015349000000014712</x:v>
      </x:c>
      <x:c r="J13" t="n">
        <x:f>ABS(F13-E13)/((F13+E13)/2)*100</x:f>
        <x:v>10.091556721923721</x:v>
      </x:c>
    </x:row>
    <x:row r="14">
      <x:c r="A14" s="74" t="n">
        <x:v>11</x:v>
      </x:c>
      <x:c r="B14" s="64" t="n">
        <x:v>268</x:v>
      </x:c>
      <x:c r="C14" s="64" t="n">
        <x:v>268.027011</x:v>
      </x:c>
      <x:c r="D14" s="64" t="n">
        <x:v>268.027958</x:v>
      </x:c>
      <x:c r="E14" s="64" t="n">
        <x:v>4.338376</x:v>
      </x:c>
      <x:c r="F14" s="64" t="n">
        <x:v>4.796246</x:v>
      </x:c>
      <x:c r="H14" t="n">
        <x:f>A14</x:f>
        <x:v>11</x:v>
      </x:c>
      <x:c r="I14" t="n">
        <x:f>ABS(D14-C14)</x:f>
        <x:v>0.0009469999999964784</x:v>
      </x:c>
      <x:c r="J14" t="n">
        <x:f>ABS(F14-E14)/((F14+E14)/2)*100</x:f>
        <x:v>10.024935897730629</x:v>
      </x:c>
    </x:row>
    <x:row r="15">
      <x:c r="A15" s="74" t="n">
        <x:v>12</x:v>
      </x:c>
      <x:c r="B15" s="64" t="n">
        <x:v>268</x:v>
      </x:c>
      <x:c r="C15" s="64" t="n">
        <x:v>268.021414</x:v>
      </x:c>
      <x:c r="D15" s="64" t="n">
        <x:v>268.0238</x:v>
      </x:c>
      <x:c r="E15" s="64" t="n">
        <x:v>4.321661</x:v>
      </x:c>
      <x:c r="F15" s="64" t="n">
        <x:v>4.790237</x:v>
      </x:c>
      <x:c r="H15" t="n">
        <x:f>A15</x:f>
        <x:v>12</x:v>
      </x:c>
      <x:c r="I15" t="n">
        <x:f>ABS(D15-C15)</x:f>
        <x:v>0.0023860000000013315</x:v>
      </x:c>
      <x:c r="J15" t="n">
        <x:f>ABS(F15-E15)/((F15+E15)/2)*100</x:f>
        <x:v>10.284926367700791</x:v>
      </x:c>
    </x:row>
    <x:row r="16">
      <x:c r="A16" s="53" t="str">
        <x:v>Mean</x:v>
      </x:c>
      <x:c r="B16" s="65" t="n">
        <x:f>AVERAGE(B4:B15)</x:f>
        <x:v>268</x:v>
      </x:c>
      <x:c r="C16" s="65" t="n">
        <x:f>AVERAGE(C4:C15)</x:f>
        <x:v>268.02816</x:v>
      </x:c>
      <x:c r="D16" s="65" t="n">
        <x:f>AVERAGE(D4:D15)</x:f>
        <x:v>268.0274808333333</x:v>
      </x:c>
      <x:c r="E16" s="65" t="n">
        <x:f>AVERAGE(E4:E15)</x:f>
        <x:v>4.407042916666667</x:v>
      </x:c>
      <x:c r="F16" s="65" t="n">
        <x:f>AVERAGE(F4:F15)</x:f>
        <x:v>4.778675333333333</x:v>
      </x:c>
    </x:row>
  </x:sheetData>
  <x:mergeCells>
    <x:mergeCell ref="A1:F1"/>
  </x:mergeCells>
  <x:conditionalFormatting sqref="I4:I15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J4:J15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31698d2078f64c7f"/>
  <x:tableParts count="1">
    <x:tablePart xmlns:r="http://schemas.openxmlformats.org/officeDocument/2006/relationships" r:id="R81bcbbd90b274e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4" hidden="0" customWidth="1"/>
    <x:col min="5" max="5" width="8.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>
      <x:c r="A1" s="49" t="str">
        <x:v>run</x:v>
      </x:c>
      <x:c r="B1" s="49" t="str">
        <x:v>valid</x:v>
      </x:c>
      <x:c r="C1" s="49" t="str">
        <x:v>command_hz</x:v>
      </x:c>
      <x:c r="D1" s="49" t="str">
        <x:v>actual_nco_hz</x:v>
      </x:c>
      <x:c r="E1" s="49" t="str">
        <x:v>dac</x:v>
      </x:c>
      <x:c r="F1" s="49" t="str">
        <x:v>f1_fft_hz</x:v>
      </x:c>
      <x:c r="G1" s="49" t="str">
        <x:v>f2_fft_hz</x:v>
      </x:c>
      <x:c r="H1" s="49" t="str">
        <x:v>f1_cmd_error_hz</x:v>
      </x:c>
      <x:c r="I1" s="49" t="str">
        <x:v>f2_cmd_error_hz</x:v>
      </x:c>
      <x:c r="J1" s="49" t="str">
        <x:v>delta_f_hz</x:v>
      </x:c>
      <x:c r="K1" s="49" t="str">
        <x:v>fft_snr1_db</x:v>
      </x:c>
      <x:c r="L1" s="49" t="str">
        <x:v>fft_snr2_db</x:v>
      </x:c>
      <x:c r="M1" s="49" t="str">
        <x:v>A1_X</x:v>
      </x:c>
      <x:c r="N1" s="49" t="str">
        <x:v>A1_Y</x:v>
      </x:c>
      <x:c r="O1" s="49" t="str">
        <x:v>A1_Z</x:v>
      </x:c>
      <x:c r="P1" s="49" t="str">
        <x:v>A1_VEC</x:v>
      </x:c>
      <x:c r="Q1" s="49" t="str">
        <x:v>A2_X</x:v>
      </x:c>
      <x:c r="R1" s="49" t="str">
        <x:v>A2_Y</x:v>
      </x:c>
      <x:c r="S1" s="49" t="str">
        <x:v>A2_Z</x:v>
      </x:c>
      <x:c r="T1" s="49" t="str">
        <x:v>A2_VEC</x:v>
      </x:c>
      <x:c r="U1" s="49" t="str">
        <x:v>relDiff_X_pct</x:v>
      </x:c>
      <x:c r="V1" s="49" t="str">
        <x:v>relDiff_Y_pct</x:v>
      </x:c>
      <x:c r="W1" s="49" t="str">
        <x:v>relDiff_Z_pct</x:v>
      </x:c>
      <x:c r="X1" s="49" t="str">
        <x:v>relDiff_VEC_pct</x:v>
      </x:c>
      <x:c r="Y1" s="49" t="str">
        <x:v>ratio_VEC_A2_A1</x:v>
      </x:c>
      <x:c r="Z1" s="49" t="str">
        <x:v>sync1</x:v>
      </x:c>
      <x:c r="AA1" s="49" t="str">
        <x:v>sync2</x:v>
      </x:c>
      <x:c r="AB1" s="49" t="str">
        <x:v>cv1_X_pct</x:v>
      </x:c>
      <x:c r="AC1" s="49" t="str">
        <x:v>cv1_Y_pct</x:v>
      </x:c>
      <x:c r="AD1" s="49" t="str">
        <x:v>cv1_Z_pct</x:v>
      </x:c>
      <x:c r="AE1" s="49" t="str">
        <x:v>cv2_X_pct</x:v>
      </x:c>
      <x:c r="AF1" s="49" t="str">
        <x:v>cv2_Y_pct</x:v>
      </x:c>
      <x:c r="AG1" s="49" t="str">
        <x:v>cv2_Z_pct</x:v>
      </x:c>
      <x:c r="AH1" s="48" t="str">
        <x:v>abs_delta_f_hz</x:v>
      </x:c>
      <x:c r="AI1" s="48" t="str">
        <x:v>abs_f1_cmd_error_hz</x:v>
      </x:c>
      <x:c r="AJ1" s="48" t="str">
        <x:v>abs_f2_cmd_error_hz</x:v>
      </x:c>
      <x:c r="AK1" s="48" t="str">
        <x:v>vector_diff_calc_pct</x:v>
      </x:c>
      <x:c r="AL1" s="48" t="str">
        <x:v>ratio_X_qualified</x:v>
      </x:c>
      <x:c r="AM1" s="48" t="str">
        <x:v>ratio_Y_qualified</x:v>
      </x:c>
      <x:c r="AN1" s="48" t="str">
        <x:v>ratio_Z_qualified</x:v>
      </x:c>
    </x:row>
    <x:row r="2">
      <x:c r="A2" s="74" t="n">
        <x:v>1</x:v>
      </x:c>
      <x:c r="B2" s="74" t="n">
        <x:v>1</x:v>
      </x:c>
      <x:c r="C2" s="64" t="n">
        <x:v>268</x:v>
      </x:c>
      <x:c r="D2" s="64" t="n">
        <x:v>267.999999</x:v>
      </x:c>
      <x:c r="E2" s="64" t="n">
        <x:v>19</x:v>
      </x:c>
      <x:c r="F2" s="64" t="n">
        <x:v>268.018438</x:v>
      </x:c>
      <x:c r="G2" s="64" t="n">
        <x:v>268.033283</x:v>
      </x:c>
      <x:c r="H2" s="64" t="n">
        <x:v>0.018439</x:v>
      </x:c>
      <x:c r="I2" s="64" t="n">
        <x:v>0.033284</x:v>
      </x:c>
      <x:c r="J2" s="64" t="n">
        <x:v>0.014845</x:v>
      </x:c>
      <x:c r="K2" s="64" t="n">
        <x:v>33.107</x:v>
      </x:c>
      <x:c r="L2" s="64" t="n">
        <x:v>30.663</x:v>
      </x:c>
      <x:c r="M2" s="64" t="n">
        <x:v>0.347966</x:v>
      </x:c>
      <x:c r="N2" s="64" t="n">
        <x:v>2.19152</x:v>
      </x:c>
      <x:c r="O2" s="64" t="n">
        <x:v>3.880512</x:v>
      </x:c>
      <x:c r="P2" s="64" t="n">
        <x:v>4.470147</x:v>
      </x:c>
      <x:c r="Q2" s="64" t="n">
        <x:v>0.420244</x:v>
      </x:c>
      <x:c r="R2" s="64" t="n">
        <x:v>2.040762</x:v>
      </x:c>
      <x:c r="S2" s="64" t="n">
        <x:v>4.179756</x:v>
      </x:c>
      <x:c r="T2" s="64" t="n">
        <x:v>4.670297</x:v>
      </x:c>
      <x:c r="U2" s="64" t="n">
        <x:v>18.817</x:v>
      </x:c>
      <x:c r="V2" s="64" t="n">
        <x:v>7.124</x:v>
      </x:c>
      <x:c r="W2" s="64" t="n">
        <x:v>7.425</x:v>
      </x:c>
      <x:c r="X2" s="64" t="n">
        <x:v>4.379</x:v>
      </x:c>
      <x:c r="Y2" s="64" t="n">
        <x:v>1.044775</x:v>
      </x:c>
      <x:c r="Z2" s="64" t="n">
        <x:v>0.9122</x:v>
      </x:c>
      <x:c r="AA2" s="64" t="n">
        <x:v>0.9294</x:v>
      </x:c>
      <x:c r="AB2" s="64" t="n">
        <x:v>9.77</x:v>
      </x:c>
      <x:c r="AC2" s="64" t="n">
        <x:v>3.581</x:v>
      </x:c>
      <x:c r="AD2" s="64" t="n">
        <x:v>1.271</x:v>
      </x:c>
      <x:c r="AE2" s="64" t="n">
        <x:v>7.77</x:v>
      </x:c>
      <x:c r="AF2" s="64" t="n">
        <x:v>2.427</x:v>
      </x:c>
      <x:c r="AG2" s="64" t="n">
        <x:v>1.443</x:v>
      </x:c>
      <x:c r="AH2" s="64" t="n">
        <x:f>ABS(J2)</x:f>
        <x:v>0.014845</x:v>
      </x:c>
      <x:c r="AI2" s="64" t="n">
        <x:f>ABS(H2)</x:f>
        <x:v>0.018439</x:v>
      </x:c>
      <x:c r="AJ2" s="64" t="n">
        <x:f>ABS(I2)</x:f>
        <x:v>0.033284</x:v>
      </x:c>
      <x:c r="AK2" s="64" t="n">
        <x:f>ABS(U2-P2)/((U2+P2)/2)*100</x:f>
        <x:v>123.21692305201661</x:v>
      </x:c>
      <x:c r="AL2" s="64" t="n">
        <x:f>IF(ISNUMBER(U2),Q2/M2,"")</x:f>
        <x:v>1.2077156963611388</x:v>
      </x:c>
      <x:c r="AM2" s="64" t="n">
        <x:f>IF(ISNUMBER(V2),R2/N2,"")</x:f>
        <x:v>0.9312084763086806</x:v>
      </x:c>
      <x:c r="AN2" s="64" t="n">
        <x:f>IF(ISNUMBER(W2),S2/O2,"")</x:f>
        <x:v>1.0771145663252686</x:v>
      </x:c>
    </x:row>
    <x:row r="3">
      <x:c r="A3" s="74" t="n">
        <x:v>2</x:v>
      </x:c>
      <x:c r="B3" s="74" t="n">
        <x:v>1</x:v>
      </x:c>
      <x:c r="C3" s="64" t="n">
        <x:v>268</x:v>
      </x:c>
      <x:c r="D3" s="64" t="n">
        <x:v>267.999999</x:v>
      </x:c>
      <x:c r="E3" s="64" t="n">
        <x:v>19</x:v>
      </x:c>
      <x:c r="F3" s="64" t="n">
        <x:v>268.025227</x:v>
      </x:c>
      <x:c r="G3" s="64" t="n">
        <x:v>268.023129</x:v>
      </x:c>
      <x:c r="H3" s="64" t="n">
        <x:v>0.025228</x:v>
      </x:c>
      <x:c r="I3" s="64" t="n">
        <x:v>0.023131</x:v>
      </x:c>
      <x:c r="J3" s="64" t="n">
        <x:v>-0.002098</x:v>
      </x:c>
      <x:c r="K3" s="64" t="n">
        <x:v>32.898</x:v>
      </x:c>
      <x:c r="L3" s="64" t="n">
        <x:v>30.928</x:v>
      </x:c>
      <x:c r="M3" s="64" t="n">
        <x:v>0.322131</x:v>
      </x:c>
      <x:c r="N3" s="64" t="n">
        <x:v>2.229248</x:v>
      </x:c>
      <x:c r="O3" s="64" t="n">
        <x:v>3.904851</x:v>
      </x:c>
      <x:c r="P3" s="64" t="n">
        <x:v>4.507902</x:v>
      </x:c>
      <x:c r="Q3" s="64" t="n">
        <x:v>0.410359</x:v>
      </x:c>
      <x:c r="R3" s="64" t="n">
        <x:v>2.097619</x:v>
      </x:c>
      <x:c r="S3" s="64" t="n">
        <x:v>4.180244</x:v>
      </x:c>
      <x:c r="T3" s="64" t="n">
        <x:v>4.69498</x:v>
      </x:c>
      <x:c r="U3" s="64" t="n">
        <x:v>24.09</x:v>
      </x:c>
      <x:c r="V3" s="64" t="n">
        <x:v>6.084</x:v>
      </x:c>
      <x:c r="W3" s="64" t="n">
        <x:v>6.812</x:v>
      </x:c>
      <x:c r="X3" s="64" t="n">
        <x:v>4.066</x:v>
      </x:c>
      <x:c r="Y3" s="64" t="n">
        <x:v>1.0415</x:v>
      </x:c>
      <x:c r="Z3" s="64" t="n">
        <x:v>0.9093</x:v>
      </x:c>
      <x:c r="AA3" s="64" t="n">
        <x:v>0.9255</x:v>
      </x:c>
      <x:c r="AB3" s="64" t="n">
        <x:v>8.11</x:v>
      </x:c>
      <x:c r="AC3" s="64" t="n">
        <x:v>3.496</x:v>
      </x:c>
      <x:c r="AD3" s="64" t="n">
        <x:v>0.945</x:v>
      </x:c>
      <x:c r="AE3" s="64" t="n">
        <x:v>10.478</x:v>
      </x:c>
      <x:c r="AF3" s="64" t="n">
        <x:v>2.233</x:v>
      </x:c>
      <x:c r="AG3" s="64" t="n">
        <x:v>0.8</x:v>
      </x:c>
      <x:c r="AH3" s="64" t="n">
        <x:f>ABS(J3)</x:f>
        <x:v>0.002098</x:v>
      </x:c>
      <x:c r="AI3" s="64" t="n">
        <x:f>ABS(H3)</x:f>
        <x:v>0.025228</x:v>
      </x:c>
      <x:c r="AJ3" s="64" t="n">
        <x:f>ABS(I3)</x:f>
        <x:v>0.023131</x:v>
      </x:c>
      <x:c r="AK3" s="64" t="n">
        <x:f>ABS(U3-P3)/((U3+P3)/2)*100</x:f>
        <x:v>136.94779428225192</x:v>
      </x:c>
      <x:c r="AL3" s="64" t="n">
        <x:f>IF(ISNUMBER(U3),Q3/M3,"")</x:f>
        <x:v>1.2738885732822982</x:v>
      </x:c>
      <x:c r="AM3" s="64" t="n">
        <x:f>IF(ISNUMBER(V3),R3/N3,"")</x:f>
        <x:v>0.9409536310002296</x:v>
      </x:c>
      <x:c r="AN3" s="64" t="n">
        <x:f>IF(ISNUMBER(W3),S3/O3,"")</x:f>
        <x:v>1.0705258664159016</x:v>
      </x:c>
    </x:row>
    <x:row r="4">
      <x:c r="A4" s="74" t="n">
        <x:v>3</x:v>
      </x:c>
      <x:c r="B4" s="74" t="n">
        <x:v>1</x:v>
      </x:c>
      <x:c r="C4" s="64" t="n">
        <x:v>268</x:v>
      </x:c>
      <x:c r="D4" s="64" t="n">
        <x:v>267.999999</x:v>
      </x:c>
      <x:c r="E4" s="64" t="n">
        <x:v>19</x:v>
      </x:c>
      <x:c r="F4" s="64" t="n">
        <x:v>268.025295</x:v>
      </x:c>
      <x:c r="G4" s="64" t="n">
        <x:v>268.032226</x:v>
      </x:c>
      <x:c r="H4" s="64" t="n">
        <x:v>0.025296</x:v>
      </x:c>
      <x:c r="I4" s="64" t="n">
        <x:v>0.032228</x:v>
      </x:c>
      <x:c r="J4" s="64" t="n">
        <x:v>0.006931</x:v>
      </x:c>
      <x:c r="K4" s="64" t="n">
        <x:v>32.732</x:v>
      </x:c>
      <x:c r="L4" s="64" t="n">
        <x:v>32.295</x:v>
      </x:c>
      <x:c r="M4" s="64" t="n">
        <x:v>0.288997</x:v>
      </x:c>
      <x:c r="N4" s="64" t="n">
        <x:v>2.2139</x:v>
      </x:c>
      <x:c r="O4" s="64" t="n">
        <x:v>3.895545</x:v>
      </x:c>
      <x:c r="P4" s="64" t="n">
        <x:v>4.490005</x:v>
      </x:c>
      <x:c r="Q4" s="64" t="n">
        <x:v>0.362246</x:v>
      </x:c>
      <x:c r="R4" s="64" t="n">
        <x:v>2.140991</x:v>
      </x:c>
      <x:c r="S4" s="64" t="n">
        <x:v>4.236333</x:v>
      </x:c>
      <x:c r="T4" s="64" t="n">
        <x:v>4.760418</x:v>
      </x:c>
      <x:c r="U4" s="64" t="n">
        <x:v>22.495</x:v>
      </x:c>
      <x:c r="V4" s="64" t="n">
        <x:v>3.348</x:v>
      </x:c>
      <x:c r="W4" s="64" t="n">
        <x:v>8.382</x:v>
      </x:c>
      <x:c r="X4" s="64" t="n">
        <x:v>5.847</x:v>
      </x:c>
      <x:c r="Y4" s="64" t="n">
        <x:v>1.060226</x:v>
      </x:c>
      <x:c r="Z4" s="64" t="n">
        <x:v>0.9108</x:v>
      </x:c>
      <x:c r="AA4" s="64" t="n">
        <x:v>0.9353</x:v>
      </x:c>
      <x:c r="AB4" s="64" t="n">
        <x:v>9.116</x:v>
      </x:c>
      <x:c r="AC4" s="64" t="n">
        <x:v>2.954</x:v>
      </x:c>
      <x:c r="AD4" s="64" t="n">
        <x:v>0.557</x:v>
      </x:c>
      <x:c r="AE4" s="64" t="n">
        <x:v>6.687</x:v>
      </x:c>
      <x:c r="AF4" s="64" t="n">
        <x:v>2.488</x:v>
      </x:c>
      <x:c r="AG4" s="64" t="n">
        <x:v>0.887</x:v>
      </x:c>
      <x:c r="AH4" s="64" t="n">
        <x:f>ABS(J4)</x:f>
        <x:v>0.006931</x:v>
      </x:c>
      <x:c r="AI4" s="64" t="n">
        <x:f>ABS(H4)</x:f>
        <x:v>0.025296</x:v>
      </x:c>
      <x:c r="AJ4" s="64" t="n">
        <x:f>ABS(I4)</x:f>
        <x:v>0.032228</x:v>
      </x:c>
      <x:c r="AK4" s="64" t="n">
        <x:f>ABS(U4-P4)/((U4+P4)/2)*100</x:f>
        <x:v>133.44444442385688</x:v>
      </x:c>
      <x:c r="AL4" s="64" t="n">
        <x:f>IF(ISNUMBER(U4),Q4/M4,"")</x:f>
        <x:v>1.2534593784710568</x:v>
      </x:c>
      <x:c r="AM4" s="64" t="n">
        <x:f>IF(ISNUMBER(V4),R4/N4,"")</x:f>
        <x:v>0.9670676182302723</x:v>
      </x:c>
      <x:c r="AN4" s="64" t="n">
        <x:f>IF(ISNUMBER(W4),S4/O4,"")</x:f>
        <x:v>1.0874814692167591</x:v>
      </x:c>
    </x:row>
    <x:row r="5">
      <x:c r="A5" s="74" t="n">
        <x:v>4</x:v>
      </x:c>
      <x:c r="B5" s="74" t="n">
        <x:v>1</x:v>
      </x:c>
      <x:c r="C5" s="64" t="n">
        <x:v>268</x:v>
      </x:c>
      <x:c r="D5" s="64" t="n">
        <x:v>267.999999</x:v>
      </x:c>
      <x:c r="E5" s="64" t="n">
        <x:v>19</x:v>
      </x:c>
      <x:c r="F5" s="64" t="n">
        <x:v>268.024035</x:v>
      </x:c>
      <x:c r="G5" s="64" t="n">
        <x:v>268.028537</x:v>
      </x:c>
      <x:c r="H5" s="64" t="n">
        <x:v>0.024036</x:v>
      </x:c>
      <x:c r="I5" s="64" t="n">
        <x:v>0.028538</x:v>
      </x:c>
      <x:c r="J5" s="64" t="n">
        <x:v>0.004501</x:v>
      </x:c>
      <x:c r="K5" s="64" t="n">
        <x:v>32.746</x:v>
      </x:c>
      <x:c r="L5" s="64" t="n">
        <x:v>30.931</x:v>
      </x:c>
      <x:c r="M5" s="64" t="n">
        <x:v>0.25792</x:v>
      </x:c>
      <x:c r="N5" s="64" t="n">
        <x:v>2.140748</x:v>
      </x:c>
      <x:c r="O5" s="64" t="n">
        <x:v>3.887533</x:v>
      </x:c>
      <x:c r="P5" s="64" t="n">
        <x:v>4.445474</x:v>
      </x:c>
      <x:c r="Q5" s="64" t="n">
        <x:v>0.315541</x:v>
      </x:c>
      <x:c r="R5" s="64" t="n">
        <x:v>2.103209</x:v>
      </x:c>
      <x:c r="S5" s="64" t="n">
        <x:v>4.279462</x:v>
      </x:c>
      <x:c r="T5" s="64" t="n">
        <x:v>4.778792</x:v>
      </x:c>
      <x:c r="U5" s="64" t="n">
        <x:v>20.096</x:v>
      </x:c>
      <x:c r="V5" s="64" t="n">
        <x:v>1.769</x:v>
      </x:c>
      <x:c r="W5" s="64" t="n">
        <x:v>9.598</x:v>
      </x:c>
      <x:c r="X5" s="64" t="n">
        <x:v>7.227</x:v>
      </x:c>
      <x:c r="Y5" s="64" t="n">
        <x:v>1.074979</x:v>
      </x:c>
      <x:c r="Z5" s="64" t="n">
        <x:v>0.9084</x:v>
      </x:c>
      <x:c r="AA5" s="64" t="n">
        <x:v>0.9297</x:v>
      </x:c>
      <x:c r="AB5" s="64" t="n">
        <x:v>6.588</x:v>
      </x:c>
      <x:c r="AC5" s="64" t="n">
        <x:v>2.103</x:v>
      </x:c>
      <x:c r="AD5" s="64" t="n">
        <x:v>0.61</x:v>
      </x:c>
      <x:c r="AE5" s="64" t="n">
        <x:v>8.037</x:v>
      </x:c>
      <x:c r="AF5" s="64" t="n">
        <x:v>1.766</x:v>
      </x:c>
      <x:c r="AG5" s="64" t="n">
        <x:v>0.567</x:v>
      </x:c>
      <x:c r="AH5" s="64" t="n">
        <x:f>ABS(J5)</x:f>
        <x:v>0.004501</x:v>
      </x:c>
      <x:c r="AI5" s="64" t="n">
        <x:f>ABS(H5)</x:f>
        <x:v>0.024036</x:v>
      </x:c>
      <x:c r="AJ5" s="64" t="n">
        <x:f>ABS(I5)</x:f>
        <x:v>0.028538</x:v>
      </x:c>
      <x:c r="AK5" s="64" t="n">
        <x:f>ABS(U5-P5)/((U5+P5)/2)*100</x:f>
        <x:v>127.54348821916726</x:v>
      </x:c>
      <x:c r="AL5" s="64" t="n">
        <x:f>IF(ISNUMBER(U5),Q5/M5,"")</x:f>
        <x:v>1.223406482630273</x:v>
      </x:c>
      <x:c r="AM5" s="64" t="n">
        <x:f>IF(ISNUMBER(V5),R5/N5,"")</x:f>
        <x:v>0.9824645404316623</x:v>
      </x:c>
      <x:c r="AN5" s="64" t="n">
        <x:f>IF(ISNUMBER(W5),S5/O5,"")</x:f>
        <x:v>1.100816893387143</x:v>
      </x:c>
    </x:row>
    <x:row r="6">
      <x:c r="A6" s="74" t="n">
        <x:v>5</x:v>
      </x:c>
      <x:c r="B6" s="74" t="n">
        <x:v>1</x:v>
      </x:c>
      <x:c r="C6" s="64" t="n">
        <x:v>268</x:v>
      </x:c>
      <x:c r="D6" s="64" t="n">
        <x:v>267.999999</x:v>
      </x:c>
      <x:c r="E6" s="64" t="n">
        <x:v>19</x:v>
      </x:c>
      <x:c r="F6" s="64" t="n">
        <x:v>268.029665</x:v>
      </x:c>
      <x:c r="G6" s="64" t="n">
        <x:v>268.019457</x:v>
      </x:c>
      <x:c r="H6" s="64" t="n">
        <x:v>0.029666</x:v>
      </x:c>
      <x:c r="I6" s="64" t="n">
        <x:v>0.019458</x:v>
      </x:c>
      <x:c r="J6" s="64" t="n">
        <x:v>-0.010208</x:v>
      </x:c>
      <x:c r="K6" s="64" t="n">
        <x:v>32.563</x:v>
      </x:c>
      <x:c r="L6" s="64" t="n">
        <x:v>28.292</x:v>
      </x:c>
      <x:c r="M6" s="64" t="n">
        <x:v>0.246819</x:v>
      </x:c>
      <x:c r="N6" s="64" t="n">
        <x:v>2.133802</x:v>
      </x:c>
      <x:c r="O6" s="64" t="n">
        <x:v>3.941057</x:v>
      </x:c>
      <x:c r="P6" s="64" t="n">
        <x:v>4.488425</x:v>
      </x:c>
      <x:c r="Q6" s="64" t="n">
        <x:v>0.292476</x:v>
      </x:c>
      <x:c r="R6" s="64" t="n">
        <x:v>2.091834</x:v>
      </x:c>
      <x:c r="S6" s="64" t="n">
        <x:v>4.338394</x:v>
      </x:c>
      <x:c r="T6" s="64" t="n">
        <x:v>4.825244</x:v>
      </x:c>
      <x:c r="U6" s="64" t="n">
        <x:v>16.932</x:v>
      </x:c>
      <x:c r="V6" s="64" t="n">
        <x:v>1.986</x:v>
      </x:c>
      <x:c r="W6" s="64" t="n">
        <x:v>9.598</x:v>
      </x:c>
      <x:c r="X6" s="64" t="n">
        <x:v>7.233</x:v>
      </x:c>
      <x:c r="Y6" s="64" t="n">
        <x:v>1.075042</x:v>
      </x:c>
      <x:c r="Z6" s="64" t="n">
        <x:v>0.9077</x:v>
      </x:c>
      <x:c r="AA6" s="64" t="n">
        <x:v>0.929</x:v>
      </x:c>
      <x:c r="AB6" s="64" t="n">
        <x:v>10.365</x:v>
      </x:c>
      <x:c r="AC6" s="64" t="n">
        <x:v>2.137</x:v>
      </x:c>
      <x:c r="AD6" s="64" t="n">
        <x:v>0.75</x:v>
      </x:c>
      <x:c r="AE6" s="64" t="n">
        <x:v>9.546</x:v>
      </x:c>
      <x:c r="AF6" s="64" t="n">
        <x:v>1.546</x:v>
      </x:c>
      <x:c r="AG6" s="64" t="n">
        <x:v>0.433</x:v>
      </x:c>
      <x:c r="AH6" s="64" t="n">
        <x:f>ABS(J6)</x:f>
        <x:v>0.010208</x:v>
      </x:c>
      <x:c r="AI6" s="64" t="n">
        <x:f>ABS(H6)</x:f>
        <x:v>0.029666</x:v>
      </x:c>
      <x:c r="AJ6" s="64" t="n">
        <x:f>ABS(I6)</x:f>
        <x:v>0.019458</x:v>
      </x:c>
      <x:c r="AK6" s="64" t="n">
        <x:f>ABS(U6-P6)/((U6+P6)/2)*100</x:f>
        <x:v>116.18420269439098</x:v>
      </x:c>
      <x:c r="AL6" s="64" t="n">
        <x:f>IF(ISNUMBER(U6),Q6/M6,"")</x:f>
        <x:v>1.1849817072429594</x:v>
      </x:c>
      <x:c r="AM6" s="64" t="n">
        <x:f>IF(ISNUMBER(V6),R6/N6,"")</x:f>
        <x:v>0.9803318208531062</x:v>
      </x:c>
      <x:c r="AN6" s="64" t="n">
        <x:f>IF(ISNUMBER(W6),S6/O6,"")</x:f>
        <x:v>1.1008199069437463</x:v>
      </x:c>
    </x:row>
    <x:row r="7">
      <x:c r="A7" s="74" t="n">
        <x:v>6</x:v>
      </x:c>
      <x:c r="B7" s="74" t="n">
        <x:v>1</x:v>
      </x:c>
      <x:c r="C7" s="64" t="n">
        <x:v>268</x:v>
      </x:c>
      <x:c r="D7" s="64" t="n">
        <x:v>267.999999</x:v>
      </x:c>
      <x:c r="E7" s="64" t="n">
        <x:v>19</x:v>
      </x:c>
      <x:c r="F7" s="64" t="n">
        <x:v>268.031417</x:v>
      </x:c>
      <x:c r="G7" s="64" t="n">
        <x:v>268.02865</x:v>
      </x:c>
      <x:c r="H7" s="64" t="n">
        <x:v>0.031418</x:v>
      </x:c>
      <x:c r="I7" s="64" t="n">
        <x:v>0.028651</x:v>
      </x:c>
      <x:c r="J7" s="64" t="n">
        <x:v>-0.002767</x:v>
      </x:c>
      <x:c r="K7" s="64" t="n">
        <x:v>33.091</x:v>
      </x:c>
      <x:c r="L7" s="64" t="n">
        <x:v>30.45</x:v>
      </x:c>
      <x:c r="M7" s="64" t="n">
        <x:v>0.251249</x:v>
      </x:c>
      <x:c r="N7" s="64" t="n">
        <x:v>2.065414</x:v>
      </x:c>
      <x:c r="O7" s="64" t="n">
        <x:v>3.898317</x:v>
      </x:c>
      <x:c r="P7" s="64" t="n">
        <x:v>4.418816</x:v>
      </x:c>
      <x:c r="Q7" s="64" t="n">
        <x:v>0.275583</x:v>
      </x:c>
      <x:c r="R7" s="64" t="n">
        <x:v>2.058743</x:v>
      </x:c>
      <x:c r="S7" s="64" t="n">
        <x:v>4.366446</x:v>
      </x:c>
      <x:c r="T7" s="64" t="n">
        <x:v>4.83531</x:v>
      </x:c>
      <x:c r="U7" s="64" t="n">
        <x:v>9.238</x:v>
      </x:c>
      <x:c r="V7" s="64" t="n">
        <x:v>0.323</x:v>
      </x:c>
      <x:c r="W7" s="64" t="n">
        <x:v>11.328</x:v>
      </x:c>
      <x:c r="X7" s="64" t="n">
        <x:v>9.001</x:v>
      </x:c>
      <x:c r="Y7" s="64" t="n">
        <x:v>1.094255</x:v>
      </x:c>
      <x:c r="Z7" s="64" t="n">
        <x:v>0.9041</x:v>
      </x:c>
      <x:c r="AA7" s="64" t="n">
        <x:v>0.9316</x:v>
      </x:c>
      <x:c r="AB7" s="64" t="n">
        <x:v>8.276</x:v>
      </x:c>
      <x:c r="AC7" s="64" t="n">
        <x:v>1.869</x:v>
      </x:c>
      <x:c r="AD7" s="64" t="n">
        <x:v>0.472</x:v>
      </x:c>
      <x:c r="AE7" s="64" t="n">
        <x:v>6.747</x:v>
      </x:c>
      <x:c r="AF7" s="64" t="n">
        <x:v>1.36</x:v>
      </x:c>
      <x:c r="AG7" s="64" t="n">
        <x:v>0.507</x:v>
      </x:c>
      <x:c r="AH7" s="64" t="n">
        <x:f>ABS(J7)</x:f>
        <x:v>0.002767</x:v>
      </x:c>
      <x:c r="AI7" s="64" t="n">
        <x:f>ABS(H7)</x:f>
        <x:v>0.031418</x:v>
      </x:c>
      <x:c r="AJ7" s="64" t="n">
        <x:f>ABS(I7)</x:f>
        <x:v>0.028651</x:v>
      </x:c>
      <x:c r="AK7" s="64" t="n">
        <x:f>ABS(U7-P7)/((U7+P7)/2)*100</x:f>
        <x:v>70.5755133553824</x:v>
      </x:c>
      <x:c r="AL7" s="64" t="n">
        <x:f>IF(ISNUMBER(U7),Q7/M7,"")</x:f>
        <x:v>1.096852126774634</x:v>
      </x:c>
      <x:c r="AM7" s="64" t="n">
        <x:f>IF(ISNUMBER(V7),R7/N7,"")</x:f>
        <x:v>0.9967701390617087</x:v>
      </x:c>
      <x:c r="AN7" s="64" t="n">
        <x:f>IF(ISNUMBER(W7),S7/O7,"")</x:f>
        <x:v>1.1200848981752893</x:v>
      </x:c>
    </x:row>
    <x:row r="8">
      <x:c r="A8" s="74" t="n">
        <x:v>7</x:v>
      </x:c>
      <x:c r="B8" s="74" t="n">
        <x:v>1</x:v>
      </x:c>
      <x:c r="C8" s="64" t="n">
        <x:v>268</x:v>
      </x:c>
      <x:c r="D8" s="64" t="n">
        <x:v>267.999999</x:v>
      </x:c>
      <x:c r="E8" s="64" t="n">
        <x:v>19</x:v>
      </x:c>
      <x:c r="F8" s="64" t="n">
        <x:v>268.02141</x:v>
      </x:c>
      <x:c r="G8" s="64" t="n">
        <x:v>268.021148</x:v>
      </x:c>
      <x:c r="H8" s="64" t="n">
        <x:v>0.021412</x:v>
      </x:c>
      <x:c r="I8" s="64" t="n">
        <x:v>0.021149</x:v>
      </x:c>
      <x:c r="J8" s="64" t="n">
        <x:v>-0.000262</x:v>
      </x:c>
      <x:c r="K8" s="64" t="n">
        <x:v>32.929</x:v>
      </x:c>
      <x:c r="L8" s="64" t="n">
        <x:v>30.787</x:v>
      </x:c>
      <x:c r="M8" s="64" t="n">
        <x:v>0.240263</x:v>
      </x:c>
      <x:c r="N8" s="64" t="n">
        <x:v>2.008526</x:v>
      </x:c>
      <x:c r="O8" s="64" t="n">
        <x:v>3.86955</x:v>
      </x:c>
      <x:c r="P8" s="64" t="n">
        <x:v>4.366385</x:v>
      </x:c>
      <x:c r="Q8" s="64" t="n">
        <x:v>0.260186</x:v>
      </x:c>
      <x:c r="R8" s="64" t="n">
        <x:v>2.008587</x:v>
      </x:c>
      <x:c r="S8" s="64" t="n">
        <x:v>4.324625</x:v>
      </x:c>
      <x:c r="T8" s="64" t="n">
        <x:v>4.775406</x:v>
      </x:c>
      <x:c r="U8" s="64" t="n">
        <x:v>7.962</x:v>
      </x:c>
      <x:c r="V8" s="64" t="n">
        <x:v>0.003</x:v>
      </x:c>
      <x:c r="W8" s="64" t="n">
        <x:v>11.107</x:v>
      </x:c>
      <x:c r="X8" s="64" t="n">
        <x:v>8.948</x:v>
      </x:c>
      <x:c r="Y8" s="64" t="n">
        <x:v>1.093675</x:v>
      </x:c>
      <x:c r="Z8" s="64" t="n">
        <x:v>0.9061</x:v>
      </x:c>
      <x:c r="AA8" s="64" t="n">
        <x:v>0.9308</x:v>
      </x:c>
      <x:c r="AB8" s="64" t="n">
        <x:v>8.587</x:v>
      </x:c>
      <x:c r="AC8" s="64" t="n">
        <x:v>3.7</x:v>
      </x:c>
      <x:c r="AD8" s="64" t="n">
        <x:v>0.777</x:v>
      </x:c>
      <x:c r="AE8" s="64" t="n">
        <x:v>8.351</x:v>
      </x:c>
      <x:c r="AF8" s="64" t="n">
        <x:v>1.146</x:v>
      </x:c>
      <x:c r="AG8" s="64" t="n">
        <x:v>0.517</x:v>
      </x:c>
      <x:c r="AH8" s="64" t="n">
        <x:f>ABS(J8)</x:f>
        <x:v>0.000262</x:v>
      </x:c>
      <x:c r="AI8" s="64" t="n">
        <x:f>ABS(H8)</x:f>
        <x:v>0.021412</x:v>
      </x:c>
      <x:c r="AJ8" s="64" t="n">
        <x:f>ABS(I8)</x:f>
        <x:v>0.021149</x:v>
      </x:c>
      <x:c r="AK8" s="64" t="n">
        <x:f>ABS(U8-P8)/((U8+P8)/2)*100</x:f>
        <x:v>58.330673482374195</x:v>
      </x:c>
      <x:c r="AL8" s="64" t="n">
        <x:f>IF(ISNUMBER(U8),Q8/M8,"")</x:f>
        <x:v>1.0829216317119155</x:v>
      </x:c>
      <x:c r="AM8" s="64" t="n">
        <x:f>IF(ISNUMBER(V8),R8/N8,"")</x:f>
        <x:v>1.0000303705304288</x:v>
      </x:c>
      <x:c r="AN8" s="64" t="n">
        <x:f>IF(ISNUMBER(W8),S8/O8,"")</x:f>
        <x:v>1.1176041141734827</x:v>
      </x:c>
    </x:row>
    <x:row r="9">
      <x:c r="A9" s="74" t="n">
        <x:v>8</x:v>
      </x:c>
      <x:c r="B9" s="74" t="n">
        <x:v>1</x:v>
      </x:c>
      <x:c r="C9" s="64" t="n">
        <x:v>268</x:v>
      </x:c>
      <x:c r="D9" s="64" t="n">
        <x:v>267.999999</x:v>
      </x:c>
      <x:c r="E9" s="64" t="n">
        <x:v>19</x:v>
      </x:c>
      <x:c r="F9" s="64" t="n">
        <x:v>268.027846</x:v>
      </x:c>
      <x:c r="G9" s="64" t="n">
        <x:v>268.02055</x:v>
      </x:c>
      <x:c r="H9" s="64" t="n">
        <x:v>0.027847</x:v>
      </x:c>
      <x:c r="I9" s="64" t="n">
        <x:v>0.020551</x:v>
      </x:c>
      <x:c r="J9" s="64" t="n">
        <x:v>-0.007297</x:v>
      </x:c>
      <x:c r="K9" s="64" t="n">
        <x:v>33.039</x:v>
      </x:c>
      <x:c r="L9" s="64" t="n">
        <x:v>30.593</x:v>
      </x:c>
      <x:c r="M9" s="64" t="n">
        <x:v>0.246002</x:v>
      </x:c>
      <x:c r="N9" s="64" t="n">
        <x:v>1.981538</x:v>
      </x:c>
      <x:c r="O9" s="64" t="n">
        <x:v>3.885749</x:v>
      </x:c>
      <x:c r="P9" s="64" t="n">
        <x:v>4.368759</x:v>
      </x:c>
      <x:c r="Q9" s="64" t="n">
        <x:v>0.246513</x:v>
      </x:c>
      <x:c r="R9" s="64" t="n">
        <x:v>1.970312</x:v>
      </x:c>
      <x:c r="S9" s="64" t="n">
        <x:v>4.392035</x:v>
      </x:c>
      <x:c r="T9" s="64" t="n">
        <x:v>4.820048</x:v>
      </x:c>
      <x:c r="U9" s="64"/>
      <x:c r="V9" s="64" t="n">
        <x:v>0.568</x:v>
      </x:c>
      <x:c r="W9" s="64" t="n">
        <x:v>12.232</x:v>
      </x:c>
      <x:c r="X9" s="64" t="n">
        <x:v>9.823</x:v>
      </x:c>
      <x:c r="Y9" s="64" t="n">
        <x:v>1.103299</x:v>
      </x:c>
      <x:c r="Z9" s="64" t="n">
        <x:v>0.902</x:v>
      </x:c>
      <x:c r="AA9" s="64" t="n">
        <x:v>0.9308</x:v>
      </x:c>
      <x:c r="AB9" s="64" t="n">
        <x:v>9.669</x:v>
      </x:c>
      <x:c r="AC9" s="64" t="n">
        <x:v>1.681</x:v>
      </x:c>
      <x:c r="AD9" s="64" t="n">
        <x:v>0.52</x:v>
      </x:c>
      <x:c r="AE9" s="64" t="n">
        <x:v>9.989</x:v>
      </x:c>
      <x:c r="AF9" s="64" t="n">
        <x:v>1.713</x:v>
      </x:c>
      <x:c r="AG9" s="64" t="n">
        <x:v>0.644</x:v>
      </x:c>
      <x:c r="AH9" s="64" t="n">
        <x:f>ABS(J9)</x:f>
        <x:v>0.007297</x:v>
      </x:c>
      <x:c r="AI9" s="64" t="n">
        <x:f>ABS(H9)</x:f>
        <x:v>0.027847</x:v>
      </x:c>
      <x:c r="AJ9" s="64" t="n">
        <x:f>ABS(I9)</x:f>
        <x:v>0.020551</x:v>
      </x:c>
      <x:c r="AK9" s="64" t="n">
        <x:f>ABS(U9-P9)/((U9+P9)/2)*100</x:f>
        <x:v>200</x:v>
      </x:c>
      <x:c r="AL9" s="64" t="str">
        <x:f>IF(ISNUMBER(U9),Q9/M9,"")</x:f>
      </x:c>
      <x:c r="AM9" s="64" t="n">
        <x:f>IF(ISNUMBER(V9),R9/N9,"")</x:f>
        <x:v>0.9943347036493875</x:v>
      </x:c>
      <x:c r="AN9" s="64" t="n">
        <x:f>IF(ISNUMBER(W9),S9/O9,"")</x:f>
        <x:v>1.1302930271615588</x:v>
      </x:c>
    </x:row>
    <x:row r="10">
      <x:c r="A10" s="74" t="n">
        <x:v>9</x:v>
      </x:c>
      <x:c r="B10" s="74" t="n">
        <x:v>1</x:v>
      </x:c>
      <x:c r="C10" s="64" t="n">
        <x:v>268</x:v>
      </x:c>
      <x:c r="D10" s="64" t="n">
        <x:v>267.999999</x:v>
      </x:c>
      <x:c r="E10" s="64" t="n">
        <x:v>19</x:v>
      </x:c>
      <x:c r="F10" s="64" t="n">
        <x:v>268.04882</x:v>
      </x:c>
      <x:c r="G10" s="64" t="n">
        <x:v>268.049039</x:v>
      </x:c>
      <x:c r="H10" s="64" t="n">
        <x:v>0.048821</x:v>
      </x:c>
      <x:c r="I10" s="64" t="n">
        <x:v>0.04904</x:v>
      </x:c>
      <x:c r="J10" s="64" t="n">
        <x:v>0.000219</x:v>
      </x:c>
      <x:c r="K10" s="64" t="n">
        <x:v>32.788</x:v>
      </x:c>
      <x:c r="L10" s="64" t="n">
        <x:v>30.034</x:v>
      </x:c>
      <x:c r="M10" s="64" t="n">
        <x:v>0.265457</x:v>
      </x:c>
      <x:c r="N10" s="64" t="n">
        <x:v>1.955656</x:v>
      </x:c>
      <x:c r="O10" s="64" t="n">
        <x:v>3.842622</x:v>
      </x:c>
      <x:c r="P10" s="64" t="n">
        <x:v>4.319815</x:v>
      </x:c>
      <x:c r="Q10" s="64" t="n">
        <x:v>0.242101</x:v>
      </x:c>
      <x:c r="R10" s="64" t="n">
        <x:v>1.970048</x:v>
      </x:c>
      <x:c r="S10" s="64" t="n">
        <x:v>4.355227</x:v>
      </x:c>
      <x:c r="T10" s="64" t="n">
        <x:v>4.786199</x:v>
      </x:c>
      <x:c r="U10" s="64"/>
      <x:c r="V10" s="64" t="n">
        <x:v>0.733</x:v>
      </x:c>
      <x:c r="W10" s="64" t="n">
        <x:v>12.506</x:v>
      </x:c>
      <x:c r="X10" s="64" t="n">
        <x:v>10.243</x:v>
      </x:c>
      <x:c r="Y10" s="64" t="n">
        <x:v>1.107964</x:v>
      </x:c>
      <x:c r="Z10" s="64" t="n">
        <x:v>0.8987</x:v>
      </x:c>
      <x:c r="AA10" s="64" t="n">
        <x:v>0.9284</x:v>
      </x:c>
      <x:c r="AB10" s="64" t="n">
        <x:v>7.563</x:v>
      </x:c>
      <x:c r="AC10" s="64" t="n">
        <x:v>3.41</x:v>
      </x:c>
      <x:c r="AD10" s="64" t="n">
        <x:v>0.79</x:v>
      </x:c>
      <x:c r="AE10" s="64" t="n">
        <x:v>7.508</x:v>
      </x:c>
      <x:c r="AF10" s="64" t="n">
        <x:v>2.151</x:v>
      </x:c>
      <x:c r="AG10" s="64" t="n">
        <x:v>0.437</x:v>
      </x:c>
      <x:c r="AH10" s="64" t="n">
        <x:f>ABS(J10)</x:f>
        <x:v>0.000219</x:v>
      </x:c>
      <x:c r="AI10" s="64" t="n">
        <x:f>ABS(H10)</x:f>
        <x:v>0.048821</x:v>
      </x:c>
      <x:c r="AJ10" s="64" t="n">
        <x:f>ABS(I10)</x:f>
        <x:v>0.04904</x:v>
      </x:c>
      <x:c r="AK10" s="64" t="n">
        <x:f>ABS(U10-P10)/((U10+P10)/2)*100</x:f>
        <x:v>200</x:v>
      </x:c>
      <x:c r="AL10" s="64" t="str">
        <x:f>IF(ISNUMBER(U10),Q10/M10,"")</x:f>
      </x:c>
      <x:c r="AM10" s="64" t="n">
        <x:f>IF(ISNUMBER(V10),R10/N10,"")</x:f>
        <x:v>1.0073591674609441</x:v>
      </x:c>
      <x:c r="AN10" s="64" t="n">
        <x:f>IF(ISNUMBER(W10),S10/O10,"")</x:f>
        <x:v>1.1333997983668445</x:v>
      </x:c>
    </x:row>
    <x:row r="11">
      <x:c r="A11" s="74" t="n">
        <x:v>10</x:v>
      </x:c>
      <x:c r="B11" s="74" t="n">
        <x:v>1</x:v>
      </x:c>
      <x:c r="C11" s="64" t="n">
        <x:v>268</x:v>
      </x:c>
      <x:c r="D11" s="64" t="n">
        <x:v>267.999999</x:v>
      </x:c>
      <x:c r="E11" s="64" t="n">
        <x:v>19</x:v>
      </x:c>
      <x:c r="F11" s="64" t="n">
        <x:v>268.037342</x:v>
      </x:c>
      <x:c r="G11" s="64" t="n">
        <x:v>268.021993</x:v>
      </x:c>
      <x:c r="H11" s="64" t="n">
        <x:v>0.037343</x:v>
      </x:c>
      <x:c r="I11" s="64" t="n">
        <x:v>0.021995</x:v>
      </x:c>
      <x:c r="J11" s="64" t="n">
        <x:v>-0.015348</x:v>
      </x:c>
      <x:c r="K11" s="64" t="n">
        <x:v>33.248</x:v>
      </x:c>
      <x:c r="L11" s="64" t="n">
        <x:v>29.434</x:v>
      </x:c>
      <x:c r="M11" s="64" t="n">
        <x:v>0.279363</x:v>
      </x:c>
      <x:c r="N11" s="64" t="n">
        <x:v>1.96188</x:v>
      </x:c>
      <x:c r="O11" s="64" t="n">
        <x:v>3.870996</x:v>
      </x:c>
      <x:c r="P11" s="64" t="n">
        <x:v>4.34875</x:v>
      </x:c>
      <x:c r="Q11" s="64" t="n">
        <x:v>0.271158</x:v>
      </x:c>
      <x:c r="R11" s="64" t="n">
        <x:v>1.998838</x:v>
      </x:c>
      <x:c r="S11" s="64" t="n">
        <x:v>4.367625</x:v>
      </x:c>
      <x:c r="T11" s="64" t="n">
        <x:v>4.810927</x:v>
      </x:c>
      <x:c r="U11" s="64" t="n">
        <x:v>2.981</x:v>
      </x:c>
      <x:c r="V11" s="64" t="n">
        <x:v>1.866</x:v>
      </x:c>
      <x:c r="W11" s="64" t="n">
        <x:v>12.056</x:v>
      </x:c>
      <x:c r="X11" s="64" t="n">
        <x:v>10.092</x:v>
      </x:c>
      <x:c r="Y11" s="64" t="n">
        <x:v>1.106278</x:v>
      </x:c>
      <x:c r="Z11" s="64" t="n">
        <x:v>0.8976</x:v>
      </x:c>
      <x:c r="AA11" s="64" t="n">
        <x:v>0.9291</x:v>
      </x:c>
      <x:c r="AB11" s="64" t="n">
        <x:v>7.564</x:v>
      </x:c>
      <x:c r="AC11" s="64" t="n">
        <x:v>3.173</x:v>
      </x:c>
      <x:c r="AD11" s="64" t="n">
        <x:v>0.699</x:v>
      </x:c>
      <x:c r="AE11" s="64" t="n">
        <x:v>10.439</x:v>
      </x:c>
      <x:c r="AF11" s="64" t="n">
        <x:v>2.109</x:v>
      </x:c>
      <x:c r="AG11" s="64" t="n">
        <x:v>0.679</x:v>
      </x:c>
      <x:c r="AH11" s="64" t="n">
        <x:f>ABS(J11)</x:f>
        <x:v>0.015348</x:v>
      </x:c>
      <x:c r="AI11" s="64" t="n">
        <x:f>ABS(H11)</x:f>
        <x:v>0.037343</x:v>
      </x:c>
      <x:c r="AJ11" s="64" t="n">
        <x:f>ABS(I11)</x:f>
        <x:v>0.021995</x:v>
      </x:c>
      <x:c r="AK11" s="64" t="n">
        <x:f>ABS(U11-P11)/((U11+P11)/2)*100</x:f>
        <x:v>37.320508885023365</x:v>
      </x:c>
      <x:c r="AL11" s="64" t="n">
        <x:f>IF(ISNUMBER(U11),Q11/M11,"")</x:f>
        <x:v>0.9706296109363088</x:v>
      </x:c>
      <x:c r="AM11" s="64" t="n">
        <x:f>IF(ISNUMBER(V11),R11/N11,"")</x:f>
        <x:v>1.0188380532958181</x:v>
      </x:c>
      <x:c r="AN11" s="64" t="n">
        <x:f>IF(ISNUMBER(W11),S11/O11,"")</x:f>
        <x:v>1.1282948884473145</x:v>
      </x:c>
    </x:row>
    <x:row r="12">
      <x:c r="A12" s="74" t="n">
        <x:v>11</x:v>
      </x:c>
      <x:c r="B12" s="74" t="n">
        <x:v>1</x:v>
      </x:c>
      <x:c r="C12" s="64" t="n">
        <x:v>268</x:v>
      </x:c>
      <x:c r="D12" s="64" t="n">
        <x:v>267.999999</x:v>
      </x:c>
      <x:c r="E12" s="64" t="n">
        <x:v>19</x:v>
      </x:c>
      <x:c r="F12" s="64" t="n">
        <x:v>268.027011</x:v>
      </x:c>
      <x:c r="G12" s="64" t="n">
        <x:v>268.027958</x:v>
      </x:c>
      <x:c r="H12" s="64" t="n">
        <x:v>0.027013</x:v>
      </x:c>
      <x:c r="I12" s="64" t="n">
        <x:v>0.027959</x:v>
      </x:c>
      <x:c r="J12" s="64" t="n">
        <x:v>0.000947</x:v>
      </x:c>
      <x:c r="K12" s="64" t="n">
        <x:v>32.674</x:v>
      </x:c>
      <x:c r="L12" s="64" t="n">
        <x:v>28.129</x:v>
      </x:c>
      <x:c r="M12" s="64" t="n">
        <x:v>0.283287</x:v>
      </x:c>
      <x:c r="N12" s="64" t="n">
        <x:v>1.972856</x:v>
      </x:c>
      <x:c r="O12" s="64" t="n">
        <x:v>3.853453</x:v>
      </x:c>
      <x:c r="P12" s="64" t="n">
        <x:v>4.338376</x:v>
      </x:c>
      <x:c r="Q12" s="64" t="n">
        <x:v>0.248112</x:v>
      </x:c>
      <x:c r="R12" s="64" t="n">
        <x:v>1.95001</x:v>
      </x:c>
      <x:c r="S12" s="64" t="n">
        <x:v>4.374915</x:v>
      </x:c>
      <x:c r="T12" s="64" t="n">
        <x:v>4.796246</x:v>
      </x:c>
      <x:c r="U12" s="64"/>
      <x:c r="V12" s="64" t="n">
        <x:v>1.165</x:v>
      </x:c>
      <x:c r="W12" s="64" t="n">
        <x:v>12.675</x:v>
      </x:c>
      <x:c r="X12" s="64" t="n">
        <x:v>10.025</x:v>
      </x:c>
      <x:c r="Y12" s="64" t="n">
        <x:v>1.10554</x:v>
      </x:c>
      <x:c r="Z12" s="64" t="n">
        <x:v>0.8954</x:v>
      </x:c>
      <x:c r="AA12" s="64" t="n">
        <x:v>0.927</x:v>
      </x:c>
      <x:c r="AB12" s="64" t="n">
        <x:v>7.228</x:v>
      </x:c>
      <x:c r="AC12" s="64" t="n">
        <x:v>2.326</x:v>
      </x:c>
      <x:c r="AD12" s="64" t="n">
        <x:v>0.506</x:v>
      </x:c>
      <x:c r="AE12" s="64" t="n">
        <x:v>7.463</x:v>
      </x:c>
      <x:c r="AF12" s="64" t="n">
        <x:v>2.176</x:v>
      </x:c>
      <x:c r="AG12" s="64" t="n">
        <x:v>0.784</x:v>
      </x:c>
      <x:c r="AH12" s="64" t="n">
        <x:f>ABS(J12)</x:f>
        <x:v>0.000947</x:v>
      </x:c>
      <x:c r="AI12" s="64" t="n">
        <x:f>ABS(H12)</x:f>
        <x:v>0.027013</x:v>
      </x:c>
      <x:c r="AJ12" s="64" t="n">
        <x:f>ABS(I12)</x:f>
        <x:v>0.027959</x:v>
      </x:c>
      <x:c r="AK12" s="64" t="n">
        <x:f>ABS(U12-P12)/((U12+P12)/2)*100</x:f>
        <x:v>200</x:v>
      </x:c>
      <x:c r="AL12" s="64" t="str">
        <x:f>IF(ISNUMBER(U12),Q12/M12,"")</x:f>
      </x:c>
      <x:c r="AM12" s="64" t="n">
        <x:f>IF(ISNUMBER(V12),R12/N12,"")</x:f>
        <x:v>0.9884198339868698</x:v>
      </x:c>
      <x:c r="AN12" s="64" t="n">
        <x:f>IF(ISNUMBER(W12),S12/O12,"")</x:f>
        <x:v>1.135323306136081</x:v>
      </x:c>
    </x:row>
    <x:row r="13">
      <x:c r="A13" s="74" t="n">
        <x:v>12</x:v>
      </x:c>
      <x:c r="B13" s="74" t="n">
        <x:v>1</x:v>
      </x:c>
      <x:c r="C13" s="64" t="n">
        <x:v>268</x:v>
      </x:c>
      <x:c r="D13" s="64" t="n">
        <x:v>267.999999</x:v>
      </x:c>
      <x:c r="E13" s="64" t="n">
        <x:v>19</x:v>
      </x:c>
      <x:c r="F13" s="64" t="n">
        <x:v>268.021414</x:v>
      </x:c>
      <x:c r="G13" s="64" t="n">
        <x:v>268.0238</x:v>
      </x:c>
      <x:c r="H13" s="64" t="n">
        <x:v>0.021415</x:v>
      </x:c>
      <x:c r="I13" s="64" t="n">
        <x:v>0.023801</x:v>
      </x:c>
      <x:c r="J13" s="64" t="n">
        <x:v>0.002386</x:v>
      </x:c>
      <x:c r="K13" s="64" t="n">
        <x:v>32.763</x:v>
      </x:c>
      <x:c r="L13" s="64" t="n">
        <x:v>28.211</x:v>
      </x:c>
      <x:c r="M13" s="64" t="n">
        <x:v>0.294395</x:v>
      </x:c>
      <x:c r="N13" s="64" t="n">
        <x:v>1.951249</x:v>
      </x:c>
      <x:c r="O13" s="64" t="n">
        <x:v>3.84483</x:v>
      </x:c>
      <x:c r="P13" s="64" t="n">
        <x:v>4.321661</x:v>
      </x:c>
      <x:c r="Q13" s="64" t="n">
        <x:v>0.278112</x:v>
      </x:c>
      <x:c r="R13" s="64" t="n">
        <x:v>1.975214</x:v>
      </x:c>
      <x:c r="S13" s="64" t="n">
        <x:v>4.355175</x:v>
      </x:c>
      <x:c r="T13" s="64" t="n">
        <x:v>4.790237</x:v>
      </x:c>
      <x:c r="U13" s="64" t="n">
        <x:v>5.688</x:v>
      </x:c>
      <x:c r="V13" s="64" t="n">
        <x:v>1.221</x:v>
      </x:c>
      <x:c r="W13" s="64" t="n">
        <x:v>12.447</x:v>
      </x:c>
      <x:c r="X13" s="64" t="n">
        <x:v>10.285</x:v>
      </x:c>
      <x:c r="Y13" s="64" t="n">
        <x:v>1.108425</x:v>
      </x:c>
      <x:c r="Z13" s="64" t="n">
        <x:v>0.8962</x:v>
      </x:c>
      <x:c r="AA13" s="64" t="n">
        <x:v>0.9264</x:v>
      </x:c>
      <x:c r="AB13" s="64" t="n">
        <x:v>5.971</x:v>
      </x:c>
      <x:c r="AC13" s="64" t="n">
        <x:v>3.9</x:v>
      </x:c>
      <x:c r="AD13" s="64" t="n">
        <x:v>0.631</x:v>
      </x:c>
      <x:c r="AE13" s="64" t="n">
        <x:v>8.604</x:v>
      </x:c>
      <x:c r="AF13" s="64" t="n">
        <x:v>1.062</x:v>
      </x:c>
      <x:c r="AG13" s="64" t="n">
        <x:v>0.813</x:v>
      </x:c>
      <x:c r="AH13" s="64" t="n">
        <x:f>ABS(J13)</x:f>
        <x:v>0.002386</x:v>
      </x:c>
      <x:c r="AI13" s="64" t="n">
        <x:f>ABS(H13)</x:f>
        <x:v>0.021415</x:v>
      </x:c>
      <x:c r="AJ13" s="64" t="n">
        <x:f>ABS(I13)</x:f>
        <x:v>0.023801</x:v>
      </x:c>
      <x:c r="AK13" s="64" t="n">
        <x:f>ABS(U13-P13)/((U13+P13)/2)*100</x:f>
        <x:v>27.30040507865351</x:v>
      </x:c>
      <x:c r="AL13" s="64" t="n">
        <x:f>IF(ISNUMBER(U13),Q13/M13,"")</x:f>
        <x:v>0.9446899573701999</x:v>
      </x:c>
      <x:c r="AM13" s="64" t="n">
        <x:f>IF(ISNUMBER(V13),R13/N13,"")</x:f>
        <x:v>1.0122818768901356</x:v>
      </x:c>
      <x:c r="AN13" s="64" t="n">
        <x:f>IF(ISNUMBER(W13),S13/O13,"")</x:f>
        <x:v>1.1327353875203845</x:v>
      </x:c>
    </x:row>
  </x:sheetData>
  <x:pageMargins left="0.7" right="0.7" top="0.75" bottom="0.75" header="0.3" footer="0.3"/>
  <x:tableParts count="1">
    <x:tablePart xmlns:r="http://schemas.openxmlformats.org/officeDocument/2006/relationships" r:id="Rb0fb3b81900447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5" t="str">
        <x:v>Axis-by-Axis M3 Analysis — Final 12 Runs</x:v>
      </x:c>
      <x:c r="B1" s="45"/>
      <x:c r="C1" s="45"/>
      <x:c r="D1" s="45"/>
      <x:c r="E1" s="45"/>
      <x:c r="F1" s="45"/>
      <x:c r="G1" s="45"/>
      <x:c r="H1" s="45"/>
    </x:row>
    <x:row r="3">
      <x:c r="A3" s="48" t="str">
        <x:v>Axis</x:v>
      </x:c>
      <x:c r="B3" s="48" t="str">
        <x:v>Qualified points</x:v>
      </x:c>
      <x:c r="C3" s="48" t="str">
        <x:v>Mean ADXL1 (m/s²)</x:v>
      </x:c>
      <x:c r="D3" s="48" t="str">
        <x:v>Mean ADXL2 (m/s²)</x:v>
      </x:c>
      <x:c r="E3" s="48" t="str">
        <x:v>Mean A2/A1</x:v>
      </x:c>
      <x:c r="F3" s="48" t="str">
        <x:v>Mean SymDiff (%)</x:v>
      </x:c>
      <x:c r="G3" s="48" t="str">
        <x:v>Mean CV ADXL1 (%)</x:v>
      </x:c>
      <x:c r="H3" s="48" t="str">
        <x:v>Mean CV ADXL2 (%)</x:v>
      </x:c>
    </x:row>
    <x:row r="4">
      <x:c r="A4" s="11" t="str">
        <x:v>X</x:v>
      </x:c>
      <x:c r="B4" s="74" t="n">
        <x:f>COUNT('Full Run Data'!U2:U13)</x:f>
        <x:v>9</x:v>
      </x:c>
      <x:c r="C4" s="68" t="n">
        <x:f>AVERAGEIF('Full Run Data'!U2:U13,"&lt;&gt;",'Full Run Data'!M2:M13)</x:f>
        <x:v>0.2810114444444445</x:v>
      </x:c>
      <x:c r="D4" s="68" t="n">
        <x:f>AVERAGEIF('Full Run Data'!U2:U13,"&lt;&gt;",'Full Run Data'!Q2:Q13)</x:f>
        <x:v>0.32065611111111114</x:v>
      </x:c>
      <x:c r="E4" s="68" t="n">
        <x:f>AVERAGE('Full Run Data'!AL2:AL13)</x:f>
        <x:v>1.137616129420087</x:v>
      </x:c>
      <x:c r="F4" s="68" t="n">
        <x:f>AVERAGE('Full Run Data'!U2:U13)</x:f>
        <x:v>14.255444444444445</x:v>
      </x:c>
      <x:c r="G4" s="68" t="n">
        <x:f>AVERAGE('Full Run Data'!AB2:AB13)</x:f>
        <x:v>8.233916666666667</x:v>
      </x:c>
      <x:c r="H4" s="68" t="n">
        <x:f>AVERAGE('Full Run Data'!AE2:AE13)</x:f>
        <x:v>8.46825</x:v>
      </x:c>
    </x:row>
    <x:row r="5">
      <x:c r="A5" s="11" t="str">
        <x:v>Y</x:v>
      </x:c>
      <x:c r="B5" s="74" t="n">
        <x:f>COUNT('Full Run Data'!V2:V13)</x:f>
        <x:v>12</x:v>
      </x:c>
      <x:c r="C5" s="68" t="n">
        <x:f>AVERAGE('Full Run Data'!N2:N13)</x:f>
        <x:v>2.0671947500000005</x:v>
      </x:c>
      <x:c r="D5" s="68" t="n">
        <x:f>AVERAGE('Full Run Data'!R2:R13)</x:f>
        <x:v>2.03384725</x:v>
      </x:c>
      <x:c r="E5" s="68" t="n">
        <x:f>AVERAGE('Full Run Data'!AM2:AM13)</x:f>
        <x:v>0.9850050193082702</x:v>
      </x:c>
      <x:c r="F5" s="68" t="n">
        <x:f>AVERAGE('Full Run Data'!V2:V13)</x:f>
        <x:v>2.1824999999999997</x:v>
      </x:c>
      <x:c r="G5" s="68" t="n">
        <x:f>AVERAGE('Full Run Data'!AC2:AC13)</x:f>
        <x:v>2.8608333333333333</x:v>
      </x:c>
      <x:c r="H5" s="68" t="n">
        <x:f>AVERAGE('Full Run Data'!AF2:AF13)</x:f>
        <x:v>1.8480833333333335</x:v>
      </x:c>
    </x:row>
    <x:row r="6">
      <x:c r="A6" s="11" t="str">
        <x:v>Z</x:v>
      </x:c>
      <x:c r="B6" s="74" t="n">
        <x:f>COUNT('Full Run Data'!W2:W13)</x:f>
        <x:v>12</x:v>
      </x:c>
      <x:c r="C6" s="68" t="n">
        <x:f>AVERAGE('Full Run Data'!O2:O13)</x:f>
        <x:v>3.88125125</x:v>
      </x:c>
      <x:c r="D6" s="68" t="n">
        <x:f>AVERAGE('Full Run Data'!S2:S13)</x:f>
        <x:v>4.312519750000001</x:v>
      </x:c>
      <x:c r="E6" s="68" t="n">
        <x:f>AVERAGE('Full Run Data'!AN2:AN13)</x:f>
        <x:v>1.111207843522481</x:v>
      </x:c>
      <x:c r="F6" s="68" t="n">
        <x:f>AVERAGE('Full Run Data'!W2:W13)</x:f>
        <x:v>10.513833333333332</x:v>
      </x:c>
      <x:c r="G6" s="68" t="n">
        <x:f>AVERAGE('Full Run Data'!AD2:AD13)</x:f>
        <x:v>0.7106666666666666</x:v>
      </x:c>
      <x:c r="H6" s="68" t="n">
        <x:f>AVERAGE('Full Run Data'!AG2:AG13)</x:f>
        <x:v>0.70925</x:v>
      </x:c>
    </x:row>
    <x:row r="7">
      <x:c r="A7" s="53" t="str">
        <x:v>Resultant</x:v>
      </x:c>
      <x:c r="B7" s="53" t="n">
        <x:f>COUNT('Full Run Data'!X2:X13)</x:f>
        <x:v>12</x:v>
      </x:c>
      <x:c r="C7" s="69" t="n">
        <x:f>AVERAGE('Full Run Data'!P2:P13)</x:f>
        <x:v>4.407042916666667</x:v>
      </x:c>
      <x:c r="D7" s="69" t="n">
        <x:f>AVERAGE('Full Run Data'!T2:T13)</x:f>
        <x:v>4.778675333333333</x:v>
      </x:c>
      <x:c r="E7" s="69" t="n">
        <x:f>AVERAGE('Full Run Data'!Y2:Y13)</x:f>
        <x:v>1.0846631666666666</x:v>
      </x:c>
      <x:c r="F7" s="69" t="n">
        <x:f>AVERAGE('Full Run Data'!X2:X13)</x:f>
        <x:v>8.097416666666666</x:v>
      </x:c>
      <x:c r="G7" s="69" t="n">
        <x:v>1.6104</x:v>
      </x:c>
      <x:c r="H7" s="69" t="n">
        <x:v>1.0505</x:v>
      </x:c>
    </x:row>
    <x:row r="9">
      <x:c r="A9" s="24" t="str">
        <x:v>Trend</x:v>
      </x:c>
      <x:c r="B9" s="24" t="str">
        <x:v>Interpretation</x:v>
      </x:c>
    </x:row>
    <x:row r="10">
      <x:c r="A10" s="37" t="str">
        <x:v>X</x:v>
      </x:c>
      <x:c r="B10" s="16" t="str">
        <x:v>Smallest/weakest component. Sync is much lower than Y/Z, and runs 8, 9, 11 were flagged LOW/UNSTABLE_COMPONENT. Relative percentage disagreement is therefore amplified.</x:v>
      </x:c>
    </x:row>
    <x:row r="11">
      <x:c r="A11" s="37" t="str">
        <x:v>Y</x:v>
      </x:c>
      <x:c r="B11" s="16" t="str">
        <x:v>Best cross-location amplitude agreement. Ratio stays close to unity and both channels have low within-record CV.</x:v>
      </x:c>
    </x:row>
    <x:row r="12">
      <x:c r="A12" s="37" t="str">
        <x:v>Z</x:v>
      </x:c>
      <x:c r="B12" s="16" t="str">
        <x:v>Dominant axis. ADXL2 is systematically higher at its plate location, but both sensors show exceptionally low CV. This is consistent with a real spatial response difference.</x:v>
      </x:c>
    </x:row>
    <x:row r="13">
      <x:c r="A13" s="37" t="str">
        <x:v>Resultant</x:v>
      </x:c>
      <x:c r="B13" s="16" t="str">
        <x:v>Mean symmetric difference stays below the predeclared 10% criterion (8.097%). Ratio changes gradually from ~1.045 early to ~1.108 late, indicating mild mechanical settling/redistribution rather than measurement-chain failure.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6c614d910ea441d"/>
  <x:tableParts count="1">
    <x:tablePart xmlns:r="http://schemas.openxmlformats.org/officeDocument/2006/relationships" r:id="R9cc845815c124e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22" hidden="0" customWidth="1"/>
  </x:cols>
  <x:sheetData>
    <x:row r="1">
      <x:c r="A1" s="45" t="str">
        <x:v>Measurement Quality and Acquisition Integrity</x:v>
      </x:c>
      <x:c r="B1" s="45"/>
      <x:c r="C1" s="45"/>
      <x:c r="D1" s="45"/>
      <x:c r="E1" s="45"/>
      <x:c r="F1" s="45"/>
    </x:row>
    <x:row r="3">
      <x:c r="A3" s="24" t="str">
        <x:v>Metric</x:v>
      </x:c>
      <x:c r="B3" s="24" t="str">
        <x:v>Final result</x:v>
      </x:c>
      <x:c r="C3" s="24" t="str">
        <x:v>Assessment</x:v>
      </x:c>
    </x:row>
    <x:row r="4">
      <x:c r="A4" s="37" t="str">
        <x:v>Valid runs</x:v>
      </x:c>
      <x:c r="B4" s="74" t="str">
        <x:v>12 / 12</x:v>
      </x:c>
      <x:c r="C4" s="56" t="str">
        <x:v>PASS</x:v>
      </x:c>
    </x:row>
    <x:row r="5">
      <x:c r="A5" s="37" t="str">
        <x:v>ADXL1 mean FFT SNR</x:v>
      </x:c>
      <x:c r="B5" s="74" t="str">
        <x:v>32.882 dB</x:v>
      </x:c>
      <x:c r="C5" s="56" t="str">
        <x:v>Strong</x:v>
      </x:c>
    </x:row>
    <x:row r="6">
      <x:c r="A6" s="37" t="str">
        <x:v>ADXL2 mean FFT SNR</x:v>
      </x:c>
      <x:c r="B6" s="74" t="str">
        <x:v>30.062 dB</x:v>
      </x:c>
      <x:c r="C6" s="56" t="str">
        <x:v>Strong</x:v>
      </x:c>
    </x:row>
    <x:row r="7">
      <x:c r="A7" s="37" t="str">
        <x:v>Mean |ADXL2 f - ADXL1 f|</x:v>
      </x:c>
      <x:c r="B7" s="74" t="str">
        <x:v>0.005651 Hz</x:v>
      </x:c>
      <x:c r="C7" s="56" t="str">
        <x:v>Excellent</x:v>
      </x:c>
    </x:row>
    <x:row r="8">
      <x:c r="A8" s="37" t="str">
        <x:v>Maximum |ADXL2 f - ADXL1 f|</x:v>
      </x:c>
      <x:c r="B8" s="74" t="str">
        <x:v>0.015348 Hz</x:v>
      </x:c>
      <x:c r="C8" s="56" t="str">
        <x:v>Excellent</x:v>
      </x:c>
    </x:row>
    <x:row r="9">
      <x:c r="A9" s="37" t="str">
        <x:v>Mean weighted sync ADXL1</x:v>
      </x:c>
      <x:c r="B9" s="74" t="str">
        <x:v>0.9040</x:v>
      </x:c>
      <x:c r="C9" s="56" t="str">
        <x:v>Strong</x:v>
      </x:c>
    </x:row>
    <x:row r="10">
      <x:c r="A10" s="37" t="str">
        <x:v>Mean weighted sync ADXL2</x:v>
      </x:c>
      <x:c r="B10" s="74" t="str">
        <x:v>0.9294</x:v>
      </x:c>
      <x:c r="C10" s="56" t="str">
        <x:v>Strong</x:v>
      </x:c>
    </x:row>
    <x:row r="11">
      <x:c r="A11" s="37" t="str">
        <x:v>Zero-triplet corruption</x:v>
      </x:c>
      <x:c r="B11" s="74" t="str">
        <x:v>0 in all final runs</x:v>
      </x:c>
      <x:c r="C11" s="56" t="str">
        <x:v>PASS</x:v>
      </x:c>
    </x:row>
    <x:row r="12">
      <x:c r="A12" s="37" t="str">
        <x:v>Clipping</x:v>
      </x:c>
      <x:c r="B12" s="74" t="str">
        <x:v>0 in all final runs</x:v>
      </x:c>
      <x:c r="C12" s="56" t="str">
        <x:v>PASS</x:v>
      </x:c>
    </x:row>
    <x:row r="13">
      <x:c r="A13" s="37" t="str">
        <x:v>Stagnant samples</x:v>
      </x:c>
      <x:c r="B13" s="74" t="str">
        <x:v>maximum reported = 1</x:v>
      </x:c>
      <x:c r="C13" s="56" t="str">
        <x:v>PASS</x:v>
      </x:c>
    </x:row>
    <x:row r="14">
      <x:c r="A14" s="37" t="str">
        <x:v>Quadrature duration</x:v>
      </x:c>
      <x:c r="B14" s="74" t="str">
        <x:v>~1599.44–1599.45 ms</x:v>
      </x:c>
      <x:c r="C14" s="56" t="str">
        <x:v>As expected for 2560 samples @ 1600 Hz</x:v>
      </x:c>
    </x:row>
    <x:row r="16">
      <x:c r="A16" s="24" t="str">
        <x:v>Important methodological note</x:v>
      </x:c>
      <x:c r="B16" s="24" t="str">
        <x:v>Meaning</x:v>
      </x:c>
    </x:row>
    <x:row r="17">
      <x:c r="A17" s="59" t="str">
        <x:v>Amplitude equality</x:v>
      </x:c>
      <x:c r="B17" s="16" t="str">
        <x:v>Not required across different physical locations of the Visaton plate; local modal/bending/rocking response can produce legitimate amplitude differences.</x:v>
      </x:c>
    </x:row>
    <x:row r="18">
      <x:c r="A18" s="59" t="str">
        <x:v>Cross-sensor phase</x:v>
      </x:c>
      <x:c r="B18" s="16" t="str">
        <x:v>Not used as an M3 acceptance metric because the two ADXL345s do not have hardware-synchronised sample clocks.</x:v>
      </x:c>
    </x:row>
    <x:row r="19">
      <x:c r="A19" s="59" t="str">
        <x:v>Frequency regression</x:v>
      </x:c>
      <x:c r="B19" s="16" t="str">
        <x:v>Do not interpret the single-frequency frequency-scatter regression slope/R² as a calibration metric; all measurements are clustered near one controlled frequency.</x:v>
      </x:c>
    </x:row>
    <x:row r="20">
      <x:c r="A20" s="59" t="str">
        <x:v>Amplitude regression</x:v>
      </x:c>
      <x:c r="B20" s="16" t="str">
        <x:v>Pooled qualified XYZ regression R² = 0.991788 shows a very strong linear relationship; slope = 1.115671 represents systematic cross-location response difference.</x:v>
      </x:c>
    </x:row>
    <x:row r="21">
      <x:c r="A21" s="59" t="str">
        <x:v>Use in later tests</x:v>
      </x:c>
      <x:c r="B21" s="16" t="str">
        <x:v>Treat each accelerometer as a local measurement channel at its own physical point. Do not apply a global amplitude correction factor based on M3.</x:v>
      </x:c>
    </x:row>
  </x:sheetData>
  <x:mergeCells>
    <x:mergeCell ref="A1:F1"/>
  </x:mergeCells>
  <x:conditionalFormatting sqref="C4:C14">
    <x:cfRule type="expression" dxfId="0" priority="1">
      <x:formula>OR(C4="PASS",C4="Excellent",C4="Strong")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5" t="str">
        <x:v>Thesis-Ready M3 Documentation Notes</x:v>
      </x:c>
      <x:c r="B1" s="45"/>
      <x:c r="C1" s="45"/>
      <x:c r="D1" s="45"/>
      <x:c r="E1" s="45"/>
      <x:c r="F1" s="45"/>
    </x:row>
    <x:row r="3">
      <x:c r="A3" s="12" t="str">
        <x:v>Recommended status</x:v>
      </x:c>
      <x:c r="B3" s="17" t="str">
        <x:v>M3 — DONE / FROZEN</x:v>
      </x:c>
    </x:row>
    <x:row r="4">
      <x:c r="A4" s="12" t="str">
        <x:v>Purpose</x:v>
      </x:c>
      <x:c r="B4" s="17" t="str">
        <x:v>To verify consistency of two ADXL345 measurement channels under a common controlled narrowband excitation generated by the Visaton actuator.</x:v>
      </x:c>
    </x:row>
    <x:row r="5">
      <x:c r="A5" s="12" t="str">
        <x:v>Excitation</x:v>
      </x:c>
      <x:c r="B5" s="17" t="str">
        <x:v>268 Hz commanded; actual NCO ≈ 267.999999 Hz; DAC sine peak 19; 12 independent actuator ON/OFF cycles.</x:v>
      </x:c>
    </x:row>
    <x:row r="6">
      <x:c r="A6" s="12" t="str">
        <x:v>Frequency result</x:v>
      </x:c>
      <x:c r="B6" s="17" t="str">
        <x:v>ADXL1 mean = 268.028160 Hz; ADXL2 mean = 268.027481 Hz. Mean absolute inter-sensor difference = 0.005651 Hz; maximum = 0.015348 Hz.</x:v>
      </x:c>
    </x:row>
    <x:row r="7">
      <x:c r="A7" s="12" t="str">
        <x:v>Amplitude result</x:v>
      </x:c>
      <x:c r="B7" s="17" t="str">
        <x:v>Mean resultant amplitudes: ADXL1 = 4.407043 m/s², ADXL2 = 4.778675 m/s². Mean resultant ratio A2/A1 = 1.084663; mean symmetric difference = 8.097%.</x:v>
      </x:c>
    </x:row>
    <x:row r="8">
      <x:c r="A8" s="12" t="str">
        <x:v>Spatial-response interpretation</x:v>
      </x:c>
      <x:c r="B8" s="17" t="str">
        <x:v>Because the accelerometers occupy different locations on the Visaton plate, equal amplitudes are not expected. The axis-dependent differences are interpreted as local structural response plus any sensor/mounting variation, not automatically as sensor error.</x:v>
      </x:c>
    </x:row>
    <x:row r="9">
      <x:c r="A9" s="12" t="str">
        <x:v>Strongest agreement</x:v>
      </x:c>
      <x:c r="B9" s="17" t="str">
        <x:v>Y axis: mean A2/A1 = 0.9850; mean symmetric difference = 2.183%.</x:v>
      </x:c>
    </x:row>
    <x:row r="10">
      <x:c r="A10" s="12" t="str">
        <x:v>Dominant systematic difference</x:v>
      </x:c>
      <x:c r="B10" s="17" t="str">
        <x:v>Z axis: mean A2/A1 = 1.1112; mean symmetric difference = 10.514%, while within-record CV is only ~0.71% for both sensors. The difference is stable and therefore consistent with a physical location effect.</x:v>
      </x:c>
    </x:row>
    <x:row r="11">
      <x:c r="A11" s="12" t="str">
        <x:v>Weak-axis caution</x:v>
      </x:c>
      <x:c r="B11" s="17" t="str">
        <x:v>X is the weakest component and has lower synchronisation; only 9/12 X comparisons were quality-qualified. X percentage errors should not dominate the thesis verdict.</x:v>
      </x:c>
    </x:row>
    <x:row r="12">
      <x:c r="A12" s="12" t="str">
        <x:v>Repeatability</x:v>
      </x:c>
      <x:c r="B12" s="17" t="str">
        <x:v>Across runs, resultant CV = 1.61% for ADXL1 and 1.05% for ADXL2. The latter half of the campaign is even more stable, indicating mild initial mechanical settling.</x:v>
      </x:c>
    </x:row>
    <x:row r="13">
      <x:c r="A13" s="21" t="str">
        <x:v>Final conclusion</x:v>
      </x:c>
      <x:c r="B13" s="21" t="str">
        <x:v>The M3 goal is achieved: both channels identify the same controlled vibration frequency with high precision, strong SNR, repeatable narrowband response and clean acquisition. The test does not establish cross-location amplitude equality, and such equality is not required for the later tool-side/hand-side architecture.</x:v>
      </x:c>
    </x:row>
  </x:sheetData>
  <x:mergeCells>
    <x:mergeCell ref="A1:F1"/>
  </x:mergeCells>
  <x:pageMargins left="0.7" right="0.7" top="0.75" bottom="0.75" header="0.3" footer="0.3"/>
</x:worksheet>
</file>
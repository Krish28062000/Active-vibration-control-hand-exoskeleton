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2.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f77bc0f1a64cf3" /></Relationships>
</file>

<file path=xl/workbook.xml><?xml version="1.0" encoding="utf-8"?>
<x:workbook xmlns:x="http://schemas.openxmlformats.org/spreadsheetml/2006/main">
  <x:sheets>
    <x:sheet xmlns:r="http://schemas.openxmlformats.org/officeDocument/2006/relationships" name="Executive Summary" sheetId="1" r:id="Rec611793ee9f40d9"/>
    <x:sheet xmlns:r="http://schemas.openxmlformats.org/officeDocument/2006/relationships" name="Raw DATA" sheetId="2" r:id="R6e7f0205eda34290"/>
    <x:sheet xmlns:r="http://schemas.openxmlformats.org/officeDocument/2006/relationships" name="Point Summary" sheetId="3" r:id="R9153ddd816354b34"/>
    <x:sheet xmlns:r="http://schemas.openxmlformats.org/officeDocument/2006/relationships" name="Frequency Analysis" sheetId="4" r:id="Ra0adc405fe1748cb"/>
    <x:sheet xmlns:r="http://schemas.openxmlformats.org/officeDocument/2006/relationships" name="Axis Map" sheetId="5" r:id="R0a35d48b3be74b61"/>
    <x:sheet xmlns:r="http://schemas.openxmlformats.org/officeDocument/2006/relationships" name="Harmonic Diagnostics" sheetId="6" r:id="Rb0e613b5d22e4b62"/>
    <x:sheet xmlns:r="http://schemas.openxmlformats.org/officeDocument/2006/relationships" name="Phase &amp; Quality" sheetId="7" r:id="R847b372ebcc74fec"/>
    <x:sheet xmlns:r="http://schemas.openxmlformats.org/officeDocument/2006/relationships" name="Thesis Documentation" sheetId="8" r:id="Raf44e516446542ea"/>
    <x:sheet xmlns:r="http://schemas.openxmlformats.org/officeDocument/2006/relationships" name="Dashboard" sheetId="9" r:id="R2cf67dca68984b83"/>
    <x:sheet xmlns:r="http://schemas.openxmlformats.org/officeDocument/2006/relationships" name="Inclined Executive" sheetId="10" r:id="R5b0ee35235704127"/>
    <x:sheet xmlns:r="http://schemas.openxmlformats.org/officeDocument/2006/relationships" name="Inclined Raw DATA" sheetId="11" r:id="R27c1bf013c494eed"/>
    <x:sheet xmlns:r="http://schemas.openxmlformats.org/officeDocument/2006/relationships" name="Inclined Freq Analysis" sheetId="12" r:id="R05ce802d3d534a46"/>
    <x:sheet xmlns:r="http://schemas.openxmlformats.org/officeDocument/2006/relationships" name="Control Axis Map" sheetId="13" r:id="Rb675edcb9bf84c12"/>
    <x:sheet xmlns:r="http://schemas.openxmlformats.org/officeDocument/2006/relationships" name="Horizontal vs Inclined" sheetId="14" r:id="R954e4b725ba2499e"/>
    <x:sheet xmlns:r="http://schemas.openxmlformats.org/officeDocument/2006/relationships" name="Phase Sweep Decision" sheetId="15" r:id="R175a051d22214e72"/>
    <x:sheet xmlns:r="http://schemas.openxmlformats.org/officeDocument/2006/relationships" name="FullDAC Executive" sheetId="16" r:id="Rcf5ced612aca43c4"/>
    <x:sheet xmlns:r="http://schemas.openxmlformats.org/officeDocument/2006/relationships" name="FullDAC Raw" sheetId="17" r:id="R6482f2a461cc4a9d"/>
    <x:sheet xmlns:r="http://schemas.openxmlformats.org/officeDocument/2006/relationships" name="FullDAC Metrics" sheetId="18" r:id="Rb6263240122e47a5"/>
    <x:sheet xmlns:r="http://schemas.openxmlformats.org/officeDocument/2006/relationships" name="DAC Curve Matrix" sheetId="19" r:id="R158766388dc54a40"/>
    <x:sheet xmlns:r="http://schemas.openxmlformats.org/officeDocument/2006/relationships" name="11-20 Consistency" sheetId="20" r:id="Ra8f22ebec873426b"/>
    <x:sheet xmlns:r="http://schemas.openxmlformats.org/officeDocument/2006/relationships" name="Final Control Decision" sheetId="21" r:id="R2725fae74a9c43f9"/>
    <x:sheet xmlns:r="http://schemas.openxmlformats.org/officeDocument/2006/relationships" name="Thesis Final Text" sheetId="22" r:id="Rab636c1606424b4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000"/>
    <x:numFmt numFmtId="202" formatCode="0"/>
    <x:numFmt numFmtId="203" formatCode="0.0000"/>
    <x:numFmt numFmtId="204" formatCode="0.000"/>
  </x:numFmts>
  <x:fonts count="11">
    <x:font>
      <x:sz val="11"/>
      <x:name val="Carlito"/>
    </x:font>
    <x:font>
      <x:b/>
      <x:sz val="16"/>
      <x:color rgb="FFFFFFFF"/>
      <x:name val="Carlito"/>
    </x:font>
    <x:font>
      <x:i/>
      <x:sz val="11"/>
      <x:color rgb="FF44546A"/>
      <x:name val="Carlito"/>
    </x:font>
    <x:font>
      <x:b/>
      <x:sz val="11"/>
      <x:color rgb="FFFFFFFF"/>
      <x:name val="Carlito"/>
    </x:font>
    <x:font>
      <x:b/>
      <x:sz val="12"/>
      <x:color rgb="FF1F2937"/>
      <x:name val="Carlito"/>
    </x:font>
    <x:font>
      <x:b/>
      <x:sz val="9"/>
      <x:color rgb="FFFFFFFF"/>
      <x:name val="Carlito"/>
    </x:font>
    <x:font>
      <x:sz val="9"/>
      <x:name val="Carlito"/>
    </x:font>
    <x:font>
      <x:b/>
      <x:sz val="15"/>
      <x:color rgb="FFFFFFFF"/>
      <x:name val="Carlito"/>
    </x:font>
    <x:font>
      <x:sz val="11"/>
      <x:color rgb="FF7F6000"/>
      <x:name val="Carlito"/>
    </x:font>
    <x:font>
      <x:b/>
      <x:sz val="11"/>
      <x:name val="Carlito"/>
    </x:font>
    <x:font>
      <x:b/>
      <x:sz val="11"/>
      <x:color rgb="FF17365D"/>
      <x:name val="Carlito"/>
    </x:font>
  </x:fonts>
  <x:fills count="14">
    <x:fill>
      <x:patternFill patternType="none"/>
    </x:fill>
    <x:fill>
      <x:patternFill patternType="gray125"/>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2F75B5"/>
      </x:patternFill>
    </x:fill>
    <x:fill>
      <x:patternFill patternType="solid">
        <x:fgColor rgb="FFEAF2F8"/>
      </x:patternFill>
    </x:fill>
    <x:fill>
      <x:patternFill patternType="solid">
        <x:fgColor rgb="FF17365D"/>
      </x:patternFill>
    </x:fill>
    <x:fill>
      <x:patternFill patternType="solid">
        <x:fgColor rgb="FFFFF2CC"/>
      </x:patternFill>
    </x:fill>
    <x:fill>
      <x:patternFill patternType="solid">
        <x:fgColor rgb="FF2F75B5"/>
      </x:patternFill>
    </x:fill>
    <x:fill>
      <x:patternFill patternType="solid">
        <x:fgColor rgb="FFEAF2F8"/>
      </x:patternFill>
    </x:fill>
    <x:fill>
      <x:patternFill patternType="solid">
        <x:fgColor rgb="FFD9EAF7"/>
      </x:patternFill>
    </x:fill>
  </x:fills>
  <x:borders count="2">
    <x:border/>
    <x:border/>
  </x:borders>
  <x:cellStyleXfs count="1">
    <x:xf numFmtId="0" fontId="0" fillId="0" borderId="0"/>
  </x:cellStyleXfs>
  <x:cellXfs count="1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vertical="center" wrapText="1"/>
    </x:xf>
    <x:xf numFmtId="0" fontId="0"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4" borderId="1" xfId="0" applyNumberFormat="1" applyFont="1" applyFill="1" applyBorder="1" applyAlignment="1">
      <x:alignment vertical="center" wrapText="1"/>
    </x:xf>
    <x:xf numFmtId="200" fontId="3" fillId="3" borderId="0" xfId="0" applyNumberFormat="1" applyFont="1" applyFill="1" applyBorder="1" applyAlignment="1">
      <x:alignment horizontal="center" vertical="center" wrapText="1"/>
    </x:xf>
    <x:xf numFmtId="200" fontId="3" fillId="3" borderId="1" xfId="0" applyNumberFormat="1" applyFont="1" applyFill="1" applyBorder="1" applyAlignment="1">
      <x:alignment horizontal="center" vertical="center" wrapText="1"/>
    </x:xf>
    <x:xf numFmtId="201" fontId="3" fillId="3" borderId="0" xfId="0" applyNumberFormat="1" applyFont="1" applyFill="1" applyBorder="1" applyAlignment="1">
      <x:alignment horizontal="center" vertical="center" wrapText="1"/>
    </x:xf>
    <x:xf numFmtId="201" fontId="3" fillId="3" borderId="1" xfId="0" applyNumberFormat="1" applyFont="1" applyFill="1" applyBorder="1" applyAlignment="1">
      <x:alignment horizontal="center" vertical="center" wrapText="1"/>
    </x:xf>
    <x:xf numFmtId="202" fontId="3" fillId="3" borderId="0" xfId="0" applyNumberFormat="1" applyFont="1" applyFill="1" applyBorder="1" applyAlignment="1">
      <x:alignment horizontal="center" vertical="center" wrapText="1"/>
    </x:xf>
    <x:xf numFmtId="202" fontId="3" fillId="3" borderId="1" xfId="0" applyNumberFormat="1" applyFont="1" applyFill="1" applyBorder="1" applyAlignment="1">
      <x:alignment horizontal="center" vertical="center" wrapText="1"/>
    </x:xf>
    <x:xf numFmtId="0" fontId="5" fillId="3" borderId="0" xfId="0" applyNumberFormat="1" applyFont="1" applyFill="1" applyBorder="1" applyAlignment="1">
      <x:alignment horizontal="center" vertical="center" wrapText="1"/>
    </x:xf>
    <x:xf numFmtId="200" fontId="5" fillId="3" borderId="0" xfId="0" applyNumberFormat="1" applyFont="1" applyFill="1" applyBorder="1" applyAlignment="1">
      <x:alignment horizontal="center" vertical="center" wrapText="1"/>
    </x:xf>
    <x:xf numFmtId="201" fontId="5" fillId="3" borderId="0" xfId="0" applyNumberFormat="1" applyFont="1" applyFill="1" applyBorder="1" applyAlignment="1">
      <x:alignment horizontal="center" vertical="center" wrapText="1"/>
    </x:xf>
    <x:xf numFmtId="202" fontId="5" fillId="3" borderId="0" xfId="0" applyNumberFormat="1" applyFont="1" applyFill="1" applyBorder="1" applyAlignment="1">
      <x:alignment horizontal="center" vertical="center" wrapText="1"/>
    </x:xf>
    <x:xf numFmtId="0" fontId="5" fillId="3" borderId="1" xfId="0" applyNumberFormat="1" applyFont="1" applyFill="1" applyBorder="1" applyAlignment="1">
      <x:alignment horizontal="center" vertical="center" wrapText="1"/>
    </x:xf>
    <x:xf numFmtId="200" fontId="5" fillId="3" borderId="1" xfId="0" applyNumberFormat="1" applyFont="1" applyFill="1" applyBorder="1" applyAlignment="1">
      <x:alignment horizontal="center" vertical="center" wrapText="1"/>
    </x:xf>
    <x:xf numFmtId="201" fontId="5" fillId="3" borderId="1" xfId="0" applyNumberFormat="1" applyFont="1" applyFill="1" applyBorder="1" applyAlignment="1">
      <x:alignment horizontal="center" vertical="center" wrapText="1"/>
    </x:xf>
    <x:xf numFmtId="202" fontId="5" fillId="3" borderId="1" xfId="0" applyNumberFormat="1" applyFont="1" applyFill="1" applyBorder="1" applyAlignment="1">
      <x:alignment horizontal="center" vertical="center" wrapText="1"/>
    </x:xf>
    <x:xf numFmtId="202" fontId="0" fillId="0" borderId="0" xfId="0" applyNumberFormat="1" applyFont="1" applyFill="1" applyBorder="1"/>
    <x:xf numFmtId="202"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2" fontId="6" fillId="0" borderId="0" xfId="0" applyNumberFormat="1" applyFont="1" applyFill="1" applyBorder="1"/>
    <x:xf numFmtId="0" fontId="6" fillId="0" borderId="0" xfId="0" applyNumberFormat="1" applyFont="1" applyFill="1" applyBorder="1"/>
    <x:xf numFmtId="201" fontId="6" fillId="0" borderId="0" xfId="0" applyNumberFormat="1" applyFont="1" applyFill="1" applyBorder="1"/>
    <x:xf numFmtId="200" fontId="6" fillId="0" borderId="0" xfId="0" applyNumberFormat="1" applyFont="1" applyFill="1" applyBorder="1"/>
    <x:xf numFmtId="203" fontId="6" fillId="0" borderId="0" xfId="0" applyNumberFormat="1" applyFont="1" applyFill="1" applyBorder="1"/>
    <x:xf numFmtId="204" fontId="6" fillId="0" borderId="0" xfId="0" applyNumberFormat="1" applyFont="1" applyFill="1" applyBorder="1"/>
    <x:xf numFmtId="202" fontId="6" fillId="0" borderId="1" xfId="0" applyNumberFormat="1" applyFont="1" applyFill="1" applyBorder="1"/>
    <x:xf numFmtId="0" fontId="6" fillId="0" borderId="1" xfId="0" applyNumberFormat="1" applyFont="1" applyFill="1" applyBorder="1"/>
    <x:xf numFmtId="201" fontId="6" fillId="0" borderId="1" xfId="0" applyNumberFormat="1" applyFont="1" applyFill="1" applyBorder="1"/>
    <x:xf numFmtId="200" fontId="6" fillId="0" borderId="1" xfId="0" applyNumberFormat="1" applyFont="1" applyFill="1" applyBorder="1"/>
    <x:xf numFmtId="203" fontId="6" fillId="0" borderId="1" xfId="0" applyNumberFormat="1" applyFont="1" applyFill="1" applyBorder="1"/>
    <x:xf numFmtId="204" fontId="6" fillId="0" borderId="1" xfId="0" applyNumberFormat="1" applyFont="1" applyFill="1" applyBorder="1"/>
    <x:xf numFmtId="200" fontId="1" fillId="2" borderId="0" xfId="0" applyNumberFormat="1" applyFont="1" applyFill="1" applyBorder="1" applyAlignment="1">
      <x:alignment vertical="center"/>
    </x:xf>
    <x:xf numFmtId="200" fontId="1" fillId="2" borderId="1" xfId="0" applyNumberFormat="1" applyFont="1" applyFill="1" applyBorder="1" applyAlignment="1">
      <x:alignment vertical="center"/>
    </x:xf>
    <x:xf numFmtId="202" fontId="1" fillId="2" borderId="0" xfId="0" applyNumberFormat="1" applyFont="1" applyFill="1" applyBorder="1" applyAlignment="1">
      <x:alignment vertical="center"/>
    </x:xf>
    <x:xf numFmtId="202" fontId="1" fillId="2" borderId="1" xfId="0" applyNumberFormat="1" applyFont="1" applyFill="1" applyBorder="1" applyAlignment="1">
      <x:alignment vertical="center"/>
    </x:xf>
    <x:xf numFmtId="204" fontId="1" fillId="2" borderId="0" xfId="0" applyNumberFormat="1" applyFont="1" applyFill="1" applyBorder="1" applyAlignment="1">
      <x:alignment vertical="center"/>
    </x:xf>
    <x:xf numFmtId="204" fontId="1" fillId="2" borderId="1" xfId="0" applyNumberFormat="1" applyFont="1" applyFill="1" applyBorder="1" applyAlignment="1">
      <x:alignment vertical="center"/>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vertical="center"/>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7" fillId="2" borderId="0" xfId="0" applyNumberFormat="1" applyFont="1" applyFill="1" applyBorder="1"/>
    <x:xf numFmtId="0" fontId="7" fillId="2" borderId="0" xfId="0" applyNumberFormat="1" applyFont="1" applyFill="1" applyBorder="1" applyAlignment="1">
      <x:alignmen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1" borderId="0" xfId="0" applyNumberFormat="1" applyFont="1" applyFill="1" applyBorder="1" applyAlignment="1">
      <x:alignment horizontal="center" vertical="center" wrapText="1"/>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204" fontId="3" fillId="11" borderId="0" xfId="0" applyNumberFormat="1" applyFont="1" applyFill="1" applyBorder="1" applyAlignment="1">
      <x:alignment horizontal="center" vertical="center" wrapText="1"/>
    </x:xf>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cellXfs>
  <x:cellStyles count="1">
    <x:cellStyle name="Normal" xfId="0"/>
  </x:cellStyles>
  <x:dxfs count="3">
    <x:dxf>
      <x:font>
        <x:b/>
        <x:color rgb="FF375623"/>
      </x:font>
      <x:fill>
        <x:patternFill patternType="solid">
          <x:bgColor rgb="FFE2F0D9"/>
        </x:patternFill>
      </x:fill>
    </x:dxf>
    <x:dxf>
      <x:font>
        <x:b/>
        <x:color rgb="FF375623"/>
      </x:font>
      <x:fill>
        <x:patternFill patternType="solid">
          <x:bgColor rgb="FFE2F0D9"/>
        </x:patternFill>
      </x:fill>
    </x:dxf>
    <x:dxf>
      <x:font>
        <x:b/>
        <x:color rgb="FF843C0C"/>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7888bd97d44607" /><Relationship Type="http://schemas.openxmlformats.org/officeDocument/2006/relationships/theme" Target="/xl/theme/theme1.xml" Id="R9d1c03e108bb4807" /><Relationship Type="http://schemas.openxmlformats.org/officeDocument/2006/relationships/sharedStrings" Target="/xl/sharedStrings.xml" Id="R136eabc92f9d4383" /><Relationship Type="http://schemas.openxmlformats.org/officeDocument/2006/relationships/worksheet" Target="/xl/worksheets/sheet1.xml" Id="Rec611793ee9f40d9" /><Relationship Type="http://schemas.openxmlformats.org/officeDocument/2006/relationships/worksheet" Target="/xl/worksheets/sheet2.xml" Id="R6e7f0205eda34290" /><Relationship Type="http://schemas.openxmlformats.org/officeDocument/2006/relationships/worksheet" Target="/xl/worksheets/sheet3.xml" Id="R9153ddd816354b34" /><Relationship Type="http://schemas.openxmlformats.org/officeDocument/2006/relationships/worksheet" Target="/xl/worksheets/sheet4.xml" Id="Ra0adc405fe1748cb" /><Relationship Type="http://schemas.openxmlformats.org/officeDocument/2006/relationships/worksheet" Target="/xl/worksheets/sheet5.xml" Id="R0a35d48b3be74b61" /><Relationship Type="http://schemas.openxmlformats.org/officeDocument/2006/relationships/worksheet" Target="/xl/worksheets/sheet6.xml" Id="Rb0e613b5d22e4b62" /><Relationship Type="http://schemas.openxmlformats.org/officeDocument/2006/relationships/worksheet" Target="/xl/worksheets/sheet7.xml" Id="R847b372ebcc74fec" /><Relationship Type="http://schemas.openxmlformats.org/officeDocument/2006/relationships/worksheet" Target="/xl/worksheets/sheet8.xml" Id="Raf44e516446542ea" /><Relationship Type="http://schemas.openxmlformats.org/officeDocument/2006/relationships/worksheet" Target="/xl/worksheets/sheet9.xml" Id="R2cf67dca68984b83" /><Relationship Type="http://schemas.openxmlformats.org/officeDocument/2006/relationships/worksheet" Target="/xl/worksheets/sheet10.xml" Id="R5b0ee35235704127" /><Relationship Type="http://schemas.openxmlformats.org/officeDocument/2006/relationships/worksheet" Target="/xl/worksheets/sheet11.xml" Id="R27c1bf013c494eed" /><Relationship Type="http://schemas.openxmlformats.org/officeDocument/2006/relationships/worksheet" Target="/xl/worksheets/sheet12.xml" Id="R05ce802d3d534a46" /><Relationship Type="http://schemas.openxmlformats.org/officeDocument/2006/relationships/worksheet" Target="/xl/worksheets/sheet13.xml" Id="Rb675edcb9bf84c12" /><Relationship Type="http://schemas.openxmlformats.org/officeDocument/2006/relationships/worksheet" Target="/xl/worksheets/sheet14.xml" Id="R954e4b725ba2499e" /><Relationship Type="http://schemas.openxmlformats.org/officeDocument/2006/relationships/worksheet" Target="/xl/worksheets/sheet15.xml" Id="R175a051d22214e72" /><Relationship Type="http://schemas.openxmlformats.org/officeDocument/2006/relationships/worksheet" Target="/xl/worksheets/sheet16.xml" Id="Rcf5ced612aca43c4" /><Relationship Type="http://schemas.openxmlformats.org/officeDocument/2006/relationships/worksheet" Target="/xl/worksheets/sheet17.xml" Id="R6482f2a461cc4a9d" /><Relationship Type="http://schemas.openxmlformats.org/officeDocument/2006/relationships/worksheet" Target="/xl/worksheets/sheet18.xml" Id="Rb6263240122e47a5" /><Relationship Type="http://schemas.openxmlformats.org/officeDocument/2006/relationships/worksheet" Target="/xl/worksheets/sheet19.xml" Id="R158766388dc54a40" /><Relationship Type="http://schemas.openxmlformats.org/officeDocument/2006/relationships/worksheet" Target="/xl/worksheets/sheet20.xml" Id="Ra8f22ebec873426b" /><Relationship Type="http://schemas.openxmlformats.org/officeDocument/2006/relationships/worksheet" Target="/xl/worksheets/sheet21.xml" Id="R2725fae74a9c43f9" /><Relationship Type="http://schemas.openxmlformats.org/officeDocument/2006/relationships/worksheet" Target="/xl/worksheets/sheet22.xml" Id="Rab636c1606424b48" /></Relationships>
</file>

<file path=xl/drawings/_rels/drawing1.xml.rels>&#65279;<?xml version="1.0" encoding="utf-8"?><Relationships xmlns="http://schemas.openxmlformats.org/package/2006/relationships"><Relationship Type="http://schemas.openxmlformats.org/officeDocument/2006/relationships/chart" Target="/xl/drawings/charts/chart1.xml" Id="R09387bfbc9ae47ca" /><Relationship Type="http://schemas.openxmlformats.org/officeDocument/2006/relationships/chart" Target="/xl/drawings/charts/chart2.xml" Id="R70ba20436ec74f0c" /><Relationship Type="http://schemas.openxmlformats.org/officeDocument/2006/relationships/chart" Target="/xl/drawings/charts/chart3.xml" Id="Rd55987e6b20f47d8" /></Relationships>
</file>

<file path=xl/drawings/_rels/drawing2.xml.rels>&#65279;<?xml version="1.0" encoding="utf-8"?><Relationships xmlns="http://schemas.openxmlformats.org/package/2006/relationships"><Relationship Type="http://schemas.openxmlformats.org/officeDocument/2006/relationships/chart" Target="/xl/drawings/charts/chart4.xml" Id="R231f484c50f04784" /><Relationship Type="http://schemas.openxmlformats.org/officeDocument/2006/relationships/chart" Target="/xl/drawings/charts/chart5.xml" Id="R59fb81bbf8374fd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X/Y/Z response at DAC 15</a:t>
            </a:r>
          </a:p>
        </c:rich>
      </c:tx>
    </c:title>
    <c:plotArea>
      <c:lineChart>
        <c:grouping val="standard"/>
        <c:varyColors val="0"/>
        <c:ser>
          <c:idx val="0"/>
          <c:order val="0"/>
          <c:tx>
            <c:v>X @ DAC15</c:v>
          </c:tx>
          <c:marker>
            <c:symbol val="none"/>
          </c:marker>
          <c:cat>
            <c:strRef>
              <c:f>'Dashboard'!$A$11:$A$21</c:f>
              <c:strCache>
                <c:ptCount val="0"/>
              </c:strCache>
            </c:strRef>
          </c:cat>
          <c:val>
            <c:numRef>
              <c:f>'Dashboard'!$B$11:$B$21</c:f>
              <c:numCache>
                <c:formatCode>General</c:formatCode>
                <c:ptCount val="0"/>
              </c:numCache>
            </c:numRef>
          </c:val>
        </c:ser>
        <c:ser>
          <c:idx val="1"/>
          <c:order val="1"/>
          <c:tx>
            <c:v>Y @ DAC15</c:v>
          </c:tx>
          <c:marker>
            <c:symbol val="none"/>
          </c:marker>
          <c:cat>
            <c:strRef>
              <c:f>'Dashboard'!$A$11:$A$21</c:f>
              <c:strCache>
                <c:ptCount val="0"/>
              </c:strCache>
            </c:strRef>
          </c:cat>
          <c:val>
            <c:numRef>
              <c:f>'Dashboard'!$C$11:$C$21</c:f>
              <c:numCache>
                <c:formatCode>General</c:formatCode>
                <c:ptCount val="0"/>
              </c:numCache>
            </c:numRef>
          </c:val>
        </c:ser>
        <c:ser>
          <c:idx val="2"/>
          <c:order val="2"/>
          <c:tx>
            <c:v>Z @ DAC15</c:v>
          </c:tx>
          <c:marker>
            <c:symbol val="none"/>
          </c:marker>
          <c:cat>
            <c:strRef>
              <c:f>'Dashboard'!$A$11:$A$21</c:f>
              <c:strCache>
                <c:ptCount val="0"/>
              </c:strCache>
            </c:strRef>
          </c:cat>
          <c:val>
            <c:numRef>
              <c:f>'Dashboard'!$D$11:$D$21</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Cross-frequency response at DAC 15</a:t>
            </a:r>
          </a:p>
        </c:rich>
      </c:tx>
    </c:title>
    <c:plotArea>
      <c:lineChart>
        <c:grouping val="standard"/>
        <c:varyColors val="0"/>
        <c:ser>
          <c:idx val="0"/>
          <c:order val="0"/>
          <c:tx>
            <c:v>X @ DAC15</c:v>
          </c:tx>
          <c:marker>
            <c:symbol val="none"/>
          </c:marker>
          <c:cat>
            <c:strRef>
              <c:f>'Dashboard'!$A$11:$A$21</c:f>
              <c:strCache>
                <c:ptCount val="0"/>
              </c:strCache>
            </c:strRef>
          </c:cat>
          <c:val>
            <c:numRef>
              <c:f>'Dashboard'!$B$11:$B$21</c:f>
              <c:numCache>
                <c:formatCode>General</c:formatCode>
                <c:ptCount val="0"/>
              </c:numCache>
            </c:numRef>
          </c:val>
        </c:ser>
        <c:ser>
          <c:idx val="1"/>
          <c:order val="1"/>
          <c:tx>
            <c:v>Y @ DAC15</c:v>
          </c:tx>
          <c:marker>
            <c:symbol val="none"/>
          </c:marker>
          <c:cat>
            <c:strRef>
              <c:f>'Dashboard'!$A$11:$A$21</c:f>
              <c:strCache>
                <c:ptCount val="0"/>
              </c:strCache>
            </c:strRef>
          </c:cat>
          <c:val>
            <c:numRef>
              <c:f>'Dashboard'!$C$11:$C$21</c:f>
              <c:numCache>
                <c:formatCode>General</c:formatCode>
                <c:ptCount val="0"/>
              </c:numCache>
            </c:numRef>
          </c:val>
        </c:ser>
        <c:ser>
          <c:idx val="2"/>
          <c:order val="2"/>
          <c:tx>
            <c:v>Z @ DAC15</c:v>
          </c:tx>
          <c:marker>
            <c:symbol val="none"/>
          </c:marker>
          <c:cat>
            <c:strRef>
              <c:f>'Dashboard'!$A$11:$A$21</c:f>
              <c:strCache>
                <c:ptCount val="0"/>
              </c:strCache>
            </c:strRef>
          </c:cat>
          <c:val>
            <c:numRef>
              <c:f>'Dashboard'!$D$11:$D$21</c:f>
              <c:numCache>
                <c:formatCode>General</c:formatCode>
                <c:ptCount val="0"/>
              </c:numCache>
            </c:numRef>
          </c:val>
        </c:ser>
        <c:ser>
          <c:idx val="3"/>
          <c:order val="3"/>
          <c:tx>
            <c:v>Total @ DAC15</c:v>
          </c:tx>
          <c:marker>
            <c:symbol val="none"/>
          </c:marker>
          <c:cat>
            <c:strRef>
              <c:f>'Dashboard'!$A$11:$A$21</c:f>
              <c:strCache>
                <c:ptCount val="0"/>
              </c:strCache>
            </c:strRef>
          </c:cat>
          <c:val>
            <c:numRef>
              <c:f>'Dashboard'!$E$11:$E$21</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Total/DAC CV by frequency</a:t>
            </a:r>
          </a:p>
        </c:rich>
      </c:tx>
    </c:title>
    <c:plotArea>
      <c:barChart>
        <c:barDir val="col"/>
        <c:varyColors val="0"/>
        <c:ser>
          <c:idx val="0"/>
          <c:order val="0"/>
          <c:tx>
            <c:v>Total/DAC CV %</c:v>
          </c:tx>
          <c:cat>
            <c:strRef>
              <c:f>'Dashboard'!$G$11:$G$21</c:f>
              <c:strCache>
                <c:ptCount val="0"/>
              </c:strCache>
            </c:strRef>
          </c:cat>
          <c:val>
            <c:numRef>
              <c:f>'Dashboard'!$H$11:$H$21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268 Hz full DAC response</a:t>
            </a:r>
          </a:p>
        </c:rich>
      </c:tx>
    </c:title>
    <c:plotArea>
      <c:lineChart>
        <c:grouping val="standard"/>
        <c:ser>
          <c:idx val="0"/>
          <c:order val="0"/>
          <c:tx>
            <c:v>X 268</c:v>
          </c:tx>
          <c:marker>
            <c:symbol val="none"/>
          </c:marker>
          <c:cat>
            <c:strRef>
              <c:f>'FullDAC Executive'!$A$16:$A$30</c:f>
              <c:strCache>
                <c:ptCount val="0"/>
              </c:strCache>
            </c:strRef>
          </c:cat>
          <c:val>
            <c:numRef>
              <c:f>'FullDAC Executive'!$B$16:$B$30</c:f>
              <c:numCache>
                <c:formatCode>0.000</c:formatCode>
                <c:ptCount val="0"/>
              </c:numCache>
            </c:numRef>
          </c:val>
        </c:ser>
        <c:ser>
          <c:idx val="1"/>
          <c:order val="1"/>
          <c:tx>
            <c:v>Y 268</c:v>
          </c:tx>
          <c:marker>
            <c:symbol val="none"/>
          </c:marker>
          <c:cat>
            <c:strRef>
              <c:f>'FullDAC Executive'!$A$16:$A$30</c:f>
              <c:strCache>
                <c:ptCount val="0"/>
              </c:strCache>
            </c:strRef>
          </c:cat>
          <c:val>
            <c:numRef>
              <c:f>'FullDAC Executive'!$C$16:$C$30</c:f>
              <c:numCache>
                <c:formatCode>0.000</c:formatCode>
                <c:ptCount val="0"/>
              </c:numCache>
            </c:numRef>
          </c:val>
        </c:ser>
        <c:ser>
          <c:idx val="2"/>
          <c:order val="2"/>
          <c:tx>
            <c:v>Z 268</c:v>
          </c:tx>
          <c:marker>
            <c:symbol val="none"/>
          </c:marker>
          <c:cat>
            <c:strRef>
              <c:f>'FullDAC Executive'!$A$16:$A$30</c:f>
              <c:strCache>
                <c:ptCount val="0"/>
              </c:strCache>
            </c:strRef>
          </c:cat>
          <c:val>
            <c:numRef>
              <c:f>'FullDAC Executive'!$D$16:$D$30</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270 Hz full DAC response</a:t>
            </a:r>
          </a:p>
        </c:rich>
      </c:tx>
    </c:title>
    <c:plotArea>
      <c:lineChart>
        <c:grouping val="standard"/>
        <c:ser>
          <c:idx val="0"/>
          <c:order val="0"/>
          <c:tx>
            <c:v>Series 1</c:v>
          </c:tx>
          <c:marker>
            <c:symbol val="none"/>
          </c:marker>
          <c:cat>
            <c:strLit>
              <c:ptCount val="1"/>
              <c:pt idx="0">
                <c:v>Item 1</c:v>
              </c:pt>
            </c:strLit>
          </c:cat>
          <c:val>
            <c:numLit>
              <c:formatCode>General</c:formatCode>
              <c:ptCount val="1"/>
              <c:pt idx="0">
                <c:v>0</c:v>
              </c:pt>
            </c:numLit>
          </c:val>
        </c:ser>
        <c:ser>
          <c:idx val="1"/>
          <c:order val="1"/>
          <c:tx>
            <c:v>X</c:v>
          </c:tx>
          <c:marker>
            <c:symbol val="none"/>
          </c:marker>
          <c:cat>
            <c:strRef>
              <c:f>'FullDAC Executive'!$A$16:$A$30</c:f>
              <c:strCache>
                <c:ptCount val="1"/>
                <c:pt idx="0">
                  <c:v>Item 1</c:v>
                </c:pt>
              </c:strCache>
            </c:strRef>
          </c:cat>
          <c:val>
            <c:numRef>
              <c:f>'FullDAC Executive'!$E$16:$E$30</c:f>
              <c:numCache>
                <c:formatCode>General</c:formatCode>
                <c:ptCount val="0"/>
              </c:numCache>
            </c:numRef>
          </c:val>
        </c:ser>
        <c:ser>
          <c:idx val="2"/>
          <c:order val="2"/>
          <c:tx>
            <c:v>Y</c:v>
          </c:tx>
          <c:marker>
            <c:symbol val="none"/>
          </c:marker>
          <c:cat>
            <c:strRef>
              <c:f>'FullDAC Executive'!$A$16:$A$30</c:f>
              <c:strCache>
                <c:ptCount val="1"/>
                <c:pt idx="0">
                  <c:v>Item 1</c:v>
                </c:pt>
              </c:strCache>
            </c:strRef>
          </c:cat>
          <c:val>
            <c:numRef>
              <c:f>'FullDAC Executive'!$F$16:$F$30</c:f>
              <c:numCache>
                <c:formatCode>General</c:formatCode>
                <c:ptCount val="0"/>
              </c:numCache>
            </c:numRef>
          </c:val>
        </c:ser>
        <c:ser>
          <c:idx val="3"/>
          <c:order val="3"/>
          <c:tx>
            <c:v>Z</c:v>
          </c:tx>
          <c:marker>
            <c:symbol val="none"/>
          </c:marker>
          <c:cat>
            <c:strRef>
              <c:f>'FullDAC Executive'!$A$16:$A$30</c:f>
              <c:strCache>
                <c:ptCount val="1"/>
                <c:pt idx="0">
                  <c:v>Item 1</c:v>
                </c:pt>
              </c:strCache>
            </c:strRef>
          </c:cat>
          <c:val>
            <c:numRef>
              <c:f>'FullDAC Executive'!$G$16:$G$30</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23</xdr:row>
      <xdr:rowOff>0</xdr:rowOff>
    </xdr:from>
    <xdr:to>
      <xdr:col>7</xdr:col>
      <xdr:colOff>0</xdr:colOff>
      <xdr:row>41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9387bfbc9ae47ca"/>
        </a:graphicData>
      </a:graphic>
    </xdr:graphicFrame>
    <xdr:clientData/>
  </xdr:twoCellAnchor>
  <xdr:twoCellAnchor>
    <xdr:from>
      <xdr:col>7</xdr:col>
      <xdr:colOff>0</xdr:colOff>
      <xdr:row>23</xdr:row>
      <xdr:rowOff>0</xdr:rowOff>
    </xdr:from>
    <xdr:to>
      <xdr:col>14</xdr:col>
      <xdr:colOff>0</xdr:colOff>
      <xdr:row>41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0ba20436ec74f0c"/>
        </a:graphicData>
      </a:graphic>
    </xdr:graphicFrame>
    <xdr:clientData/>
  </xdr:twoCellAnchor>
  <xdr:twoCellAnchor>
    <xdr:from>
      <xdr:col>0</xdr:col>
      <xdr:colOff>0</xdr:colOff>
      <xdr:row>42</xdr:row>
      <xdr:rowOff>0</xdr:rowOff>
    </xdr:from>
    <xdr:to>
      <xdr:col>7</xdr:col>
      <xdr:colOff>0</xdr:colOff>
      <xdr:row>59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55987e6b20f47d8"/>
        </a:graphicData>
      </a:graphic>
    </xdr:graphicFrame>
    <xdr:clientData/>
  </xdr:twoCellAnchor>
</xdr:wsDr>
</file>

<file path=xl/drawings/drawing2.xml><?xml version="1.0" encoding="utf-8"?>
<xdr:wsDr xmlns:xdr="http://schemas.openxmlformats.org/drawingml/2006/spreadsheetDrawing">
  <xdr:twoCellAnchor>
    <xdr:from>
      <xdr:col>8</xdr:col>
      <xdr:colOff>0</xdr:colOff>
      <xdr:row>3</xdr:row>
      <xdr:rowOff>0</xdr:rowOff>
    </xdr:from>
    <xdr:to>
      <xdr:col>16</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31f484c50f04784"/>
        </a:graphicData>
      </a:graphic>
    </xdr:graphicFrame>
    <xdr:clientData/>
  </xdr:twoCellAnchor>
  <xdr:twoCellAnchor>
    <xdr:from>
      <xdr:col>8</xdr:col>
      <xdr:colOff>0</xdr:colOff>
      <xdr:row>18</xdr:row>
      <xdr:rowOff>0</xdr:rowOff>
    </xdr:from>
    <xdr:to>
      <xdr:col>16</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9fb81bbf8374fdc"/>
        </a:graphicData>
      </a:graphic>
    </xdr:graphicFrame>
    <xdr:clientData/>
  </xdr:twoCellAnchor>
</xdr:wsDr>
</file>

<file path=xl/tables/table1.xml><?xml version="1.0" encoding="utf-8"?>
<x:table xmlns:x="http://schemas.openxmlformats.org/spreadsheetml/2006/main" id="1" name="RawDataTable" displayName="RawDataTable" ref="A1:AT67" headerRowCount="1" totalsRowCount="0" totalsRowShown="0">
  <x:tableColumns count="46">
    <x:tableColumn id="1" name="Mode"/>
    <x:tableColumn id="2" name="Point"/>
    <x:tableColumn id="3" name="Repeat"/>
    <x:tableColumn id="4" name="CmdFreq_Hz"/>
    <x:tableColumn id="5" name="DAC"/>
    <x:tableColumn id="6" name="FFT_X_Dom_Hz"/>
    <x:tableColumn id="7" name="FFT_X_Dom_A"/>
    <x:tableColumn id="8" name="FFT_X_Dom_SNR"/>
    <x:tableColumn id="9" name="FFT_Y_Dom_Hz"/>
    <x:tableColumn id="10" name="FFT_Y_Dom_A"/>
    <x:tableColumn id="11" name="FFT_Y_Dom_SNR"/>
    <x:tableColumn id="12" name="FFT_Z_Dom_Hz"/>
    <x:tableColumn id="13" name="FFT_Z_Dom_A"/>
    <x:tableColumn id="14" name="FFT_Z_Dom_SNR"/>
    <x:tableColumn id="15" name="FFT_X_Local_Hz"/>
    <x:tableColumn id="16" name="FFT_X_Local_A"/>
    <x:tableColumn id="17" name="FFT_Y_Local_Hz"/>
    <x:tableColumn id="18" name="FFT_Y_Local_A"/>
    <x:tableColumn id="19" name="FFT_Z_Local_Hz"/>
    <x:tableColumn id="20" name="FFT_Z_Local_A"/>
    <x:tableColumn id="21" name="FFT_Vector_Local_Hz"/>
    <x:tableColumn id="22" name="FFT_Vector_FreqError_Hz"/>
    <x:tableColumn id="23" name="FFT_Vector_X_A"/>
    <x:tableColumn id="24" name="FFT_Vector_Y_A"/>
    <x:tableColumn id="25" name="FFT_Vector_Z_A"/>
    <x:tableColumn id="26" name="FFT_Vector_Total_A"/>
    <x:tableColumn id="27" name="FFT_Vector_SNR"/>
    <x:tableColumn id="28" name="FFT_Vector_DomAxis"/>
    <x:tableColumn id="29" name="Quad_X_A"/>
    <x:tableColumn id="30" name="Quad_X_Phase_deg"/>
    <x:tableColumn id="31" name="Quad_X_SyncRatio"/>
    <x:tableColumn id="32" name="Quad_X_CV_pct"/>
    <x:tableColumn id="33" name="Quad_Y_A"/>
    <x:tableColumn id="34" name="Quad_Y_Phase_deg"/>
    <x:tableColumn id="35" name="Quad_Y_SyncRatio"/>
    <x:tableColumn id="36" name="Quad_Y_CV_pct"/>
    <x:tableColumn id="37" name="Quad_Z_A"/>
    <x:tableColumn id="38" name="Quad_Z_Phase_deg"/>
    <x:tableColumn id="39" name="Quad_Z_SyncRatio"/>
    <x:tableColumn id="40" name="Quad_Z_CV_pct"/>
    <x:tableColumn id="41" name="Quad_Total_A"/>
    <x:tableColumn id="42" name="Quad_Total_CV_pct"/>
    <x:tableColumn id="43" name="X_Fraction"/>
    <x:tableColumn id="44" name="Y_Fraction"/>
    <x:tableColumn id="45" name="Z_Fraction"/>
    <x:tableColumn id="46" name="Valid"/>
  </x:tableColumns>
  <x:tableStyleInfo name="TableStyleMedium2" showFirstColumn="0" showLastColumn="0" showRowStripes="1" showColumnStripes="0"/>
</x:table>
</file>

<file path=xl/tables/table2.xml><?xml version="1.0" encoding="utf-8"?>
<x:table xmlns:x="http://schemas.openxmlformats.org/spreadsheetml/2006/main" id="2" name="PointSummaryTable" displayName="PointSummaryTable" ref="A1:AB67" headerRowCount="1" totalsRowCount="0" totalsRowShown="0">
  <x:tableColumns count="28">
    <x:tableColumn id="1" name="Mode"/>
    <x:tableColumn id="2" name="Point"/>
    <x:tableColumn id="3" name="CmdFreq_Hz"/>
    <x:tableColumn id="4" name="DAC"/>
    <x:tableColumn id="5" name="ValidRepeats"/>
    <x:tableColumn id="6" name="Mean_VectorLocalFreq_Hz"/>
    <x:tableColumn id="7" name="SD_VectorLocalFreq_Hz"/>
    <x:tableColumn id="8" name="Mean_X_LocalFreq_Hz"/>
    <x:tableColumn id="9" name="Mean_Y_LocalFreq_Hz"/>
    <x:tableColumn id="10" name="Mean_Z_LocalFreq_Hz"/>
    <x:tableColumn id="11" name="Mean_QuadX_A"/>
    <x:tableColumn id="12" name="CV_X_pct"/>
    <x:tableColumn id="13" name="Mean_QuadY_A"/>
    <x:tableColumn id="14" name="CV_Y_pct"/>
    <x:tableColumn id="15" name="Mean_QuadZ_A"/>
    <x:tableColumn id="16" name="CV_Z_pct"/>
    <x:tableColumn id="17" name="Mean_QuadTotal_A"/>
    <x:tableColumn id="18" name="CV_Total_pct"/>
    <x:tableColumn id="19" name="Mean_X_Fraction"/>
    <x:tableColumn id="20" name="Mean_Y_Fraction"/>
    <x:tableColumn id="21" name="Mean_Z_Fraction"/>
    <x:tableColumn id="22" name="Mean_Y_over_X"/>
    <x:tableColumn id="23" name="Mean_Z_over_X"/>
    <x:tableColumn id="24" name="Mean_X_per_DAC"/>
    <x:tableColumn id="25" name="Mean_Y_per_DAC"/>
    <x:tableColumn id="26" name="Mean_Z_per_DAC"/>
    <x:tableColumn id="27" name="Mean_Total_per_DAC"/>
    <x:tableColumn id="28" name="Abs_VectorFreqError_Hz"/>
  </x:tableColumns>
  <x:tableStyleInfo name="TableStyleMedium2" showFirstColumn="0" showLastColumn="0" showRowStripes="1" showColumnStripes="0"/>
</x:table>
</file>

<file path=xl/tables/table3.xml><?xml version="1.0" encoding="utf-8"?>
<x:table xmlns:x="http://schemas.openxmlformats.org/spreadsheetml/2006/main" id="3" name="FrequencyAnalysisTable" displayName="FrequencyAnalysisTable" ref="A1:W12" headerRowCount="1" totalsRowCount="0" totalsRowShown="0">
  <x:tableColumns count="23">
    <x:tableColumn id="1" name="Frequency_Hz"/>
    <x:tableColumn id="2" name="Dominant @ DAC10"/>
    <x:tableColumn id="3" name="Dominant @ DAC15"/>
    <x:tableColumn id="4" name="Directional regime"/>
    <x:tableColumn id="5" name="X @ DAC10"/>
    <x:tableColumn id="6" name="Y @ DAC10"/>
    <x:tableColumn id="7" name="Z @ DAC10"/>
    <x:tableColumn id="8" name="Total @ DAC10"/>
    <x:tableColumn id="9" name="X @ DAC15"/>
    <x:tableColumn id="10" name="Y @ DAC15"/>
    <x:tableColumn id="11" name="Z @ DAC15"/>
    <x:tableColumn id="12" name="Total @ DAC15"/>
    <x:tableColumn id="13" name="Total ratio 15/10"/>
    <x:tableColumn id="14" name="Mean Total/DAC"/>
    <x:tableColumn id="15" name="CV Total/DAC %"/>
    <x:tableColumn id="16" name="Slope Total vs DAC"/>
    <x:tableColumn id="17" name="Intercept"/>
    <x:tableColumn id="18" name="R² Total vs DAC"/>
    <x:tableColumn id="19" name="Max |Freq error| Hz"/>
    <x:tableColumn id="20" name="Avg within-record Total CV %"/>
    <x:tableColumn id="21" name="Dominant phase @ DAC15 deg"/>
    <x:tableColumn id="22" name="Dominant sync @ DAC15"/>
    <x:tableColumn id="23" name="Interpretation class"/>
  </x:tableColumns>
  <x:tableStyleInfo name="TableStyleMedium2" showFirstColumn="0" showLastColumn="0" showRowStripes="1" showColumnStripes="0"/>
</x:table>
</file>

<file path=xl/tables/table4.xml><?xml version="1.0" encoding="utf-8"?>
<x:table xmlns:x="http://schemas.openxmlformats.org/spreadsheetml/2006/main" id="4" name="AxisMapTable" displayName="AxisMapTable" ref="A3:J69" headerRowCount="1" totalsRowCount="0" totalsRowShown="0">
  <x:tableColumns count="10">
    <x:tableColumn id="1" name="Frequency_Hz"/>
    <x:tableColumn id="2" name="DAC"/>
    <x:tableColumn id="3" name="X_A"/>
    <x:tableColumn id="4" name="Y_A"/>
    <x:tableColumn id="5" name="Z_A"/>
    <x:tableColumn id="6" name="Total_A"/>
    <x:tableColumn id="7" name="Dominant axis"/>
    <x:tableColumn id="8" name="X fraction"/>
    <x:tableColumn id="9" name="Y fraction"/>
    <x:tableColumn id="10" name="Z fraction"/>
  </x:tableColumns>
  <x:tableStyleInfo name="TableStyleMedium2" showFirstColumn="0" showLastColumn="0" showRowStripes="1" showColumnStripes="0"/>
</x:table>
</file>

<file path=xl/tables/table5.xml><?xml version="1.0" encoding="utf-8"?>
<x:table xmlns:x="http://schemas.openxmlformats.org/spreadsheetml/2006/main" id="5" name="HarmonicTable" displayName="HarmonicTable" ref="A3:J15" headerRowCount="1" totalsRowCount="0" totalsRowShown="0">
  <x:tableColumns count="10">
    <x:tableColumn id="1" name="Command_Hz"/>
    <x:tableColumn id="2" name="DAC"/>
    <x:tableColumn id="3" name="Axis"/>
    <x:tableColumn id="4" name="Candidate harmonic"/>
    <x:tableColumn id="5" name="Blind dominant Hz"/>
    <x:tableColumn id="6" name="Expected harmonic Hz"/>
    <x:tableColumn id="7" name="Blind dom amplitude"/>
    <x:tableColumn id="8" name="Local fundamental Hz"/>
    <x:tableColumn id="9" name="Local fundamental amplitude"/>
    <x:tableColumn id="10" name="Blind/Local amplitude ratio"/>
  </x:tableColumns>
  <x:tableStyleInfo name="TableStyleMedium2" showFirstColumn="0" showLastColumn="0" showRowStripes="1" showColumnStripes="0"/>
</x:table>
</file>

<file path=xl/tables/table6.xml><?xml version="1.0" encoding="utf-8"?>
<x:table xmlns:x="http://schemas.openxmlformats.org/spreadsheetml/2006/main" id="6" name="PhaseQualityTable" displayName="PhaseQualityTable" ref="A3:N14" headerRowCount="1" totalsRowCount="0" totalsRowShown="0">
  <x:tableColumns count="14">
    <x:tableColumn id="1" name="Freq_Hz"/>
    <x:tableColumn id="2" name="X_A"/>
    <x:tableColumn id="3" name="X phase"/>
    <x:tableColumn id="4" name="X sync"/>
    <x:tableColumn id="5" name="Y_A"/>
    <x:tableColumn id="6" name="Y phase"/>
    <x:tableColumn id="7" name="Y sync"/>
    <x:tableColumn id="8" name="Z_A"/>
    <x:tableColumn id="9" name="Z phase"/>
    <x:tableColumn id="10" name="Z sync"/>
    <x:tableColumn id="11" name="Total_A"/>
    <x:tableColumn id="12" name="Total CV %"/>
    <x:tableColumn id="13" name="Vector freq error Hz"/>
    <x:tableColumn id="14" name="Dominant ax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54202676eb4b40" /></Relationships>
</file>

<file path=xl/worksheets/_rels/sheet3.xml.rels>&#65279;<?xml version="1.0" encoding="utf-8"?><Relationships xmlns="http://schemas.openxmlformats.org/package/2006/relationships"><Relationship Type="http://schemas.openxmlformats.org/officeDocument/2006/relationships/table" Target="/xl/tables/table2.xml" Id="Rf901a92b7e684490" /></Relationships>
</file>

<file path=xl/worksheets/_rels/sheet4.xml.rels>&#65279;<?xml version="1.0" encoding="utf-8"?><Relationships xmlns="http://schemas.openxmlformats.org/package/2006/relationships"><Relationship Type="http://schemas.openxmlformats.org/officeDocument/2006/relationships/table" Target="/xl/tables/table3.xml" Id="Rdd31d9fe01304483" /></Relationships>
</file>

<file path=xl/worksheets/_rels/sheet5.xml.rels>&#65279;<?xml version="1.0" encoding="utf-8"?><Relationships xmlns="http://schemas.openxmlformats.org/package/2006/relationships"><Relationship Type="http://schemas.openxmlformats.org/officeDocument/2006/relationships/table" Target="/xl/tables/table4.xml" Id="Re4937e8f93934a60" /></Relationships>
</file>

<file path=xl/worksheets/_rels/sheet6.xml.rels>&#65279;<?xml version="1.0" encoding="utf-8"?><Relationships xmlns="http://schemas.openxmlformats.org/package/2006/relationships"><Relationship Type="http://schemas.openxmlformats.org/officeDocument/2006/relationships/table" Target="/xl/tables/table5.xml" Id="R4467b47a0f6b4753" /></Relationships>
</file>

<file path=xl/worksheets/_rels/sheet7.xml.rels>&#65279;<?xml version="1.0" encoding="utf-8"?><Relationships xmlns="http://schemas.openxmlformats.org/package/2006/relationships"><Relationship Type="http://schemas.openxmlformats.org/officeDocument/2006/relationships/table" Target="/xl/tables/table6.xml" Id="R87baca1064a545b5" /></Relationships>
</file>

<file path=xl/worksheets/_rels/sheet9.xml.rels>&#65279;<?xml version="1.0" encoding="utf-8"?><Relationships xmlns="http://schemas.openxmlformats.org/package/2006/relationships"><Relationship Type="http://schemas.openxmlformats.org/officeDocument/2006/relationships/drawing" Target="/xl/drawings/drawing1.xml" Id="Rae794b8f46634976" /></Relationships>
</file>

<file path=xl/worksheets/_rels/sheet16.xml.rels>&#65279;<?xml version="1.0" encoding="utf-8"?><Relationships xmlns="http://schemas.openxmlformats.org/package/2006/relationships"><Relationship Type="http://schemas.openxmlformats.org/officeDocument/2006/relationships/drawing" Target="/xl/drawings/drawing2.xml" Id="R8570214cfeb9461e" /></Relationships>
</file>

<file path=xl/worksheets/sheet1.xml><?xml version="1.0" encoding="utf-8"?>
<x:worksheet xmlns:x="http://schemas.openxmlformats.org/spreadsheetml/2006/main">
  <x:sheetFormatPr defaultRowHeight="15"/>
  <x:cols>
    <x:col min="1" max="1" width="26"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8" customHeight="1">
      <x:c r="A1" s="4" t="str">
        <x:v>Visaton EX 45 S — 3-Axis Standalone Characterization</x:v>
      </x:c>
      <x:c r="B1" s="4"/>
      <x:c r="C1" s="4"/>
      <x:c r="D1" s="4"/>
      <x:c r="E1" s="4"/>
      <x:c r="F1" s="4"/>
      <x:c r="G1" s="4"/>
      <x:c r="H1" s="4"/>
    </x:row>
    <x:row r="2" ht="34" customHeight="1">
      <x:c r="A2" s="9" t="str">
        <x:v>Thesis-ready analysis of the user-provided fixed-frequency DAC characterization log (100–350 Hz, DAC 10–15, one independent record per DAC point).</x:v>
      </x:c>
      <x:c r="B2" s="9"/>
      <x:c r="C2" s="9"/>
      <x:c r="D2" s="9"/>
      <x:c r="E2" s="9"/>
      <x:c r="F2" s="9"/>
      <x:c r="G2" s="9"/>
      <x:c r="H2" s="9"/>
    </x:row>
    <x:row r="4">
      <x:c r="A4" s="16" t="str">
        <x:v>Dataset KPI</x:v>
      </x:c>
      <x:c r="B4" s="16" t="str">
        <x:v>Value</x:v>
      </x:c>
      <x:c r="D4" s="25" t="str">
        <x:v>High-confidence conclusions supported by this dataset</x:v>
      </x:c>
      <x:c r="E4" s="25"/>
      <x:c r="F4" s="25"/>
      <x:c r="G4" s="25"/>
      <x:c r="H4" s="25"/>
    </x:row>
    <x:row r="5" ht="38" customHeight="1">
      <x:c r="A5" s="22" t="str">
        <x:v>Source file</x:v>
      </x:c>
      <x:c r="B5" s="22" t="str">
        <x:v>Pasted text(20260811-184604).txt</x:v>
      </x:c>
      <x:c r="D5" s="30" t="str">
        <x:v>1. Frequency generation and vector-frequency identification are excellent: all accepted points remain extremely close to the commanded frequency.</x:v>
      </x:c>
      <x:c r="E5" s="30"/>
      <x:c r="F5" s="30"/>
      <x:c r="G5" s="30"/>
      <x:c r="H5" s="30"/>
    </x:row>
    <x:row r="6" ht="38" customHeight="1">
      <x:c r="A6" s="22" t="str">
        <x:v>Frequencies tested</x:v>
      </x:c>
      <x:c r="B6" s="22" t="n">
        <x:v>11</x:v>
      </x:c>
      <x:c r="D6" s="30" t="str">
        <x:v>2. The installed actuator response is genuinely frequency dependent in direction; no single fixed X/Y/Z direction describes the complete 100–350 Hz range.</x:v>
      </x:c>
      <x:c r="E6" s="30"/>
      <x:c r="F6" s="30"/>
      <x:c r="G6" s="30"/>
      <x:c r="H6" s="30"/>
    </x:row>
    <x:row r="7" ht="38" customHeight="1">
      <x:c r="A7" s="22" t="str">
        <x:v>DAC levels per frequency</x:v>
      </x:c>
      <x:c r="B7" s="22" t="n">
        <x:v>6</x:v>
      </x:c>
      <x:c r="D7" s="30" t="str">
        <x:v>3. 100 Hz changes from Z-dominant at DAC 10–11 to X-dominant from DAC 12 upward, accompanied by a strong ≈200 Hz second harmonic.</x:v>
      </x:c>
      <x:c r="E7" s="30"/>
      <x:c r="F7" s="30"/>
      <x:c r="G7" s="30"/>
      <x:c r="H7" s="30"/>
    </x:row>
    <x:row r="8" ht="38" customHeight="1">
      <x:c r="A8" s="22" t="str">
        <x:v>Total measurement points</x:v>
      </x:c>
      <x:c r="B8" s="22" t="n">
        <x:v>66</x:v>
      </x:c>
      <x:c r="D8" s="30" t="str">
        <x:v>4. 125 Hz is consistently Y-dominant over DAC 10–15; a strong ≈375 Hz third-harmonic component appears on Z at higher DAC.</x:v>
      </x:c>
      <x:c r="E8" s="30"/>
      <x:c r="F8" s="30"/>
      <x:c r="G8" s="30"/>
      <x:c r="H8" s="30"/>
    </x:row>
    <x:row r="9" ht="38" customHeight="1">
      <x:c r="A9" s="22" t="str">
        <x:v>Independent repeats per DAC</x:v>
      </x:c>
      <x:c r="B9" s="22" t="n">
        <x:v>1</x:v>
      </x:c>
      <x:c r="D9" s="30" t="str">
        <x:v>5. 150 Hz transitions from Z-dominant to Y-dominant near DAC 14 and shows a large amplitude jump around DAC 12→13, indicating amplitude-dependent/nonlinear behavior.</x:v>
      </x:c>
      <x:c r="E9" s="30"/>
      <x:c r="F9" s="30"/>
      <x:c r="G9" s="30"/>
      <x:c r="H9" s="30"/>
    </x:row>
    <x:row r="10" ht="38" customHeight="1">
      <x:c r="A10" s="22" t="str">
        <x:v>Tool state</x:v>
      </x:c>
      <x:c r="B10" s="22" t="str">
        <x:v>OFF</x:v>
      </x:c>
      <x:c r="D10" s="30" t="str">
        <x:v>6. 175–300 Hz is predominantly Z-dominant under this mounting. 250, 275 and 300 Hz are especially close to proportional DAC-to-acceleration behavior.</x:v>
      </x:c>
      <x:c r="E10" s="30"/>
      <x:c r="F10" s="30"/>
      <x:c r="G10" s="30"/>
      <x:c r="H10" s="30"/>
    </x:row>
    <x:row r="11" ht="38" customHeight="1">
      <x:c r="D11" s="30" t="str">
        <x:v>7. 325 Hz is consistently Y-dominant and approximately proportional with DAC; 350 Hz returns to Z dominance but becomes increasingly Y-rich with drive.</x:v>
      </x:c>
      <x:c r="E11" s="30"/>
      <x:c r="F11" s="30"/>
      <x:c r="G11" s="30"/>
      <x:c r="H11" s="30"/>
    </x:row>
    <x:row r="12" ht="38" customHeight="1">
      <x:c r="A12" s="25" t="str">
        <x:v>Critical limitation</x:v>
      </x:c>
      <x:c r="B12" s="25"/>
      <x:c r="C12" s="25"/>
      <x:c r="D12" s="35" t="str">
        <x:v>8. The correct model is a frequency- and drive-dependent 3-D transfer response H(f,U), not a simple rule such as 'above 250 Hz = X'.</x:v>
      </x:c>
      <x:c r="E12" s="35"/>
      <x:c r="F12" s="35"/>
      <x:c r="G12" s="35"/>
      <x:c r="H12" s="35"/>
    </x:row>
    <x:row r="13">
      <x:c r="A13" s="30" t="str">
        <x:v>This run used n = 1 independent repeat per DAC point. Therefore, zero CV values in the program SUMMARY lines do not demonstrate experimental repeatability. The workbook retains within-record quadrature CV and sync-ratio metrics, but the final thesis dataset should repeat selected conditions (recommended n ≥ 5) before freezing absolute gains, phase values or transition thresholds.</x:v>
      </x:c>
      <x:c r="B13" s="30"/>
      <x:c r="C13" s="30"/>
      <x:c r="D13" s="30"/>
      <x:c r="E13" s="30"/>
      <x:c r="F13" s="30"/>
      <x:c r="G13" s="30"/>
      <x:c r="H13" s="30"/>
    </x:row>
    <x:row r="14">
      <x:c r="A14" s="30"/>
      <x:c r="B14" s="30"/>
      <x:c r="C14" s="30"/>
      <x:c r="D14" s="30"/>
      <x:c r="E14" s="30"/>
      <x:c r="F14" s="30"/>
      <x:c r="G14" s="30"/>
      <x:c r="H14" s="30"/>
    </x:row>
    <x:row r="15">
      <x:c r="A15" s="30"/>
      <x:c r="B15" s="30"/>
      <x:c r="C15" s="30"/>
      <x:c r="D15" s="30"/>
      <x:c r="E15" s="30"/>
      <x:c r="F15" s="30"/>
      <x:c r="G15" s="30"/>
      <x:c r="H15" s="30"/>
    </x:row>
    <x:row r="17">
      <x:c r="A17" s="25" t="str">
        <x:v>Recommended thesis wording</x:v>
      </x:c>
      <x:c r="B17" s="25"/>
      <x:c r="C17" s="25"/>
      <x:c r="D17" s="25"/>
      <x:c r="E17" s="25"/>
      <x:c r="F17" s="25"/>
      <x:c r="G17" s="25"/>
      <x:c r="H17" s="25"/>
    </x:row>
    <x:row r="18">
      <x:c r="A18" s="30" t="str">
        <x:v>Under the tested actuator–mount–sensor configuration, the Visaton assembly exhibited a frequency-dependent three-dimensional acceleration response. Stable Z-dominant behavior was observed over much of the 175–300 Hz range, while Y-dominant response occurred at 125 Hz and 325 Hz. At 100 Hz and 150 Hz, the directional composition changed with actuator command magnitude, together with strong harmonic components and abrupt gain changes. These observations show that the measured secondary-path response is more appropriately represented as a function of both excitation frequency and drive level, H(f,U), rather than as an intrinsic fixed actuator axis. Several operating points above approximately 200 Hz also exhibit near-proportional DAC-to-acceleration scaling, making them more suitable for deterministic amplitude control.</x:v>
      </x:c>
      <x:c r="B18" s="30"/>
      <x:c r="C18" s="30"/>
      <x:c r="D18" s="30"/>
      <x:c r="E18" s="30"/>
      <x:c r="F18" s="30"/>
      <x:c r="G18" s="30"/>
      <x:c r="H18" s="30"/>
    </x:row>
    <x:row r="19">
      <x:c r="A19" s="30"/>
      <x:c r="B19" s="30"/>
      <x:c r="C19" s="30"/>
      <x:c r="D19" s="30"/>
      <x:c r="E19" s="30"/>
      <x:c r="F19" s="30"/>
      <x:c r="G19" s="30"/>
      <x:c r="H19" s="30"/>
    </x:row>
    <x:row r="20">
      <x:c r="A20" s="30"/>
      <x:c r="B20" s="30"/>
      <x:c r="C20" s="30"/>
      <x:c r="D20" s="30"/>
      <x:c r="E20" s="30"/>
      <x:c r="F20" s="30"/>
      <x:c r="G20" s="30"/>
      <x:c r="H20" s="30"/>
    </x:row>
    <x:row r="21">
      <x:c r="A21" s="30"/>
      <x:c r="B21" s="30"/>
      <x:c r="C21" s="30"/>
      <x:c r="D21" s="30"/>
      <x:c r="E21" s="30"/>
      <x:c r="F21" s="30"/>
      <x:c r="G21" s="30"/>
      <x:c r="H21" s="30"/>
    </x:row>
    <x:row r="22">
      <x:c r="A22" s="30"/>
      <x:c r="B22" s="30"/>
      <x:c r="C22" s="30"/>
      <x:c r="D22" s="30"/>
      <x:c r="E22" s="30"/>
      <x:c r="F22" s="30"/>
      <x:c r="G22" s="30"/>
      <x:c r="H22" s="30"/>
    </x:row>
    <x:row r="24">
      <x:c r="A24" s="16" t="str">
        <x:v>Workbook guide</x:v>
      </x:c>
      <x:c r="B24" s="16" t="str">
        <x:v>Purpose</x:v>
      </x:c>
      <x:c r="C24" s="16" t="str"/>
      <x:c r="D24" s="16" t="str"/>
    </x:row>
    <x:row r="25">
      <x:c r="A25" s="22" t="str">
        <x:v>Dashboard</x:v>
      </x:c>
      <x:c r="B25" s="22" t="str">
        <x:v>Visual summary and KPI overview</x:v>
      </x:c>
      <x:c r="C25" s="22" t="str"/>
      <x:c r="D25" s="22" t="str"/>
    </x:row>
    <x:row r="26">
      <x:c r="A26" s="22" t="str">
        <x:v>Frequency Analysis</x:v>
      </x:c>
      <x:c r="B26" s="22" t="str">
        <x:v>Formula-driven frequency-level metrics</x:v>
      </x:c>
      <x:c r="C26" s="22" t="str"/>
      <x:c r="D26" s="22" t="str"/>
    </x:row>
    <x:row r="27">
      <x:c r="A27" s="22" t="str">
        <x:v>Axis Map</x:v>
      </x:c>
      <x:c r="B27" s="22" t="str">
        <x:v>Exact-frequency X/Y/Z dominance at every DAC point</x:v>
      </x:c>
      <x:c r="C27" s="22" t="str"/>
      <x:c r="D27" s="22" t="str"/>
    </x:row>
    <x:row r="28">
      <x:c r="A28" s="22" t="str">
        <x:v>Harmonic Diagnostics</x:v>
      </x:c>
      <x:c r="B28" s="22" t="str">
        <x:v>Potential 2f/3f indicators from blind FFT</x:v>
      </x:c>
      <x:c r="C28" s="22" t="str"/>
      <x:c r="D28" s="22" t="str"/>
    </x:row>
    <x:row r="29">
      <x:c r="A29" s="22" t="str">
        <x:v>Phase &amp; Quality</x:v>
      </x:c>
      <x:c r="B29" s="22" t="str">
        <x:v>DAC15 phase, sync and CV comparison</x:v>
      </x:c>
      <x:c r="C29" s="22" t="str"/>
      <x:c r="D29" s="22" t="str"/>
    </x:row>
    <x:row r="30">
      <x:c r="A30" s="22" t="str">
        <x:v>Thesis Documentation</x:v>
      </x:c>
      <x:c r="B30" s="22" t="str">
        <x:v>Academic interpretation, limitations and next steps</x:v>
      </x:c>
      <x:c r="C30" s="22" t="str"/>
      <x:c r="D30" s="22" t="str"/>
    </x:row>
  </x:sheetData>
  <x:mergeCells>
    <x:mergeCell ref="A1:H1"/>
    <x:mergeCell ref="A2:H2"/>
    <x:mergeCell ref="D4:H4"/>
    <x:mergeCell ref="D5:H5"/>
    <x:mergeCell ref="D6:H6"/>
    <x:mergeCell ref="D7:H7"/>
    <x:mergeCell ref="D8:H8"/>
    <x:mergeCell ref="D9:H9"/>
    <x:mergeCell ref="D10:H10"/>
    <x:mergeCell ref="D11:H11"/>
    <x:mergeCell ref="D12:H12"/>
    <x:mergeCell ref="A12:H12"/>
    <x:mergeCell ref="A13:H15"/>
    <x:mergeCell ref="A17:H17"/>
    <x:mergeCell ref="A18:H22"/>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6"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 min="45" max="45" width="14" hidden="0" customWidth="1"/>
    <x:col min="46" max="46" width="14" hidden="0" customWidth="1"/>
  </x:cols>
  <x:sheetData>
    <x:row r="1">
      <x:c r="A1" s="45" t="str">
        <x:v>Mode</x:v>
      </x:c>
      <x:c r="B1" s="45" t="str">
        <x:v>Point</x:v>
      </x:c>
      <x:c r="C1" s="45" t="str">
        <x:v>Repeat</x:v>
      </x:c>
      <x:c r="D1" s="46" t="str">
        <x:v>CmdFreq_Hz</x:v>
      </x:c>
      <x:c r="E1" s="46" t="str">
        <x:v>DAC</x:v>
      </x:c>
      <x:c r="F1" s="47" t="str">
        <x:v>FFT_X_Dom_Hz</x:v>
      </x:c>
      <x:c r="G1" s="47" t="str">
        <x:v>FFT_X_Dom_A</x:v>
      </x:c>
      <x:c r="H1" s="47" t="str">
        <x:v>FFT_X_Dom_SNR</x:v>
      </x:c>
      <x:c r="I1" s="47" t="str">
        <x:v>FFT_Y_Dom_Hz</x:v>
      </x:c>
      <x:c r="J1" s="47" t="str">
        <x:v>FFT_Y_Dom_A</x:v>
      </x:c>
      <x:c r="K1" s="47" t="str">
        <x:v>FFT_Y_Dom_SNR</x:v>
      </x:c>
      <x:c r="L1" s="47" t="str">
        <x:v>FFT_Z_Dom_Hz</x:v>
      </x:c>
      <x:c r="M1" s="47" t="str">
        <x:v>FFT_Z_Dom_A</x:v>
      </x:c>
      <x:c r="N1" s="47" t="str">
        <x:v>FFT_Z_Dom_SNR</x:v>
      </x:c>
      <x:c r="O1" s="47" t="str">
        <x:v>FFT_X_Local_Hz</x:v>
      </x:c>
      <x:c r="P1" s="47" t="str">
        <x:v>FFT_X_Local_A</x:v>
      </x:c>
      <x:c r="Q1" s="47" t="str">
        <x:v>FFT_Y_Local_Hz</x:v>
      </x:c>
      <x:c r="R1" s="47" t="str">
        <x:v>FFT_Y_Local_A</x:v>
      </x:c>
      <x:c r="S1" s="47" t="str">
        <x:v>FFT_Z_Local_Hz</x:v>
      </x:c>
      <x:c r="T1" s="47" t="str">
        <x:v>FFT_Z_Local_A</x:v>
      </x:c>
      <x:c r="U1" s="47" t="str">
        <x:v>FFT_Vector_Local_Hz</x:v>
      </x:c>
      <x:c r="V1" s="47" t="str">
        <x:v>FFT_Vector_FreqError_Hz</x:v>
      </x:c>
      <x:c r="W1" s="47" t="str">
        <x:v>FFT_Vector_X_A</x:v>
      </x:c>
      <x:c r="X1" s="47" t="str">
        <x:v>FFT_Vector_Y_A</x:v>
      </x:c>
      <x:c r="Y1" s="47" t="str">
        <x:v>FFT_Vector_Z_A</x:v>
      </x:c>
      <x:c r="Z1" s="47" t="str">
        <x:v>FFT_Vector_Total_A</x:v>
      </x:c>
      <x:c r="AA1" s="47" t="str">
        <x:v>FFT_Vector_SNR</x:v>
      </x:c>
      <x:c r="AB1" s="47" t="str">
        <x:v>FFT_Vector_DomAxis</x:v>
      </x:c>
      <x:c r="AC1" s="47" t="str">
        <x:v>Quad_X_A</x:v>
      </x:c>
      <x:c r="AD1" s="47" t="str">
        <x:v>Quad_X_Phase_deg</x:v>
      </x:c>
      <x:c r="AE1" s="47" t="str">
        <x:v>Quad_X_SyncRatio</x:v>
      </x:c>
      <x:c r="AF1" s="47" t="str">
        <x:v>Quad_X_CV_pct</x:v>
      </x:c>
      <x:c r="AG1" s="47" t="str">
        <x:v>Quad_Y_A</x:v>
      </x:c>
      <x:c r="AH1" s="47" t="str">
        <x:v>Quad_Y_Phase_deg</x:v>
      </x:c>
      <x:c r="AI1" s="47" t="str">
        <x:v>Quad_Y_SyncRatio</x:v>
      </x:c>
      <x:c r="AJ1" s="47" t="str">
        <x:v>Quad_Y_CV_pct</x:v>
      </x:c>
      <x:c r="AK1" s="47" t="str">
        <x:v>Quad_Z_A</x:v>
      </x:c>
      <x:c r="AL1" s="47" t="str">
        <x:v>Quad_Z_Phase_deg</x:v>
      </x:c>
      <x:c r="AM1" s="47" t="str">
        <x:v>Quad_Z_SyncRatio</x:v>
      </x:c>
      <x:c r="AN1" s="47" t="str">
        <x:v>Quad_Z_CV_pct</x:v>
      </x:c>
      <x:c r="AO1" s="47" t="str">
        <x:v>Quad_Total_A</x:v>
      </x:c>
      <x:c r="AP1" s="47" t="str">
        <x:v>Quad_Total_CV_pct</x:v>
      </x:c>
      <x:c r="AQ1" s="47" t="str">
        <x:v>X_Fraction</x:v>
      </x:c>
      <x:c r="AR1" s="47" t="str">
        <x:v>Y_Fraction</x:v>
      </x:c>
      <x:c r="AS1" s="47" t="str">
        <x:v>Z_Fraction</x:v>
      </x:c>
      <x:c r="AT1" s="48" t="str">
        <x:v>Valid</x:v>
      </x:c>
    </x:row>
    <x:row r="2">
      <x:c r="A2" s="22" t="str">
        <x:v>GAIN_SWEEP</x:v>
      </x:c>
      <x:c r="B2" s="22" t="n">
        <x:v>1</x:v>
      </x:c>
      <x:c r="C2" s="22" t="n">
        <x:v>1</x:v>
      </x:c>
      <x:c r="D2" s="22" t="n">
        <x:v>100</x:v>
      </x:c>
      <x:c r="E2" s="22" t="n">
        <x:v>10</x:v>
      </x:c>
      <x:c r="F2" s="22" t="n">
        <x:v>100.01055</x:v>
      </x:c>
      <x:c r="G2" s="22" t="n">
        <x:v>0.19354</x:v>
      </x:c>
      <x:c r="H2" s="22" t="n">
        <x:v>24.56</x:v>
      </x:c>
      <x:c r="I2" s="22" t="n">
        <x:v>245.52421</x:v>
      </x:c>
      <x:c r="J2" s="22" t="n">
        <x:v>0.22415</x:v>
      </x:c>
      <x:c r="K2" s="22" t="n">
        <x:v>23.1</x:v>
      </x:c>
      <x:c r="L2" s="22" t="n">
        <x:v>99.99218</x:v>
      </x:c>
      <x:c r="M2" s="22" t="n">
        <x:v>0.34757</x:v>
      </x:c>
      <x:c r="N2" s="22" t="n">
        <x:v>26.58</x:v>
      </x:c>
      <x:c r="O2" s="22" t="n">
        <x:v>100.01055</x:v>
      </x:c>
      <x:c r="P2" s="22" t="n">
        <x:v>0.19354</x:v>
      </x:c>
      <x:c r="Q2" s="22" t="n">
        <x:v>100.01505</x:v>
      </x:c>
      <x:c r="R2" s="22" t="n">
        <x:v>0.10111</x:v>
      </x:c>
      <x:c r="S2" s="22" t="n">
        <x:v>99.99218</x:v>
      </x:c>
      <x:c r="T2" s="22" t="n">
        <x:v>0.34757</x:v>
      </x:c>
      <x:c r="U2" s="22" t="n">
        <x:v>99.99766</x:v>
      </x:c>
      <x:c r="V2" s="22" t="n">
        <x:v>-0.00234</x:v>
      </x:c>
      <x:c r="W2" s="22" t="n">
        <x:v>0.19354</x:v>
      </x:c>
      <x:c r="X2" s="22" t="n">
        <x:v>0.10111</x:v>
      </x:c>
      <x:c r="Y2" s="22" t="n">
        <x:v>0.34757</x:v>
      </x:c>
      <x:c r="Z2" s="22" t="n">
        <x:v>0.41047</x:v>
      </x:c>
      <x:c r="AA2" s="22" t="n">
        <x:v>25.8</x:v>
      </x:c>
      <x:c r="AB2" s="22" t="str">
        <x:v>Z</x:v>
      </x:c>
      <x:c r="AC2" s="22" t="n">
        <x:v>0.20592</x:v>
      </x:c>
      <x:c r="AD2" s="22" t="n">
        <x:v>59.62</x:v>
      </x:c>
      <x:c r="AE2" s="22" t="n">
        <x:v>0.579</x:v>
      </x:c>
      <x:c r="AF2" s="22" t="n">
        <x:v>3.21</x:v>
      </x:c>
      <x:c r="AG2" s="22" t="n">
        <x:v>0.11588</x:v>
      </x:c>
      <x:c r="AH2" s="22" t="n">
        <x:v>54.81</x:v>
      </x:c>
      <x:c r="AI2" s="22" t="n">
        <x:v>0.225</x:v>
      </x:c>
      <x:c r="AJ2" s="22" t="n">
        <x:v>12.7</x:v>
      </x:c>
      <x:c r="AK2" s="22" t="n">
        <x:v>0.36369</x:v>
      </x:c>
      <x:c r="AL2" s="22" t="n">
        <x:v>-108.06</x:v>
      </x:c>
      <x:c r="AM2" s="22" t="n">
        <x:v>0.679</x:v>
      </x:c>
      <x:c r="AN2" s="22" t="n">
        <x:v>4.94</x:v>
      </x:c>
      <x:c r="AO2" s="22" t="n">
        <x:v>0.434</x:v>
      </x:c>
      <x:c r="AP2" s="22" t="n">
        <x:v>3.83</x:v>
      </x:c>
      <x:c r="AQ2" s="22" t="n">
        <x:v>0.4745</x:v>
      </x:c>
      <x:c r="AR2" s="22" t="n">
        <x:v>0.267</x:v>
      </x:c>
      <x:c r="AS2" s="22" t="n">
        <x:v>0.838</x:v>
      </x:c>
      <x:c r="AT2" s="22" t="n">
        <x:v>1</x:v>
      </x:c>
    </x:row>
    <x:row r="3">
      <x:c r="A3" s="22" t="str">
        <x:v>GAIN_SWEEP</x:v>
      </x:c>
      <x:c r="B3" s="22" t="n">
        <x:v>2</x:v>
      </x:c>
      <x:c r="C3" s="22" t="n">
        <x:v>1</x:v>
      </x:c>
      <x:c r="D3" s="22" t="n">
        <x:v>100</x:v>
      </x:c>
      <x:c r="E3" s="22" t="n">
        <x:v>11</x:v>
      </x:c>
      <x:c r="F3" s="22" t="n">
        <x:v>99.98217</x:v>
      </x:c>
      <x:c r="G3" s="22" t="n">
        <x:v>0.2913</x:v>
      </x:c>
      <x:c r="H3" s="22" t="n">
        <x:v>28.37</x:v>
      </x:c>
      <x:c r="I3" s="22" t="n">
        <x:v>99.97979</x:v>
      </x:c>
      <x:c r="J3" s="22" t="n">
        <x:v>0.20085</x:v>
      </x:c>
      <x:c r="K3" s="22" t="n">
        <x:v>20.32</x:v>
      </x:c>
      <x:c r="L3" s="22" t="n">
        <x:v>100.00874</x:v>
      </x:c>
      <x:c r="M3" s="22" t="n">
        <x:v>0.47144</x:v>
      </x:c>
      <x:c r="N3" s="22" t="n">
        <x:v>28.78</x:v>
      </x:c>
      <x:c r="O3" s="22" t="n">
        <x:v>99.98217</x:v>
      </x:c>
      <x:c r="P3" s="22" t="n">
        <x:v>0.2913</x:v>
      </x:c>
      <x:c r="Q3" s="22" t="n">
        <x:v>99.97979</x:v>
      </x:c>
      <x:c r="R3" s="22" t="n">
        <x:v>0.20085</x:v>
      </x:c>
      <x:c r="S3" s="22" t="n">
        <x:v>100.00874</x:v>
      </x:c>
      <x:c r="T3" s="22" t="n">
        <x:v>0.47144</x:v>
      </x:c>
      <x:c r="U3" s="22" t="n">
        <x:v>99.99887</x:v>
      </x:c>
      <x:c r="V3" s="22" t="n">
        <x:v>-0.00113</x:v>
      </x:c>
      <x:c r="W3" s="22" t="n">
        <x:v>0.2913</x:v>
      </x:c>
      <x:c r="X3" s="22" t="n">
        <x:v>0.20085</x:v>
      </x:c>
      <x:c r="Y3" s="22" t="n">
        <x:v>0.47144</x:v>
      </x:c>
      <x:c r="Z3" s="22" t="n">
        <x:v>0.58945</x:v>
      </x:c>
      <x:c r="AA3" s="22" t="n">
        <x:v>30.74</x:v>
      </x:c>
      <x:c r="AB3" s="22" t="str">
        <x:v>Z</x:v>
      </x:c>
      <x:c r="AC3" s="22" t="n">
        <x:v>0.33339</x:v>
      </x:c>
      <x:c r="AD3" s="22" t="n">
        <x:v>39.81</x:v>
      </x:c>
      <x:c r="AE3" s="22" t="n">
        <x:v>0.7</x:v>
      </x:c>
      <x:c r="AF3" s="22" t="n">
        <x:v>2.74</x:v>
      </x:c>
      <x:c r="AG3" s="22" t="n">
        <x:v>0.26494</x:v>
      </x:c>
      <x:c r="AH3" s="22" t="n">
        <x:v>23.19</x:v>
      </x:c>
      <x:c r="AI3" s="22" t="n">
        <x:v>0.409</x:v>
      </x:c>
      <x:c r="AJ3" s="22" t="n">
        <x:v>8.03</x:v>
      </x:c>
      <x:c r="AK3" s="22" t="n">
        <x:v>0.49317</x:v>
      </x:c>
      <x:c r="AL3" s="22" t="n">
        <x:v>-102.39</x:v>
      </x:c>
      <x:c r="AM3" s="22" t="n">
        <x:v>0.757</x:v>
      </x:c>
      <x:c r="AN3" s="22" t="n">
        <x:v>2.6</x:v>
      </x:c>
      <x:c r="AO3" s="22" t="n">
        <x:v>0.65179</x:v>
      </x:c>
      <x:c r="AP3" s="22" t="n">
        <x:v>2.92</x:v>
      </x:c>
      <x:c r="AQ3" s="22" t="n">
        <x:v>0.5115</x:v>
      </x:c>
      <x:c r="AR3" s="22" t="n">
        <x:v>0.4065</x:v>
      </x:c>
      <x:c r="AS3" s="22" t="n">
        <x:v>0.7566</x:v>
      </x:c>
      <x:c r="AT3" s="22" t="n">
        <x:v>1</x:v>
      </x:c>
    </x:row>
    <x:row r="4">
      <x:c r="A4" s="22" t="str">
        <x:v>GAIN_SWEEP</x:v>
      </x:c>
      <x:c r="B4" s="22" t="n">
        <x:v>3</x:v>
      </x:c>
      <x:c r="C4" s="22" t="n">
        <x:v>1</x:v>
      </x:c>
      <x:c r="D4" s="22" t="n">
        <x:v>100</x:v>
      </x:c>
      <x:c r="E4" s="22" t="n">
        <x:v>12</x:v>
      </x:c>
      <x:c r="F4" s="22" t="n">
        <x:v>199.94172</x:v>
      </x:c>
      <x:c r="G4" s="22" t="n">
        <x:v>0.99489</x:v>
      </x:c>
      <x:c r="H4" s="22" t="n">
        <x:v>31.36</x:v>
      </x:c>
      <x:c r="I4" s="22" t="n">
        <x:v>199.9622</x:v>
      </x:c>
      <x:c r="J4" s="22" t="n">
        <x:v>0.84826</x:v>
      </x:c>
      <x:c r="K4" s="22" t="n">
        <x:v>28.16</x:v>
      </x:c>
      <x:c r="L4" s="22" t="n">
        <x:v>100.01617</x:v>
      </x:c>
      <x:c r="M4" s="22" t="n">
        <x:v>0.70321</x:v>
      </x:c>
      <x:c r="N4" s="22" t="n">
        <x:v>28.87</x:v>
      </x:c>
      <x:c r="O4" s="22" t="n">
        <x:v>99.9598</x:v>
      </x:c>
      <x:c r="P4" s="22" t="n">
        <x:v>0.87268</x:v>
      </x:c>
      <x:c r="Q4" s="22" t="n">
        <x:v>99.97458</x:v>
      </x:c>
      <x:c r="R4" s="22" t="n">
        <x:v>0.8407</x:v>
      </x:c>
      <x:c r="S4" s="22" t="n">
        <x:v>100.01617</x:v>
      </x:c>
      <x:c r="T4" s="22" t="n">
        <x:v>0.70321</x:v>
      </x:c>
      <x:c r="U4" s="22" t="n">
        <x:v>99.97936</x:v>
      </x:c>
      <x:c r="V4" s="22" t="n">
        <x:v>-0.02064</x:v>
      </x:c>
      <x:c r="W4" s="22" t="n">
        <x:v>0.87268</x:v>
      </x:c>
      <x:c r="X4" s="22" t="n">
        <x:v>0.8407</x:v>
      </x:c>
      <x:c r="Y4" s="22" t="n">
        <x:v>0.70321</x:v>
      </x:c>
      <x:c r="Z4" s="22" t="n">
        <x:v>1.40102</x:v>
      </x:c>
      <x:c r="AA4" s="22" t="n">
        <x:v>34.81</x:v>
      </x:c>
      <x:c r="AB4" s="22" t="str">
        <x:v>X</x:v>
      </x:c>
      <x:c r="AC4" s="22" t="n">
        <x:v>1.19863</x:v>
      </x:c>
      <x:c r="AD4" s="22" t="n">
        <x:v>-33.83</x:v>
      </x:c>
      <x:c r="AE4" s="22" t="n">
        <x:v>0.556</x:v>
      </x:c>
      <x:c r="AF4" s="22" t="n">
        <x:v>3.84</x:v>
      </x:c>
      <x:c r="AG4" s="22" t="n">
        <x:v>1.07706</x:v>
      </x:c>
      <x:c r="AH4" s="22" t="n">
        <x:v>-32.51</x:v>
      </x:c>
      <x:c r="AI4" s="22" t="n">
        <x:v>0.576</x:v>
      </x:c>
      <x:c r="AJ4" s="22" t="n">
        <x:v>2.77</x:v>
      </x:c>
      <x:c r="AK4" s="22" t="n">
        <x:v>0.85251</x:v>
      </x:c>
      <x:c r="AL4" s="22" t="n">
        <x:v>-73.95</x:v>
      </x:c>
      <x:c r="AM4" s="22" t="n">
        <x:v>0.611</x:v>
      </x:c>
      <x:c r="AN4" s="22" t="n">
        <x:v>1.66</x:v>
      </x:c>
      <x:c r="AO4" s="22" t="n">
        <x:v>1.82322</x:v>
      </x:c>
      <x:c r="AP4" s="22" t="n">
        <x:v>2.73</x:v>
      </x:c>
      <x:c r="AQ4" s="22" t="n">
        <x:v>0.6574</x:v>
      </x:c>
      <x:c r="AR4" s="22" t="n">
        <x:v>0.5907</x:v>
      </x:c>
      <x:c r="AS4" s="22" t="n">
        <x:v>0.4676</x:v>
      </x:c>
      <x:c r="AT4" s="22" t="n">
        <x:v>1</x:v>
      </x:c>
    </x:row>
    <x:row r="5">
      <x:c r="A5" s="22" t="str">
        <x:v>GAIN_SWEEP</x:v>
      </x:c>
      <x:c r="B5" s="22" t="n">
        <x:v>4</x:v>
      </x:c>
      <x:c r="C5" s="22" t="n">
        <x:v>1</x:v>
      </x:c>
      <x:c r="D5" s="22" t="n">
        <x:v>100</x:v>
      </x:c>
      <x:c r="E5" s="22" t="n">
        <x:v>13</x:v>
      </x:c>
      <x:c r="F5" s="22" t="n">
        <x:v>199.97868</x:v>
      </x:c>
      <x:c r="G5" s="22" t="n">
        <x:v>2.11072</x:v>
      </x:c>
      <x:c r="H5" s="22" t="n">
        <x:v>34.32</x:v>
      </x:c>
      <x:c r="I5" s="22" t="n">
        <x:v>100.00151</x:v>
      </x:c>
      <x:c r="J5" s="22" t="n">
        <x:v>1.44002</x:v>
      </x:c>
      <x:c r="K5" s="22" t="n">
        <x:v>31.76</x:v>
      </x:c>
      <x:c r="L5" s="22" t="n">
        <x:v>99.99831</x:v>
      </x:c>
      <x:c r="M5" s="22" t="n">
        <x:v>1.10809</x:v>
      </x:c>
      <x:c r="N5" s="22" t="n">
        <x:v>30.69</x:v>
      </x:c>
      <x:c r="O5" s="22" t="n">
        <x:v>99.9937</x:v>
      </x:c>
      <x:c r="P5" s="22" t="n">
        <x:v>1.74036</x:v>
      </x:c>
      <x:c r="Q5" s="22" t="n">
        <x:v>100.00151</x:v>
      </x:c>
      <x:c r="R5" s="22" t="n">
        <x:v>1.44002</x:v>
      </x:c>
      <x:c r="S5" s="22" t="n">
        <x:v>99.99831</x:v>
      </x:c>
      <x:c r="T5" s="22" t="n">
        <x:v>1.10809</x:v>
      </x:c>
      <x:c r="U5" s="22" t="n">
        <x:v>99.99715</x:v>
      </x:c>
      <x:c r="V5" s="22" t="n">
        <x:v>-0.00285</x:v>
      </x:c>
      <x:c r="W5" s="22" t="n">
        <x:v>1.74036</x:v>
      </x:c>
      <x:c r="X5" s="22" t="n">
        <x:v>1.44002</x:v>
      </x:c>
      <x:c r="Y5" s="22" t="n">
        <x:v>1.10809</x:v>
      </x:c>
      <x:c r="Z5" s="22" t="n">
        <x:v>2.51602</x:v>
      </x:c>
      <x:c r="AA5" s="22" t="n">
        <x:v>38.11</x:v>
      </x:c>
      <x:c r="AB5" s="22" t="str">
        <x:v>X</x:v>
      </x:c>
      <x:c r="AC5" s="22" t="n">
        <x:v>1.46801</x:v>
      </x:c>
      <x:c r="AD5" s="22" t="n">
        <x:v>-39.45</x:v>
      </x:c>
      <x:c r="AE5" s="22" t="n">
        <x:v>0.548</x:v>
      </x:c>
      <x:c r="AF5" s="22" t="n">
        <x:v>33.09</x:v>
      </x:c>
      <x:c r="AG5" s="22" t="n">
        <x:v>1.23041</x:v>
      </x:c>
      <x:c r="AH5" s="22" t="n">
        <x:v>-41.04</x:v>
      </x:c>
      <x:c r="AI5" s="22" t="n">
        <x:v>0.622</x:v>
      </x:c>
      <x:c r="AJ5" s="22" t="n">
        <x:v>22.08</x:v>
      </x:c>
      <x:c r="AK5" s="22" t="n">
        <x:v>0.97872</x:v>
      </x:c>
      <x:c r="AL5" s="22" t="n">
        <x:v>-73.12</x:v>
      </x:c>
      <x:c r="AM5" s="22" t="n">
        <x:v>0.638</x:v>
      </x:c>
      <x:c r="AN5" s="22" t="n">
        <x:v>22.84</x:v>
      </x:c>
      <x:c r="AO5" s="22" t="n">
        <x:v>2.15533</x:v>
      </x:c>
      <x:c r="AP5" s="22" t="n">
        <x:v>26.91</x:v>
      </x:c>
      <x:c r="AQ5" s="22" t="n">
        <x:v>0.6811</x:v>
      </x:c>
      <x:c r="AR5" s="22" t="n">
        <x:v>0.5709</x:v>
      </x:c>
      <x:c r="AS5" s="22" t="n">
        <x:v>0.4541</x:v>
      </x:c>
      <x:c r="AT5" s="22" t="n">
        <x:v>1</x:v>
      </x:c>
    </x:row>
    <x:row r="6">
      <x:c r="A6" s="22" t="str">
        <x:v>GAIN_SWEEP</x:v>
      </x:c>
      <x:c r="B6" s="22" t="n">
        <x:v>5</x:v>
      </x:c>
      <x:c r="C6" s="22" t="n">
        <x:v>1</x:v>
      </x:c>
      <x:c r="D6" s="22" t="n">
        <x:v>100</x:v>
      </x:c>
      <x:c r="E6" s="22" t="n">
        <x:v>14</x:v>
      </x:c>
      <x:c r="F6" s="22" t="n">
        <x:v>199.99086</x:v>
      </x:c>
      <x:c r="G6" s="22" t="n">
        <x:v>2.4938</x:v>
      </x:c>
      <x:c r="H6" s="22" t="n">
        <x:v>34.3</x:v>
      </x:c>
      <x:c r="I6" s="22" t="n">
        <x:v>99.99829</x:v>
      </x:c>
      <x:c r="J6" s="22" t="n">
        <x:v>1.71225</x:v>
      </x:c>
      <x:c r="K6" s="22" t="n">
        <x:v>32.33</x:v>
      </x:c>
      <x:c r="L6" s="22" t="n">
        <x:v>99.99844</x:v>
      </x:c>
      <x:c r="M6" s="22" t="n">
        <x:v>1.32268</x:v>
      </x:c>
      <x:c r="N6" s="22" t="n">
        <x:v>31.35</x:v>
      </x:c>
      <x:c r="O6" s="22" t="n">
        <x:v>99.99302</x:v>
      </x:c>
      <x:c r="P6" s="22" t="n">
        <x:v>2.07712</x:v>
      </x:c>
      <x:c r="Q6" s="22" t="n">
        <x:v>99.99829</x:v>
      </x:c>
      <x:c r="R6" s="22" t="n">
        <x:v>1.71225</x:v>
      </x:c>
      <x:c r="S6" s="22" t="n">
        <x:v>99.99844</x:v>
      </x:c>
      <x:c r="T6" s="22" t="n">
        <x:v>1.32268</x:v>
      </x:c>
      <x:c r="U6" s="22" t="n">
        <x:v>99.99579</x:v>
      </x:c>
      <x:c r="V6" s="22" t="n">
        <x:v>-0.00421</x:v>
      </x:c>
      <x:c r="W6" s="22" t="n">
        <x:v>2.07712</x:v>
      </x:c>
      <x:c r="X6" s="22" t="n">
        <x:v>1.71225</x:v>
      </x:c>
      <x:c r="Y6" s="22" t="n">
        <x:v>1.32268</x:v>
      </x:c>
      <x:c r="Z6" s="22" t="n">
        <x:v>2.99929</x:v>
      </x:c>
      <x:c r="AA6" s="22" t="n">
        <x:v>39.08</x:v>
      </x:c>
      <x:c r="AB6" s="22" t="str">
        <x:v>X</x:v>
      </x:c>
      <x:c r="AC6" s="22" t="n">
        <x:v>2.16977</x:v>
      </x:c>
      <x:c r="AD6" s="22" t="n">
        <x:v>-61.52</x:v>
      </x:c>
      <x:c r="AE6" s="22" t="n">
        <x:v>0.579</x:v>
      </x:c>
      <x:c r="AF6" s="22" t="n">
        <x:v>1.36</x:v>
      </x:c>
      <x:c r="AG6" s="22" t="n">
        <x:v>1.8301</x:v>
      </x:c>
      <x:c r="AH6" s="22" t="n">
        <x:v>-53.09</x:v>
      </x:c>
      <x:c r="AI6" s="22" t="n">
        <x:v>0.695</x:v>
      </x:c>
      <x:c r="AJ6" s="22" t="n">
        <x:v>1.71</x:v>
      </x:c>
      <x:c r="AK6" s="22" t="n">
        <x:v>1.38395</x:v>
      </x:c>
      <x:c r="AL6" s="22" t="n">
        <x:v>-76.65</x:v>
      </x:c>
      <x:c r="AM6" s="22" t="n">
        <x:v>0.652</x:v>
      </x:c>
      <x:c r="AN6" s="22" t="n">
        <x:v>0.52</x:v>
      </x:c>
      <x:c r="AO6" s="22" t="n">
        <x:v>3.15806</x:v>
      </x:c>
      <x:c r="AP6" s="22" t="n">
        <x:v>0.93</x:v>
      </x:c>
      <x:c r="AQ6" s="22" t="n">
        <x:v>0.6871</x:v>
      </x:c>
      <x:c r="AR6" s="22" t="n">
        <x:v>0.5795</x:v>
      </x:c>
      <x:c r="AS6" s="22" t="n">
        <x:v>0.4382</x:v>
      </x:c>
      <x:c r="AT6" s="22" t="n">
        <x:v>1</x:v>
      </x:c>
    </x:row>
    <x:row r="7">
      <x:c r="A7" s="22" t="str">
        <x:v>GAIN_SWEEP</x:v>
      </x:c>
      <x:c r="B7" s="22" t="n">
        <x:v>6</x:v>
      </x:c>
      <x:c r="C7" s="22" t="n">
        <x:v>1</x:v>
      </x:c>
      <x:c r="D7" s="22" t="n">
        <x:v>100</x:v>
      </x:c>
      <x:c r="E7" s="22" t="n">
        <x:v>15</x:v>
      </x:c>
      <x:c r="F7" s="22" t="n">
        <x:v>199.98509</x:v>
      </x:c>
      <x:c r="G7" s="22" t="n">
        <x:v>2.86542</x:v>
      </x:c>
      <x:c r="H7" s="22" t="n">
        <x:v>34.06</x:v>
      </x:c>
      <x:c r="I7" s="22" t="n">
        <x:v>99.9933</x:v>
      </x:c>
      <x:c r="J7" s="22" t="n">
        <x:v>2.02718</x:v>
      </x:c>
      <x:c r="K7" s="22" t="n">
        <x:v>32.02</x:v>
      </x:c>
      <x:c r="L7" s="22" t="n">
        <x:v>99.99872</x:v>
      </x:c>
      <x:c r="M7" s="22" t="n">
        <x:v>1.52591</x:v>
      </x:c>
      <x:c r="N7" s="22" t="n">
        <x:v>31.68</x:v>
      </x:c>
      <x:c r="O7" s="22" t="n">
        <x:v>99.99235</x:v>
      </x:c>
      <x:c r="P7" s="22" t="n">
        <x:v>2.34046</x:v>
      </x:c>
      <x:c r="Q7" s="22" t="n">
        <x:v>99.9933</x:v>
      </x:c>
      <x:c r="R7" s="22" t="n">
        <x:v>2.02718</x:v>
      </x:c>
      <x:c r="S7" s="22" t="n">
        <x:v>99.99872</x:v>
      </x:c>
      <x:c r="T7" s="22" t="n">
        <x:v>1.52591</x:v>
      </x:c>
      <x:c r="U7" s="22" t="n">
        <x:v>99.99392</x:v>
      </x:c>
      <x:c r="V7" s="22" t="n">
        <x:v>-0.00608</x:v>
      </x:c>
      <x:c r="W7" s="22" t="n">
        <x:v>2.34046</x:v>
      </x:c>
      <x:c r="X7" s="22" t="n">
        <x:v>2.02718</x:v>
      </x:c>
      <x:c r="Y7" s="22" t="n">
        <x:v>1.52591</x:v>
      </x:c>
      <x:c r="Z7" s="22" t="n">
        <x:v>3.4519</x:v>
      </x:c>
      <x:c r="AA7" s="22" t="n">
        <x:v>38.61</x:v>
      </x:c>
      <x:c r="AB7" s="22" t="str">
        <x:v>X</x:v>
      </x:c>
      <x:c r="AC7" s="22" t="n">
        <x:v>2.31402</x:v>
      </x:c>
      <x:c r="AD7" s="22" t="n">
        <x:v>-70.1</x:v>
      </x:c>
      <x:c r="AE7" s="22" t="n">
        <x:v>0.606</x:v>
      </x:c>
      <x:c r="AF7" s="22" t="n">
        <x:v>1.33</x:v>
      </x:c>
      <x:c r="AG7" s="22" t="n">
        <x:v>2.05378</x:v>
      </x:c>
      <x:c r="AH7" s="22" t="n">
        <x:v>-63.88</x:v>
      </x:c>
      <x:c r="AI7" s="22" t="n">
        <x:v>0.686</x:v>
      </x:c>
      <x:c r="AJ7" s="22" t="n">
        <x:v>1.02</x:v>
      </x:c>
      <x:c r="AK7" s="22" t="n">
        <x:v>1.57215</x:v>
      </x:c>
      <x:c r="AL7" s="22" t="n">
        <x:v>-80.35</x:v>
      </x:c>
      <x:c r="AM7" s="22" t="n">
        <x:v>0.713</x:v>
      </x:c>
      <x:c r="AN7" s="22" t="n">
        <x:v>0.6</x:v>
      </x:c>
      <x:c r="AO7" s="22" t="n">
        <x:v>3.47061</x:v>
      </x:c>
      <x:c r="AP7" s="22" t="n">
        <x:v>0.6</x:v>
      </x:c>
      <x:c r="AQ7" s="22" t="n">
        <x:v>0.6667</x:v>
      </x:c>
      <x:c r="AR7" s="22" t="n">
        <x:v>0.5918</x:v>
      </x:c>
      <x:c r="AS7" s="22" t="n">
        <x:v>0.453</x:v>
      </x:c>
      <x:c r="AT7" s="22" t="n">
        <x:v>1</x:v>
      </x:c>
    </x:row>
    <x:row r="8">
      <x:c r="A8" s="22" t="str">
        <x:v>GAIN_SWEEP</x:v>
      </x:c>
      <x:c r="B8" s="22" t="n">
        <x:v>1</x:v>
      </x:c>
      <x:c r="C8" s="22" t="n">
        <x:v>1</x:v>
      </x:c>
      <x:c r="D8" s="22" t="n">
        <x:v>125</x:v>
      </x:c>
      <x:c r="E8" s="22" t="n">
        <x:v>10</x:v>
      </x:c>
      <x:c r="F8" s="22" t="n">
        <x:v>456.78911</x:v>
      </x:c>
      <x:c r="G8" s="22" t="n">
        <x:v>0.07747</x:v>
      </x:c>
      <x:c r="H8" s="22" t="n">
        <x:v>15.67</x:v>
      </x:c>
      <x:c r="I8" s="22" t="n">
        <x:v>124.96953</x:v>
      </x:c>
      <x:c r="J8" s="22" t="n">
        <x:v>0.29555</x:v>
      </x:c>
      <x:c r="K8" s="22" t="n">
        <x:v>21.77</x:v>
      </x:c>
      <x:c r="L8" s="22" t="n">
        <x:v>625.05379</x:v>
      </x:c>
      <x:c r="M8" s="22" t="n">
        <x:v>0.18602</x:v>
      </x:c>
      <x:c r="N8" s="22" t="n">
        <x:v>18.89</x:v>
      </x:c>
      <x:c r="O8" s="22" t="n">
        <x:v>124.95049</x:v>
      </x:c>
      <x:c r="P8" s="22" t="n">
        <x:v>0.04612</x:v>
      </x:c>
      <x:c r="Q8" s="22" t="n">
        <x:v>124.96953</x:v>
      </x:c>
      <x:c r="R8" s="22" t="n">
        <x:v>0.29555</x:v>
      </x:c>
      <x:c r="S8" s="22" t="n">
        <x:v>125.03985</x:v>
      </x:c>
      <x:c r="T8" s="22" t="n">
        <x:v>0.14513</x:v>
      </x:c>
      <x:c r="U8" s="22" t="n">
        <x:v>124.98258</x:v>
      </x:c>
      <x:c r="V8" s="22" t="n">
        <x:v>-0.01742</x:v>
      </x:c>
      <x:c r="W8" s="22" t="n">
        <x:v>0.04612</x:v>
      </x:c>
      <x:c r="X8" s="22" t="n">
        <x:v>0.29555</x:v>
      </x:c>
      <x:c r="Y8" s="22" t="n">
        <x:v>0.14513</x:v>
      </x:c>
      <x:c r="Z8" s="22" t="n">
        <x:v>0.33247</x:v>
      </x:c>
      <x:c r="AA8" s="22" t="n">
        <x:v>21.37</x:v>
      </x:c>
      <x:c r="AB8" s="22" t="str">
        <x:v>Y</x:v>
      </x:c>
      <x:c r="AC8" s="22" t="n">
        <x:v>0.09842</x:v>
      </x:c>
      <x:c r="AD8" s="22" t="n">
        <x:v>-133.95</x:v>
      </x:c>
      <x:c r="AE8" s="22" t="n">
        <x:v>0.251</x:v>
      </x:c>
      <x:c r="AF8" s="22" t="n">
        <x:v>18.24</x:v>
      </x:c>
      <x:c r="AG8" s="22" t="n">
        <x:v>0.43396</x:v>
      </x:c>
      <x:c r="AH8" s="22" t="n">
        <x:v>-130.39</x:v>
      </x:c>
      <x:c r="AI8" s="22" t="n">
        <x:v>0.454</x:v>
      </x:c>
      <x:c r="AJ8" s="22" t="n">
        <x:v>14.17</x:v>
      </x:c>
      <x:c r="AK8" s="22" t="n">
        <x:v>0.20861</x:v>
      </x:c>
      <x:c r="AL8" s="22" t="n">
        <x:v>-176.11</x:v>
      </x:c>
      <x:c r="AM8" s="22" t="n">
        <x:v>0.307</x:v>
      </x:c>
      <x:c r="AN8" s="22" t="n">
        <x:v>10.01</x:v>
      </x:c>
      <x:c r="AO8" s="22" t="n">
        <x:v>0.49177</x:v>
      </x:c>
      <x:c r="AP8" s="22" t="n">
        <x:v>13.11</x:v>
      </x:c>
      <x:c r="AQ8" s="22" t="n">
        <x:v>0.2001</x:v>
      </x:c>
      <x:c r="AR8" s="22" t="n">
        <x:v>0.8825</x:v>
      </x:c>
      <x:c r="AS8" s="22" t="n">
        <x:v>0.4242</x:v>
      </x:c>
      <x:c r="AT8" s="22" t="n">
        <x:v>1</x:v>
      </x:c>
    </x:row>
    <x:row r="9">
      <x:c r="A9" s="22" t="str">
        <x:v>GAIN_SWEEP</x:v>
      </x:c>
      <x:c r="B9" s="22" t="n">
        <x:v>2</x:v>
      </x:c>
      <x:c r="C9" s="22" t="n">
        <x:v>1</x:v>
      </x:c>
      <x:c r="D9" s="22" t="n">
        <x:v>125</x:v>
      </x:c>
      <x:c r="E9" s="22" t="n">
        <x:v>11</x:v>
      </x:c>
      <x:c r="F9" s="22" t="n">
        <x:v>124.98326</x:v>
      </x:c>
      <x:c r="G9" s="22" t="n">
        <x:v>0.23171</x:v>
      </x:c>
      <x:c r="H9" s="22" t="n">
        <x:v>22.71</x:v>
      </x:c>
      <x:c r="I9" s="22" t="n">
        <x:v>124.99696</x:v>
      </x:c>
      <x:c r="J9" s="22" t="n">
        <x:v>0.78938</x:v>
      </x:c>
      <x:c r="K9" s="22" t="n">
        <x:v>27.53</x:v>
      </x:c>
      <x:c r="L9" s="22" t="n">
        <x:v>375.01451</x:v>
      </x:c>
      <x:c r="M9" s="22" t="n">
        <x:v>0.46279</x:v>
      </x:c>
      <x:c r="N9" s="22" t="n">
        <x:v>24.68</x:v>
      </x:c>
      <x:c r="O9" s="22" t="n">
        <x:v>124.98326</x:v>
      </x:c>
      <x:c r="P9" s="22" t="n">
        <x:v>0.23171</x:v>
      </x:c>
      <x:c r="Q9" s="22" t="n">
        <x:v>124.99696</x:v>
      </x:c>
      <x:c r="R9" s="22" t="n">
        <x:v>0.78938</x:v>
      </x:c>
      <x:c r="S9" s="22" t="n">
        <x:v>124.9841</x:v>
      </x:c>
      <x:c r="T9" s="22" t="n">
        <x:v>0.33725</x:v>
      </x:c>
      <x:c r="U9" s="22" t="n">
        <x:v>124.99417</x:v>
      </x:c>
      <x:c r="V9" s="22" t="n">
        <x:v>-0.00583</x:v>
      </x:c>
      <x:c r="W9" s="22" t="n">
        <x:v>0.23171</x:v>
      </x:c>
      <x:c r="X9" s="22" t="n">
        <x:v>0.78938</x:v>
      </x:c>
      <x:c r="Y9" s="22" t="n">
        <x:v>0.33725</x:v>
      </x:c>
      <x:c r="Z9" s="22" t="n">
        <x:v>0.88912</x:v>
      </x:c>
      <x:c r="AA9" s="22" t="n">
        <x:v>29.25</x:v>
      </x:c>
      <x:c r="AB9" s="22" t="str">
        <x:v>Y</x:v>
      </x:c>
      <x:c r="AC9" s="22" t="n">
        <x:v>0.26609</x:v>
      </x:c>
      <x:c r="AD9" s="22" t="n">
        <x:v>-146.82</x:v>
      </x:c>
      <x:c r="AE9" s="22" t="n">
        <x:v>0.455</x:v>
      </x:c>
      <x:c r="AF9" s="22" t="n">
        <x:v>4.44</x:v>
      </x:c>
      <x:c r="AG9" s="22" t="n">
        <x:v>0.85828</x:v>
      </x:c>
      <x:c r="AH9" s="22" t="n">
        <x:v>-137.58</x:v>
      </x:c>
      <x:c r="AI9" s="22" t="n">
        <x:v>0.593</x:v>
      </x:c>
      <x:c r="AJ9" s="22" t="n">
        <x:v>2.33</x:v>
      </x:c>
      <x:c r="AK9" s="22" t="n">
        <x:v>0.3371</x:v>
      </x:c>
      <x:c r="AL9" s="22" t="n">
        <x:v>-164.16</x:v>
      </x:c>
      <x:c r="AM9" s="22" t="n">
        <x:v>0.346</x:v>
      </x:c>
      <x:c r="AN9" s="22" t="n">
        <x:v>5.45</x:v>
      </x:c>
      <x:c r="AO9" s="22" t="n">
        <x:v>0.95987</x:v>
      </x:c>
      <x:c r="AP9" s="22" t="n">
        <x:v>2.43</x:v>
      </x:c>
      <x:c r="AQ9" s="22" t="n">
        <x:v>0.2772</x:v>
      </x:c>
      <x:c r="AR9" s="22" t="n">
        <x:v>0.8942</x:v>
      </x:c>
      <x:c r="AS9" s="22" t="n">
        <x:v>0.3512</x:v>
      </x:c>
      <x:c r="AT9" s="22" t="n">
        <x:v>1</x:v>
      </x:c>
    </x:row>
    <x:row r="10">
      <x:c r="A10" s="22" t="str">
        <x:v>GAIN_SWEEP</x:v>
      </x:c>
      <x:c r="B10" s="22" t="n">
        <x:v>3</x:v>
      </x:c>
      <x:c r="C10" s="22" t="n">
        <x:v>1</x:v>
      </x:c>
      <x:c r="D10" s="22" t="n">
        <x:v>125</x:v>
      </x:c>
      <x:c r="E10" s="22" t="n">
        <x:v>12</x:v>
      </x:c>
      <x:c r="F10" s="22" t="n">
        <x:v>125.00708</x:v>
      </x:c>
      <x:c r="G10" s="22" t="n">
        <x:v>0.36617</x:v>
      </x:c>
      <x:c r="H10" s="22" t="n">
        <x:v>25.48</x:v>
      </x:c>
      <x:c r="I10" s="22" t="n">
        <x:v>125.00811</x:v>
      </x:c>
      <x:c r="J10" s="22" t="n">
        <x:v>1.10491</x:v>
      </x:c>
      <x:c r="K10" s="22" t="n">
        <x:v>29.52</x:v>
      </x:c>
      <x:c r="L10" s="22" t="n">
        <x:v>375.01342</x:v>
      </x:c>
      <x:c r="M10" s="22" t="n">
        <x:v>0.61326</x:v>
      </x:c>
      <x:c r="N10" s="22" t="n">
        <x:v>26.18</x:v>
      </x:c>
      <x:c r="O10" s="22" t="n">
        <x:v>125.00708</x:v>
      </x:c>
      <x:c r="P10" s="22" t="n">
        <x:v>0.36617</x:v>
      </x:c>
      <x:c r="Q10" s="22" t="n">
        <x:v>125.00811</x:v>
      </x:c>
      <x:c r="R10" s="22" t="n">
        <x:v>1.10491</x:v>
      </x:c>
      <x:c r="S10" s="22" t="n">
        <x:v>125.01953</x:v>
      </x:c>
      <x:c r="T10" s="22" t="n">
        <x:v>0.41957</x:v>
      </x:c>
      <x:c r="U10" s="22" t="n">
        <x:v>125.00933</x:v>
      </x:c>
      <x:c r="V10" s="22" t="n">
        <x:v>0.00933</x:v>
      </x:c>
      <x:c r="W10" s="22" t="n">
        <x:v>0.36617</x:v>
      </x:c>
      <x:c r="X10" s="22" t="n">
        <x:v>1.10491</x:v>
      </x:c>
      <x:c r="Y10" s="22" t="n">
        <x:v>0.41957</x:v>
      </x:c>
      <x:c r="Z10" s="22" t="n">
        <x:v>1.23731</x:v>
      </x:c>
      <x:c r="AA10" s="22" t="n">
        <x:v>33.45</x:v>
      </x:c>
      <x:c r="AB10" s="22" t="str">
        <x:v>Y</x:v>
      </x:c>
      <x:c r="AC10" s="22" t="n">
        <x:v>0.36782</x:v>
      </x:c>
      <x:c r="AD10" s="22" t="n">
        <x:v>-147.23</x:v>
      </x:c>
      <x:c r="AE10" s="22" t="n">
        <x:v>0.516</x:v>
      </x:c>
      <x:c r="AF10" s="22" t="n">
        <x:v>1.89</x:v>
      </x:c>
      <x:c r="AG10" s="22" t="n">
        <x:v>1.13109</x:v>
      </x:c>
      <x:c r="AH10" s="22" t="n">
        <x:v>-138.24</x:v>
      </x:c>
      <x:c r="AI10" s="22" t="n">
        <x:v>0.657</x:v>
      </x:c>
      <x:c r="AJ10" s="22" t="n">
        <x:v>1.97</x:v>
      </x:c>
      <x:c r="AK10" s="22" t="n">
        <x:v>0.4202</x:v>
      </x:c>
      <x:c r="AL10" s="22" t="n">
        <x:v>-157.63</x:v>
      </x:c>
      <x:c r="AM10" s="22" t="n">
        <x:v>0.375</x:v>
      </x:c>
      <x:c r="AN10" s="22" t="n">
        <x:v>3.86</x:v>
      </x:c>
      <x:c r="AO10" s="22" t="n">
        <x:v>1.26153</x:v>
      </x:c>
      <x:c r="AP10" s="22" t="n">
        <x:v>1.81</x:v>
      </x:c>
      <x:c r="AQ10" s="22" t="n">
        <x:v>0.2916</x:v>
      </x:c>
      <x:c r="AR10" s="22" t="n">
        <x:v>0.8966</x:v>
      </x:c>
      <x:c r="AS10" s="22" t="n">
        <x:v>0.3331</x:v>
      </x:c>
      <x:c r="AT10" s="22" t="n">
        <x:v>1</x:v>
      </x:c>
    </x:row>
    <x:row r="11">
      <x:c r="A11" s="22" t="str">
        <x:v>GAIN_SWEEP</x:v>
      </x:c>
      <x:c r="B11" s="22" t="n">
        <x:v>4</x:v>
      </x:c>
      <x:c r="C11" s="22" t="n">
        <x:v>1</x:v>
      </x:c>
      <x:c r="D11" s="22" t="n">
        <x:v>125</x:v>
      </x:c>
      <x:c r="E11" s="22" t="n">
        <x:v>13</x:v>
      </x:c>
      <x:c r="F11" s="22" t="n">
        <x:v>124.9988</x:v>
      </x:c>
      <x:c r="G11" s="22" t="n">
        <x:v>0.47397</x:v>
      </x:c>
      <x:c r="H11" s="22" t="n">
        <x:v>26.79</x:v>
      </x:c>
      <x:c r="I11" s="22" t="n">
        <x:v>124.99715</x:v>
      </x:c>
      <x:c r="J11" s="22" t="n">
        <x:v>1.44195</x:v>
      </x:c>
      <x:c r="K11" s="22" t="n">
        <x:v>30.86</x:v>
      </x:c>
      <x:c r="L11" s="22" t="n">
        <x:v>375.01138</x:v>
      </x:c>
      <x:c r="M11" s="22" t="n">
        <x:v>0.77296</x:v>
      </x:c>
      <x:c r="N11" s="22" t="n">
        <x:v>27.35</x:v>
      </x:c>
      <x:c r="O11" s="22" t="n">
        <x:v>124.9988</x:v>
      </x:c>
      <x:c r="P11" s="22" t="n">
        <x:v>0.47397</x:v>
      </x:c>
      <x:c r="Q11" s="22" t="n">
        <x:v>124.99715</x:v>
      </x:c>
      <x:c r="R11" s="22" t="n">
        <x:v>1.44195</x:v>
      </x:c>
      <x:c r="S11" s="22" t="n">
        <x:v>125.01504</x:v>
      </x:c>
      <x:c r="T11" s="22" t="n">
        <x:v>0.47777</x:v>
      </x:c>
      <x:c r="U11" s="22" t="n">
        <x:v>124.9989</x:v>
      </x:c>
      <x:c r="V11" s="22" t="n">
        <x:v>-0.0011</x:v>
      </x:c>
      <x:c r="W11" s="22" t="n">
        <x:v>0.47397</x:v>
      </x:c>
      <x:c r="X11" s="22" t="n">
        <x:v>1.44195</x:v>
      </x:c>
      <x:c r="Y11" s="22" t="n">
        <x:v>0.47777</x:v>
      </x:c>
      <x:c r="Z11" s="22" t="n">
        <x:v>1.59126</x:v>
      </x:c>
      <x:c r="AA11" s="22" t="n">
        <x:v>32.72</x:v>
      </x:c>
      <x:c r="AB11" s="22" t="str">
        <x:v>Y</x:v>
      </x:c>
      <x:c r="AC11" s="22" t="n">
        <x:v>0.50899</x:v>
      </x:c>
      <x:c r="AD11" s="22" t="n">
        <x:v>-144.25</x:v>
      </x:c>
      <x:c r="AE11" s="22" t="n">
        <x:v>0.602</x:v>
      </x:c>
      <x:c r="AF11" s="22" t="n">
        <x:v>3.79</x:v>
      </x:c>
      <x:c r="AG11" s="22" t="n">
        <x:v>1.56406</x:v>
      </x:c>
      <x:c r="AH11" s="22" t="n">
        <x:v>-140.7</x:v>
      </x:c>
      <x:c r="AI11" s="22" t="n">
        <x:v>0.717</x:v>
      </x:c>
      <x:c r="AJ11" s="22" t="n">
        <x:v>2.48</x:v>
      </x:c>
      <x:c r="AK11" s="22" t="n">
        <x:v>0.50429</x:v>
      </x:c>
      <x:c r="AL11" s="22" t="n">
        <x:v>-154.29</x:v>
      </x:c>
      <x:c r="AM11" s="22" t="n">
        <x:v>0.355</x:v>
      </x:c>
      <x:c r="AN11" s="22" t="n">
        <x:v>3.63</x:v>
      </x:c>
      <x:c r="AO11" s="22" t="n">
        <x:v>1.72055</x:v>
      </x:c>
      <x:c r="AP11" s="22" t="n">
        <x:v>2.2</x:v>
      </x:c>
      <x:c r="AQ11" s="22" t="n">
        <x:v>0.2958</x:v>
      </x:c>
      <x:c r="AR11" s="22" t="n">
        <x:v>0.909</x:v>
      </x:c>
      <x:c r="AS11" s="22" t="n">
        <x:v>0.2931</x:v>
      </x:c>
      <x:c r="AT11" s="22" t="n">
        <x:v>1</x:v>
      </x:c>
    </x:row>
    <x:row r="12">
      <x:c r="A12" s="22" t="str">
        <x:v>GAIN_SWEEP</x:v>
      </x:c>
      <x:c r="B12" s="22" t="n">
        <x:v>5</x:v>
      </x:c>
      <x:c r="C12" s="22" t="n">
        <x:v>1</x:v>
      </x:c>
      <x:c r="D12" s="22" t="n">
        <x:v>125</x:v>
      </x:c>
      <x:c r="E12" s="22" t="n">
        <x:v>14</x:v>
      </x:c>
      <x:c r="F12" s="22" t="n">
        <x:v>125.00224</x:v>
      </x:c>
      <x:c r="G12" s="22" t="n">
        <x:v>0.61828</x:v>
      </x:c>
      <x:c r="H12" s="22" t="n">
        <x:v>28.14</x:v>
      </x:c>
      <x:c r="I12" s="22" t="n">
        <x:v>125.00176</x:v>
      </x:c>
      <x:c r="J12" s="22" t="n">
        <x:v>1.86641</x:v>
      </x:c>
      <x:c r="K12" s="22" t="n">
        <x:v>32.33</x:v>
      </x:c>
      <x:c r="L12" s="22" t="n">
        <x:v>375.00616</x:v>
      </x:c>
      <x:c r="M12" s="22" t="n">
        <x:v>0.90241</x:v>
      </x:c>
      <x:c r="N12" s="22" t="n">
        <x:v>27.72</x:v>
      </x:c>
      <x:c r="O12" s="22" t="n">
        <x:v>125.00224</x:v>
      </x:c>
      <x:c r="P12" s="22" t="n">
        <x:v>0.61828</x:v>
      </x:c>
      <x:c r="Q12" s="22" t="n">
        <x:v>125.00176</x:v>
      </x:c>
      <x:c r="R12" s="22" t="n">
        <x:v>1.86641</x:v>
      </x:c>
      <x:c r="S12" s="22" t="n">
        <x:v>125.01179</x:v>
      </x:c>
      <x:c r="T12" s="22" t="n">
        <x:v>0.57122</x:v>
      </x:c>
      <x:c r="U12" s="22" t="n">
        <x:v>125.00259</x:v>
      </x:c>
      <x:c r="V12" s="22" t="n">
        <x:v>0.00259</x:v>
      </x:c>
      <x:c r="W12" s="22" t="n">
        <x:v>0.61828</x:v>
      </x:c>
      <x:c r="X12" s="22" t="n">
        <x:v>1.86641</x:v>
      </x:c>
      <x:c r="Y12" s="22" t="n">
        <x:v>0.57122</x:v>
      </x:c>
      <x:c r="Z12" s="22" t="n">
        <x:v>2.04745</x:v>
      </x:c>
      <x:c r="AA12" s="22" t="n">
        <x:v>38.22</x:v>
      </x:c>
      <x:c r="AB12" s="22" t="str">
        <x:v>Y</x:v>
      </x:c>
      <x:c r="AC12" s="22" t="n">
        <x:v>0.63429</x:v>
      </x:c>
      <x:c r="AD12" s="22" t="n">
        <x:v>-144.8</x:v>
      </x:c>
      <x:c r="AE12" s="22" t="n">
        <x:v>0.64</x:v>
      </x:c>
      <x:c r="AF12" s="22" t="n">
        <x:v>1.62</x:v>
      </x:c>
      <x:c r="AG12" s="22" t="n">
        <x:v>1.87806</x:v>
      </x:c>
      <x:c r="AH12" s="22" t="n">
        <x:v>-139.88</x:v>
      </x:c>
      <x:c r="AI12" s="22" t="n">
        <x:v>0.754</x:v>
      </x:c>
      <x:c r="AJ12" s="22" t="n">
        <x:v>0.42</x:v>
      </x:c>
      <x:c r="AK12" s="22" t="n">
        <x:v>0.5902</x:v>
      </x:c>
      <x:c r="AL12" s="22" t="n">
        <x:v>-153.18</x:v>
      </x:c>
      <x:c r="AM12" s="22" t="n">
        <x:v>0.368</x:v>
      </x:c>
      <x:c r="AN12" s="22" t="n">
        <x:v>2.15</x:v>
      </x:c>
      <x:c r="AO12" s="22" t="n">
        <x:v>2.06833</x:v>
      </x:c>
      <x:c r="AP12" s="22" t="n">
        <x:v>0.32</x:v>
      </x:c>
      <x:c r="AQ12" s="22" t="n">
        <x:v>0.3067</x:v>
      </x:c>
      <x:c r="AR12" s="22" t="n">
        <x:v>0.908</x:v>
      </x:c>
      <x:c r="AS12" s="22" t="n">
        <x:v>0.2854</x:v>
      </x:c>
      <x:c r="AT12" s="22" t="n">
        <x:v>1</x:v>
      </x:c>
    </x:row>
    <x:row r="13">
      <x:c r="A13" s="22" t="str">
        <x:v>GAIN_SWEEP</x:v>
      </x:c>
      <x:c r="B13" s="22" t="n">
        <x:v>6</x:v>
      </x:c>
      <x:c r="C13" s="22" t="n">
        <x:v>1</x:v>
      </x:c>
      <x:c r="D13" s="22" t="n">
        <x:v>125</x:v>
      </x:c>
      <x:c r="E13" s="22" t="n">
        <x:v>15</x:v>
      </x:c>
      <x:c r="F13" s="22" t="n">
        <x:v>124.99581</x:v>
      </x:c>
      <x:c r="G13" s="22" t="n">
        <x:v>0.77194</x:v>
      </x:c>
      <x:c r="H13" s="22" t="n">
        <x:v>29.1</x:v>
      </x:c>
      <x:c r="I13" s="22" t="n">
        <x:v>124.99794</x:v>
      </x:c>
      <x:c r="J13" s="22" t="n">
        <x:v>2.21858</x:v>
      </x:c>
      <x:c r="K13" s="22" t="n">
        <x:v>32.58</x:v>
      </x:c>
      <x:c r="L13" s="22" t="n">
        <x:v>374.97934</x:v>
      </x:c>
      <x:c r="M13" s="22" t="n">
        <x:v>1.00457</x:v>
      </x:c>
      <x:c r="N13" s="22" t="n">
        <x:v>27.96</x:v>
      </x:c>
      <x:c r="O13" s="22" t="n">
        <x:v>124.99581</x:v>
      </x:c>
      <x:c r="P13" s="22" t="n">
        <x:v>0.77194</x:v>
      </x:c>
      <x:c r="Q13" s="22" t="n">
        <x:v>124.99794</x:v>
      </x:c>
      <x:c r="R13" s="22" t="n">
        <x:v>2.21858</x:v>
      </x:c>
      <x:c r="S13" s="22" t="n">
        <x:v>124.98869</x:v>
      </x:c>
      <x:c r="T13" s="22" t="n">
        <x:v>0.6877</x:v>
      </x:c>
      <x:c r="U13" s="22" t="n">
        <x:v>124.997</x:v>
      </x:c>
      <x:c r="V13" s="22" t="n">
        <x:v>-0.003</x:v>
      </x:c>
      <x:c r="W13" s="22" t="n">
        <x:v>0.77194</x:v>
      </x:c>
      <x:c r="X13" s="22" t="n">
        <x:v>2.21858</x:v>
      </x:c>
      <x:c r="Y13" s="22" t="n">
        <x:v>0.6877</x:v>
      </x:c>
      <x:c r="Z13" s="22" t="n">
        <x:v>2.44764</x:v>
      </x:c>
      <x:c r="AA13" s="22" t="n">
        <x:v>39.08</x:v>
      </x:c>
      <x:c r="AB13" s="22" t="str">
        <x:v>Y</x:v>
      </x:c>
      <x:c r="AC13" s="22" t="n">
        <x:v>0.79395</x:v>
      </x:c>
      <x:c r="AD13" s="22" t="n">
        <x:v>-144.34</x:v>
      </x:c>
      <x:c r="AE13" s="22" t="n">
        <x:v>0.685</x:v>
      </x:c>
      <x:c r="AF13" s="22" t="n">
        <x:v>1.03</x:v>
      </x:c>
      <x:c r="AG13" s="22" t="n">
        <x:v>2.26703</x:v>
      </x:c>
      <x:c r="AH13" s="22" t="n">
        <x:v>-139.3</x:v>
      </x:c>
      <x:c r="AI13" s="22" t="n">
        <x:v>0.771</x:v>
      </x:c>
      <x:c r="AJ13" s="22" t="n">
        <x:v>1.74</x:v>
      </x:c>
      <x:c r="AK13" s="22" t="n">
        <x:v>0.70313</x:v>
      </x:c>
      <x:c r="AL13" s="22" t="n">
        <x:v>-151.89</x:v>
      </x:c>
      <x:c r="AM13" s="22" t="n">
        <x:v>0.386</x:v>
      </x:c>
      <x:c r="AN13" s="22" t="n">
        <x:v>3.64</x:v>
      </x:c>
      <x:c r="AO13" s="22" t="n">
        <x:v>2.50293</x:v>
      </x:c>
      <x:c r="AP13" s="22" t="n">
        <x:v>1.61</x:v>
      </x:c>
      <x:c r="AQ13" s="22" t="n">
        <x:v>0.3172</x:v>
      </x:c>
      <x:c r="AR13" s="22" t="n">
        <x:v>0.9057</x:v>
      </x:c>
      <x:c r="AS13" s="22" t="n">
        <x:v>0.2809</x:v>
      </x:c>
      <x:c r="AT13" s="22" t="n">
        <x:v>1</x:v>
      </x:c>
    </x:row>
    <x:row r="14">
      <x:c r="A14" s="22" t="str">
        <x:v>GAIN_SWEEP</x:v>
      </x:c>
      <x:c r="B14" s="22" t="n">
        <x:v>1</x:v>
      </x:c>
      <x:c r="C14" s="22" t="n">
        <x:v>1</x:v>
      </x:c>
      <x:c r="D14" s="22" t="n">
        <x:v>150</x:v>
      </x:c>
      <x:c r="E14" s="22" t="n">
        <x:v>10</x:v>
      </x:c>
      <x:c r="F14" s="22" t="n">
        <x:v>168.30547</x:v>
      </x:c>
      <x:c r="G14" s="22" t="n">
        <x:v>0.10174</x:v>
      </x:c>
      <x:c r="H14" s="22" t="n">
        <x:v>16.06</x:v>
      </x:c>
      <x:c r="I14" s="22" t="n">
        <x:v>295.20005</x:v>
      </x:c>
      <x:c r="J14" s="22" t="n">
        <x:v>0.27097</x:v>
      </x:c>
      <x:c r="K14" s="22" t="n">
        <x:v>20.95</x:v>
      </x:c>
      <x:c r="L14" s="22" t="n">
        <x:v>613.54809</x:v>
      </x:c>
      <x:c r="M14" s="22" t="n">
        <x:v>0.15291</x:v>
      </x:c>
      <x:c r="N14" s="22" t="n">
        <x:v>18.02</x:v>
      </x:c>
      <x:c r="O14" s="22" t="n">
        <x:v>150.00126</x:v>
      </x:c>
      <x:c r="P14" s="22" t="n">
        <x:v>0.02293</x:v>
      </x:c>
      <x:c r="Q14" s="22" t="n">
        <x:v>149.99279</x:v>
      </x:c>
      <x:c r="R14" s="22" t="n">
        <x:v>0.12444</x:v>
      </x:c>
      <x:c r="S14" s="22" t="n">
        <x:v>150.02011</x:v>
      </x:c>
      <x:c r="T14" s="22" t="n">
        <x:v>0.1367</x:v>
      </x:c>
      <x:c r="U14" s="22" t="n">
        <x:v>150.00767</x:v>
      </x:c>
      <x:c r="V14" s="22" t="n">
        <x:v>0.00767</x:v>
      </x:c>
      <x:c r="W14" s="22" t="n">
        <x:v>0.02293</x:v>
      </x:c>
      <x:c r="X14" s="22" t="n">
        <x:v>0.12444</x:v>
      </x:c>
      <x:c r="Y14" s="22" t="n">
        <x:v>0.1367</x:v>
      </x:c>
      <x:c r="Z14" s="22" t="n">
        <x:v>0.18627</x:v>
      </x:c>
      <x:c r="AA14" s="22" t="n">
        <x:v>17.4</x:v>
      </x:c>
      <x:c r="AB14" s="22" t="str">
        <x:v>Z</x:v>
      </x:c>
      <x:c r="AC14" s="22" t="n">
        <x:v>0.02435</x:v>
      </x:c>
      <x:c r="AD14" s="22" t="n">
        <x:v>-106.7</x:v>
      </x:c>
      <x:c r="AE14" s="22" t="n">
        <x:v>0.054</x:v>
      </x:c>
      <x:c r="AF14" s="22" t="n">
        <x:v>53.49</x:v>
      </x:c>
      <x:c r="AG14" s="22" t="n">
        <x:v>0.10561</x:v>
      </x:c>
      <x:c r="AH14" s="22" t="n">
        <x:v>-91.48</x:v>
      </x:c>
      <x:c r="AI14" s="22" t="n">
        <x:v>0.146</x:v>
      </x:c>
      <x:c r="AJ14" s="22" t="n">
        <x:v>14.47</x:v>
      </x:c>
      <x:c r="AK14" s="22" t="n">
        <x:v>0.14192</x:v>
      </x:c>
      <x:c r="AL14" s="22" t="n">
        <x:v>-115.9</x:v>
      </x:c>
      <x:c r="AM14" s="22" t="n">
        <x:v>0.269</x:v>
      </x:c>
      <x:c r="AN14" s="22" t="n">
        <x:v>5.35</x:v>
      </x:c>
      <x:c r="AO14" s="22" t="n">
        <x:v>0.17939</x:v>
      </x:c>
      <x:c r="AP14" s="22" t="n">
        <x:v>5.38</x:v>
      </x:c>
      <x:c r="AQ14" s="22" t="n">
        <x:v>0.1357</x:v>
      </x:c>
      <x:c r="AR14" s="22" t="n">
        <x:v>0.5887</x:v>
      </x:c>
      <x:c r="AS14" s="22" t="n">
        <x:v>0.7911</x:v>
      </x:c>
      <x:c r="AT14" s="22" t="n">
        <x:v>1</x:v>
      </x:c>
    </x:row>
    <x:row r="15">
      <x:c r="A15" s="22" t="str">
        <x:v>GAIN_SWEEP</x:v>
      </x:c>
      <x:c r="B15" s="22" t="n">
        <x:v>2</x:v>
      </x:c>
      <x:c r="C15" s="22" t="n">
        <x:v>1</x:v>
      </x:c>
      <x:c r="D15" s="22" t="n">
        <x:v>150</x:v>
      </x:c>
      <x:c r="E15" s="22" t="n">
        <x:v>11</x:v>
      </x:c>
      <x:c r="F15" s="22" t="n">
        <x:v>431.90171</x:v>
      </x:c>
      <x:c r="G15" s="22" t="n">
        <x:v>0.07222</x:v>
      </x:c>
      <x:c r="H15" s="22" t="n">
        <x:v>14.74</x:v>
      </x:c>
      <x:c r="I15" s="22" t="n">
        <x:v>695.60052</x:v>
      </x:c>
      <x:c r="J15" s="22" t="n">
        <x:v>0.15785</x:v>
      </x:c>
      <x:c r="K15" s="22" t="n">
        <x:v>16.65</x:v>
      </x:c>
      <x:c r="L15" s="22" t="n">
        <x:v>149.97673</x:v>
      </x:c>
      <x:c r="M15" s="22" t="n">
        <x:v>0.17519</x:v>
      </x:c>
      <x:c r="N15" s="22" t="n">
        <x:v>18.91</x:v>
      </x:c>
      <x:c r="O15" s="22" t="n">
        <x:v>149.92954</x:v>
      </x:c>
      <x:c r="P15" s="22" t="n">
        <x:v>0.02208</x:v>
      </x:c>
      <x:c r="Q15" s="22" t="n">
        <x:v>150.02682</x:v>
      </x:c>
      <x:c r="R15" s="22" t="n">
        <x:v>0.12548</x:v>
      </x:c>
      <x:c r="S15" s="22" t="n">
        <x:v>149.97673</x:v>
      </x:c>
      <x:c r="T15" s="22" t="n">
        <x:v>0.17519</x:v>
      </x:c>
      <x:c r="U15" s="22" t="n">
        <x:v>149.99303</x:v>
      </x:c>
      <x:c r="V15" s="22" t="n">
        <x:v>-0.00697</x:v>
      </x:c>
      <x:c r="W15" s="22" t="n">
        <x:v>0.02208</x:v>
      </x:c>
      <x:c r="X15" s="22" t="n">
        <x:v>0.12548</x:v>
      </x:c>
      <x:c r="Y15" s="22" t="n">
        <x:v>0.17519</x:v>
      </x:c>
      <x:c r="Z15" s="22" t="n">
        <x:v>0.21662</x:v>
      </x:c>
      <x:c r="AA15" s="22" t="n">
        <x:v>18.66</x:v>
      </x:c>
      <x:c r="AB15" s="22" t="str">
        <x:v>Z</x:v>
      </x:c>
      <x:c r="AC15" s="22" t="n">
        <x:v>0.02371</x:v>
      </x:c>
      <x:c r="AD15" s="22" t="n">
        <x:v>-88.69</x:v>
      </x:c>
      <x:c r="AE15" s="22" t="n">
        <x:v>0.067</x:v>
      </x:c>
      <x:c r="AF15" s="22" t="n">
        <x:v>10.73</x:v>
      </x:c>
      <x:c r="AG15" s="22" t="n">
        <x:v>0.12261</x:v>
      </x:c>
      <x:c r="AH15" s="22" t="n">
        <x:v>-89.19</x:v>
      </x:c>
      <x:c r="AI15" s="22" t="n">
        <x:v>0.189</x:v>
      </x:c>
      <x:c r="AJ15" s="22" t="n">
        <x:v>13.82</x:v>
      </x:c>
      <x:c r="AK15" s="22" t="n">
        <x:v>0.16514</x:v>
      </x:c>
      <x:c r="AL15" s="22" t="n">
        <x:v>-113.63</x:v>
      </x:c>
      <x:c r="AM15" s="22" t="n">
        <x:v>0.323</x:v>
      </x:c>
      <x:c r="AN15" s="22" t="n">
        <x:v>7.73</x:v>
      </x:c>
      <x:c r="AO15" s="22" t="n">
        <x:v>0.20766</x:v>
      </x:c>
      <x:c r="AP15" s="22" t="n">
        <x:v>5.65</x:v>
      </x:c>
      <x:c r="AQ15" s="22" t="n">
        <x:v>0.1142</x:v>
      </x:c>
      <x:c r="AR15" s="22" t="n">
        <x:v>0.5905</x:v>
      </x:c>
      <x:c r="AS15" s="22" t="n">
        <x:v>0.7952</x:v>
      </x:c>
      <x:c r="AT15" s="22" t="n">
        <x:v>1</x:v>
      </x:c>
    </x:row>
    <x:row r="16">
      <x:c r="A16" s="22" t="str">
        <x:v>GAIN_SWEEP</x:v>
      </x:c>
      <x:c r="B16" s="22" t="n">
        <x:v>3</x:v>
      </x:c>
      <x:c r="C16" s="22" t="n">
        <x:v>1</x:v>
      </x:c>
      <x:c r="D16" s="22" t="n">
        <x:v>150</x:v>
      </x:c>
      <x:c r="E16" s="22" t="n">
        <x:v>12</x:v>
      </x:c>
      <x:c r="F16" s="22" t="n">
        <x:v>168.2378</x:v>
      </x:c>
      <x:c r="G16" s="22" t="n">
        <x:v>0.10856</x:v>
      </x:c>
      <x:c r="H16" s="22" t="n">
        <x:v>17.43</x:v>
      </x:c>
      <x:c r="I16" s="22" t="n">
        <x:v>713.7503</x:v>
      </x:c>
      <x:c r="J16" s="22" t="n">
        <x:v>0.21481</x:v>
      </x:c>
      <x:c r="K16" s="22" t="n">
        <x:v>19.27</x:v>
      </x:c>
      <x:c r="L16" s="22" t="n">
        <x:v>150.00235</x:v>
      </x:c>
      <x:c r="M16" s="22" t="n">
        <x:v>0.2006</x:v>
      </x:c>
      <x:c r="N16" s="22" t="n">
        <x:v>20.61</x:v>
      </x:c>
      <x:c r="O16" s="22" t="n">
        <x:v>154.76341</x:v>
      </x:c>
      <x:c r="P16" s="22" t="n">
        <x:v>0.01663</x:v>
      </x:c>
      <x:c r="Q16" s="22" t="n">
        <x:v>150.00875</x:v>
      </x:c>
      <x:c r="R16" s="22" t="n">
        <x:v>0.13953</x:v>
      </x:c>
      <x:c r="S16" s="22" t="n">
        <x:v>150.00235</x:v>
      </x:c>
      <x:c r="T16" s="22" t="n">
        <x:v>0.2006</x:v>
      </x:c>
      <x:c r="U16" s="22" t="n">
        <x:v>150.00252</x:v>
      </x:c>
      <x:c r="V16" s="22" t="n">
        <x:v>0.00252</x:v>
      </x:c>
      <x:c r="W16" s="22" t="n">
        <x:v>0.01623</x:v>
      </x:c>
      <x:c r="X16" s="22" t="n">
        <x:v>0.13953</x:v>
      </x:c>
      <x:c r="Y16" s="22" t="n">
        <x:v>0.2006</x:v>
      </x:c>
      <x:c r="Z16" s="22" t="n">
        <x:v>0.24489</x:v>
      </x:c>
      <x:c r="AA16" s="22" t="n">
        <x:v>18.61</x:v>
      </x:c>
      <x:c r="AB16" s="22" t="str">
        <x:v>Z</x:v>
      </x:c>
      <x:c r="AC16" s="22" t="n">
        <x:v>0.03756</x:v>
      </x:c>
      <x:c r="AD16" s="22" t="n">
        <x:v>-103.49</x:v>
      </x:c>
      <x:c r="AE16" s="22" t="n">
        <x:v>0.09</x:v>
      </x:c>
      <x:c r="AF16" s="22" t="n">
        <x:v>38.05</x:v>
      </x:c>
      <x:c r="AG16" s="22" t="n">
        <x:v>0.13965</x:v>
      </x:c>
      <x:c r="AH16" s="22" t="n">
        <x:v>-88.25</x:v>
      </x:c>
      <x:c r="AI16" s="22" t="n">
        <x:v>0.196</x:v>
      </x:c>
      <x:c r="AJ16" s="22" t="n">
        <x:v>24.89</x:v>
      </x:c>
      <x:c r="AK16" s="22" t="n">
        <x:v>0.18543</x:v>
      </x:c>
      <x:c r="AL16" s="22" t="n">
        <x:v>-115.62</x:v>
      </x:c>
      <x:c r="AM16" s="22" t="n">
        <x:v>0.37</x:v>
      </x:c>
      <x:c r="AN16" s="22" t="n">
        <x:v>4.27</x:v>
      </x:c>
      <x:c r="AO16" s="22" t="n">
        <x:v>0.23703</x:v>
      </x:c>
      <x:c r="AP16" s="22" t="n">
        <x:v>8.08</x:v>
      </x:c>
      <x:c r="AQ16" s="22" t="n">
        <x:v>0.1585</x:v>
      </x:c>
      <x:c r="AR16" s="22" t="n">
        <x:v>0.5892</x:v>
      </x:c>
      <x:c r="AS16" s="22" t="n">
        <x:v>0.7823</x:v>
      </x:c>
      <x:c r="AT16" s="22" t="n">
        <x:v>1</x:v>
      </x:c>
    </x:row>
    <x:row r="17">
      <x:c r="A17" s="22" t="str">
        <x:v>GAIN_SWEEP</x:v>
      </x:c>
      <x:c r="B17" s="22" t="n">
        <x:v>4</x:v>
      </x:c>
      <x:c r="C17" s="22" t="n">
        <x:v>1</x:v>
      </x:c>
      <x:c r="D17" s="22" t="n">
        <x:v>150</x:v>
      </x:c>
      <x:c r="E17" s="22" t="n">
        <x:v>13</x:v>
      </x:c>
      <x:c r="F17" s="22" t="n">
        <x:v>450.04259</x:v>
      </x:c>
      <x:c r="G17" s="22" t="n">
        <x:v>0.14667</x:v>
      </x:c>
      <x:c r="H17" s="22" t="n">
        <x:v>19.11</x:v>
      </x:c>
      <x:c r="I17" s="22" t="n">
        <x:v>449.99805</x:v>
      </x:c>
      <x:c r="J17" s="22" t="n">
        <x:v>0.61675</x:v>
      </x:c>
      <x:c r="K17" s="22" t="n">
        <x:v>26.46</x:v>
      </x:c>
      <x:c r="L17" s="22" t="n">
        <x:v>149.99613</x:v>
      </x:c>
      <x:c r="M17" s="22" t="n">
        <x:v>0.54893</x:v>
      </x:c>
      <x:c r="N17" s="22" t="n">
        <x:v>28.27</x:v>
      </x:c>
      <x:c r="O17" s="22" t="n">
        <x:v>149.9764</x:v>
      </x:c>
      <x:c r="P17" s="22" t="n">
        <x:v>0.14433</x:v>
      </x:c>
      <x:c r="Q17" s="22" t="n">
        <x:v>149.99213</x:v>
      </x:c>
      <x:c r="R17" s="22" t="n">
        <x:v>0.55058</x:v>
      </x:c>
      <x:c r="S17" s="22" t="n">
        <x:v>149.99613</x:v>
      </x:c>
      <x:c r="T17" s="22" t="n">
        <x:v>0.54893</x:v>
      </x:c>
      <x:c r="U17" s="22" t="n">
        <x:v>149.99353</x:v>
      </x:c>
      <x:c r="V17" s="22" t="n">
        <x:v>-0.00647</x:v>
      </x:c>
      <x:c r="W17" s="22" t="n">
        <x:v>0.14433</x:v>
      </x:c>
      <x:c r="X17" s="22" t="n">
        <x:v>0.55058</x:v>
      </x:c>
      <x:c r="Y17" s="22" t="n">
        <x:v>0.54893</x:v>
      </x:c>
      <x:c r="Z17" s="22" t="n">
        <x:v>0.79075</x:v>
      </x:c>
      <x:c r="AA17" s="22" t="n">
        <x:v>30.8</x:v>
      </x:c>
      <x:c r="AB17" s="22" t="str">
        <x:v>Y</x:v>
      </x:c>
      <x:c r="AC17" s="22" t="n">
        <x:v>0.15517</x:v>
      </x:c>
      <x:c r="AD17" s="22" t="n">
        <x:v>-161.38</x:v>
      </x:c>
      <x:c r="AE17" s="22" t="n">
        <x:v>0.323</x:v>
      </x:c>
      <x:c r="AF17" s="22" t="n">
        <x:v>7.55</x:v>
      </x:c>
      <x:c r="AG17" s="22" t="n">
        <x:v>0.57488</x:v>
      </x:c>
      <x:c r="AH17" s="22" t="n">
        <x:v>-149.12</x:v>
      </x:c>
      <x:c r="AI17" s="22" t="n">
        <x:v>0.482</x:v>
      </x:c>
      <x:c r="AJ17" s="22" t="n">
        <x:v>3.7</x:v>
      </x:c>
      <x:c r="AK17" s="22" t="n">
        <x:v>0.58432</x:v>
      </x:c>
      <x:c r="AL17" s="22" t="n">
        <x:v>-162.4</x:v>
      </x:c>
      <x:c r="AM17" s="22" t="n">
        <x:v>0.686</x:v>
      </x:c>
      <x:c r="AN17" s="22" t="n">
        <x:v>3.66</x:v>
      </x:c>
      <x:c r="AO17" s="22" t="n">
        <x:v>0.83458</x:v>
      </x:c>
      <x:c r="AP17" s="22" t="n">
        <x:v>2.38</x:v>
      </x:c>
      <x:c r="AQ17" s="22" t="n">
        <x:v>0.1859</x:v>
      </x:c>
      <x:c r="AR17" s="22" t="n">
        <x:v>0.6888</x:v>
      </x:c>
      <x:c r="AS17" s="22" t="n">
        <x:v>0.7001</x:v>
      </x:c>
      <x:c r="AT17" s="22" t="n">
        <x:v>1</x:v>
      </x:c>
    </x:row>
    <x:row r="18">
      <x:c r="A18" s="22" t="str">
        <x:v>GAIN_SWEEP</x:v>
      </x:c>
      <x:c r="B18" s="22" t="n">
        <x:v>5</x:v>
      </x:c>
      <x:c r="C18" s="22" t="n">
        <x:v>1</x:v>
      </x:c>
      <x:c r="D18" s="22" t="n">
        <x:v>150</x:v>
      </x:c>
      <x:c r="E18" s="22" t="n">
        <x:v>14</x:v>
      </x:c>
      <x:c r="F18" s="22" t="n">
        <x:v>149.99226</x:v>
      </x:c>
      <x:c r="G18" s="22" t="n">
        <x:v>0.23174</x:v>
      </x:c>
      <x:c r="H18" s="22" t="n">
        <x:v>22.25</x:v>
      </x:c>
      <x:c r="I18" s="22" t="n">
        <x:v>150.00513</x:v>
      </x:c>
      <x:c r="J18" s="22" t="n">
        <x:v>0.75896</x:v>
      </x:c>
      <x:c r="K18" s="22" t="n">
        <x:v>27.49</x:v>
      </x:c>
      <x:c r="L18" s="22" t="n">
        <x:v>150.01628</x:v>
      </x:c>
      <x:c r="M18" s="22" t="n">
        <x:v>0.71203</x:v>
      </x:c>
      <x:c r="N18" s="22" t="n">
        <x:v>29.32</x:v>
      </x:c>
      <x:c r="O18" s="22" t="n">
        <x:v>149.99226</x:v>
      </x:c>
      <x:c r="P18" s="22" t="n">
        <x:v>0.23174</x:v>
      </x:c>
      <x:c r="Q18" s="22" t="n">
        <x:v>150.00513</x:v>
      </x:c>
      <x:c r="R18" s="22" t="n">
        <x:v>0.75896</x:v>
      </x:c>
      <x:c r="S18" s="22" t="n">
        <x:v>150.01628</x:v>
      </x:c>
      <x:c r="T18" s="22" t="n">
        <x:v>0.71203</x:v>
      </x:c>
      <x:c r="U18" s="22" t="n">
        <x:v>150.00949</x:v>
      </x:c>
      <x:c r="V18" s="22" t="n">
        <x:v>0.00949</x:v>
      </x:c>
      <x:c r="W18" s="22" t="n">
        <x:v>0.23174</x:v>
      </x:c>
      <x:c r="X18" s="22" t="n">
        <x:v>0.75896</x:v>
      </x:c>
      <x:c r="Y18" s="22" t="n">
        <x:v>0.71203</x:v>
      </x:c>
      <x:c r="Z18" s="22" t="n">
        <x:v>1.06616</x:v>
      </x:c>
      <x:c r="AA18" s="22" t="n">
        <x:v>33.01</x:v>
      </x:c>
      <x:c r="AB18" s="22" t="str">
        <x:v>Y</x:v>
      </x:c>
      <x:c r="AC18" s="22" t="n">
        <x:v>0.2403</x:v>
      </x:c>
      <x:c r="AD18" s="22" t="n">
        <x:v>-165.3</x:v>
      </x:c>
      <x:c r="AE18" s="22" t="n">
        <x:v>0.449</x:v>
      </x:c>
      <x:c r="AF18" s="22" t="n">
        <x:v>2.71</x:v>
      </x:c>
      <x:c r="AG18" s="22" t="n">
        <x:v>0.76388</x:v>
      </x:c>
      <x:c r="AH18" s="22" t="n">
        <x:v>-152.3</x:v>
      </x:c>
      <x:c r="AI18" s="22" t="n">
        <x:v>0.597</x:v>
      </x:c>
      <x:c r="AJ18" s="22" t="n">
        <x:v>1.39</x:v>
      </x:c>
      <x:c r="AK18" s="22" t="n">
        <x:v>0.71499</x:v>
      </x:c>
      <x:c r="AL18" s="22" t="n">
        <x:v>-161.16</x:v>
      </x:c>
      <x:c r="AM18" s="22" t="n">
        <x:v>0.705</x:v>
      </x:c>
      <x:c r="AN18" s="22" t="n">
        <x:v>3.19</x:v>
      </x:c>
      <x:c r="AO18" s="22" t="n">
        <x:v>1.07367</x:v>
      </x:c>
      <x:c r="AP18" s="22" t="n">
        <x:v>1.63</x:v>
      </x:c>
      <x:c r="AQ18" s="22" t="n">
        <x:v>0.2238</x:v>
      </x:c>
      <x:c r="AR18" s="22" t="n">
        <x:v>0.7115</x:v>
      </x:c>
      <x:c r="AS18" s="22" t="n">
        <x:v>0.6659</x:v>
      </x:c>
      <x:c r="AT18" s="22" t="n">
        <x:v>1</x:v>
      </x:c>
    </x:row>
    <x:row r="19">
      <x:c r="A19" s="22" t="str">
        <x:v>GAIN_SWEEP</x:v>
      </x:c>
      <x:c r="B19" s="22" t="n">
        <x:v>6</x:v>
      </x:c>
      <x:c r="C19" s="22" t="n">
        <x:v>1</x:v>
      </x:c>
      <x:c r="D19" s="22" t="n">
        <x:v>150</x:v>
      </x:c>
      <x:c r="E19" s="22" t="n">
        <x:v>15</x:v>
      </x:c>
      <x:c r="F19" s="22" t="n">
        <x:v>150.01063</x:v>
      </x:c>
      <x:c r="G19" s="22" t="n">
        <x:v>0.31012</x:v>
      </x:c>
      <x:c r="H19" s="22" t="n">
        <x:v>24.67</x:v>
      </x:c>
      <x:c r="I19" s="22" t="n">
        <x:v>149.9967</x:v>
      </x:c>
      <x:c r="J19" s="22" t="n">
        <x:v>0.91985</x:v>
      </x:c>
      <x:c r="K19" s="22" t="n">
        <x:v>28.76</x:v>
      </x:c>
      <x:c r="L19" s="22" t="n">
        <x:v>150.00142</x:v>
      </x:c>
      <x:c r="M19" s="22" t="n">
        <x:v>0.79072</x:v>
      </x:c>
      <x:c r="N19" s="22" t="n">
        <x:v>29.67</x:v>
      </x:c>
      <x:c r="O19" s="22" t="n">
        <x:v>150.01063</x:v>
      </x:c>
      <x:c r="P19" s="22" t="n">
        <x:v>0.31012</x:v>
      </x:c>
      <x:c r="Q19" s="22" t="n">
        <x:v>149.9967</x:v>
      </x:c>
      <x:c r="R19" s="22" t="n">
        <x:v>0.91985</x:v>
      </x:c>
      <x:c r="S19" s="22" t="n">
        <x:v>150.00142</x:v>
      </x:c>
      <x:c r="T19" s="22" t="n">
        <x:v>0.79072</x:v>
      </x:c>
      <x:c r="U19" s="22" t="n">
        <x:v>149.99944</x:v>
      </x:c>
      <x:c r="V19" s="22" t="n">
        <x:v>-0.00056</x:v>
      </x:c>
      <x:c r="W19" s="22" t="n">
        <x:v>0.31012</x:v>
      </x:c>
      <x:c r="X19" s="22" t="n">
        <x:v>0.91985</x:v>
      </x:c>
      <x:c r="Y19" s="22" t="n">
        <x:v>0.79072</x:v>
      </x:c>
      <x:c r="Z19" s="22" t="n">
        <x:v>1.25202</x:v>
      </x:c>
      <x:c r="AA19" s="22" t="n">
        <x:v>33.05</x:v>
      </x:c>
      <x:c r="AB19" s="22" t="str">
        <x:v>Y</x:v>
      </x:c>
      <x:c r="AC19" s="22" t="n">
        <x:v>0.30715</x:v>
      </x:c>
      <x:c r="AD19" s="22" t="n">
        <x:v>-169.05</x:v>
      </x:c>
      <x:c r="AE19" s="22" t="n">
        <x:v>0.52</x:v>
      </x:c>
      <x:c r="AF19" s="22" t="n">
        <x:v>5.23</x:v>
      </x:c>
      <x:c r="AG19" s="22" t="n">
        <x:v>0.92824</x:v>
      </x:c>
      <x:c r="AH19" s="22" t="n">
        <x:v>-154.24</x:v>
      </x:c>
      <x:c r="AI19" s="22" t="n">
        <x:v>0.652</x:v>
      </x:c>
      <x:c r="AJ19" s="22" t="n">
        <x:v>1.94</x:v>
      </x:c>
      <x:c r="AK19" s="22" t="n">
        <x:v>0.80842</x:v>
      </x:c>
      <x:c r="AL19" s="22" t="n">
        <x:v>-158.83</x:v>
      </x:c>
      <x:c r="AM19" s="22" t="n">
        <x:v>0.722</x:v>
      </x:c>
      <x:c r="AN19" s="22" t="n">
        <x:v>1.53</x:v>
      </x:c>
      <x:c r="AO19" s="22" t="n">
        <x:v>1.26878</x:v>
      </x:c>
      <x:c r="AP19" s="22" t="n">
        <x:v>1.55</x:v>
      </x:c>
      <x:c r="AQ19" s="22" t="n">
        <x:v>0.2421</x:v>
      </x:c>
      <x:c r="AR19" s="22" t="n">
        <x:v>0.7316</x:v>
      </x:c>
      <x:c r="AS19" s="22" t="n">
        <x:v>0.6372</x:v>
      </x:c>
      <x:c r="AT19" s="22" t="n">
        <x:v>1</x:v>
      </x:c>
    </x:row>
    <x:row r="20">
      <x:c r="A20" s="22" t="str">
        <x:v>GAIN_SWEEP</x:v>
      </x:c>
      <x:c r="B20" s="22" t="n">
        <x:v>1</x:v>
      </x:c>
      <x:c r="C20" s="22" t="n">
        <x:v>1</x:v>
      </x:c>
      <x:c r="D20" s="22" t="n">
        <x:v>175</x:v>
      </x:c>
      <x:c r="E20" s="22" t="n">
        <x:v>10</x:v>
      </x:c>
      <x:c r="F20" s="22" t="n">
        <x:v>356.77231</x:v>
      </x:c>
      <x:c r="G20" s="22" t="n">
        <x:v>0.20937</x:v>
      </x:c>
      <x:c r="H20" s="22" t="n">
        <x:v>22.5</x:v>
      </x:c>
      <x:c r="I20" s="22" t="n">
        <x:v>370.50904</x:v>
      </x:c>
      <x:c r="J20" s="22" t="n">
        <x:v>0.16542</x:v>
      </x:c>
      <x:c r="K20" s="22" t="n">
        <x:v>15.62</x:v>
      </x:c>
      <x:c r="L20" s="22" t="n">
        <x:v>174.96994</x:v>
      </x:c>
      <x:c r="M20" s="22" t="n">
        <x:v>0.25144</x:v>
      </x:c>
      <x:c r="N20" s="22" t="n">
        <x:v>21.73</x:v>
      </x:c>
      <x:c r="O20" s="22" t="n">
        <x:v>168.22711</x:v>
      </x:c>
      <x:c r="P20" s="22" t="n">
        <x:v>0.08476</x:v>
      </x:c>
      <x:c r="Q20" s="22" t="n">
        <x:v>175.28491</x:v>
      </x:c>
      <x:c r="R20" s="22" t="n">
        <x:v>0.09803</x:v>
      </x:c>
      <x:c r="S20" s="22" t="n">
        <x:v>174.96994</x:v>
      </x:c>
      <x:c r="T20" s="22" t="n">
        <x:v>0.25144</x:v>
      </x:c>
      <x:c r="U20" s="22" t="n">
        <x:v>175.01063</x:v>
      </x:c>
      <x:c r="V20" s="22" t="n">
        <x:v>0.01063</x:v>
      </x:c>
      <x:c r="W20" s="22" t="n">
        <x:v>0.02886</x:v>
      </x:c>
      <x:c r="X20" s="22" t="n">
        <x:v>0.09803</x:v>
      </x:c>
      <x:c r="Y20" s="22" t="n">
        <x:v>0.25144</x:v>
      </x:c>
      <x:c r="Z20" s="22" t="n">
        <x:v>0.27141</x:v>
      </x:c>
      <x:c r="AA20" s="22" t="n">
        <x:v>11.45</x:v>
      </x:c>
      <x:c r="AB20" s="22" t="str">
        <x:v>Z</x:v>
      </x:c>
      <x:c r="AC20" s="22" t="n">
        <x:v>0.02837</x:v>
      </x:c>
      <x:c r="AD20" s="22" t="n">
        <x:v>-167.74</x:v>
      </x:c>
      <x:c r="AE20" s="22" t="n">
        <x:v>0.059</x:v>
      </x:c>
      <x:c r="AF20" s="22" t="n">
        <x:v>22.82</x:v>
      </x:c>
      <x:c r="AG20" s="22" t="n">
        <x:v>0.09323</x:v>
      </x:c>
      <x:c r="AH20" s="22" t="n">
        <x:v>-108.93</x:v>
      </x:c>
      <x:c r="AI20" s="22" t="n">
        <x:v>0.118</x:v>
      </x:c>
      <x:c r="AJ20" s="22" t="n">
        <x:v>13.94</x:v>
      </x:c>
      <x:c r="AK20" s="22" t="n">
        <x:v>0.26175</x:v>
      </x:c>
      <x:c r="AL20" s="22" t="n">
        <x:v>-159.18</x:v>
      </x:c>
      <x:c r="AM20" s="22" t="n">
        <x:v>0.475</x:v>
      </x:c>
      <x:c r="AN20" s="22" t="n">
        <x:v>1.96</x:v>
      </x:c>
      <x:c r="AO20" s="22" t="n">
        <x:v>0.27953</x:v>
      </x:c>
      <x:c r="AP20" s="22" t="n">
        <x:v>3.11</x:v>
      </x:c>
      <x:c r="AQ20" s="22" t="n">
        <x:v>0.1015</x:v>
      </x:c>
      <x:c r="AR20" s="22" t="n">
        <x:v>0.3335</x:v>
      </x:c>
      <x:c r="AS20" s="22" t="n">
        <x:v>0.9364</x:v>
      </x:c>
      <x:c r="AT20" s="22" t="n">
        <x:v>1</x:v>
      </x:c>
    </x:row>
    <x:row r="21">
      <x:c r="A21" s="22" t="str">
        <x:v>GAIN_SWEEP</x:v>
      </x:c>
      <x:c r="B21" s="22" t="n">
        <x:v>2</x:v>
      </x:c>
      <x:c r="C21" s="22" t="n">
        <x:v>1</x:v>
      </x:c>
      <x:c r="D21" s="22" t="n">
        <x:v>175</x:v>
      </x:c>
      <x:c r="E21" s="22" t="n">
        <x:v>11</x:v>
      </x:c>
      <x:c r="F21" s="22" t="n">
        <x:v>356.70438</x:v>
      </x:c>
      <x:c r="G21" s="22" t="n">
        <x:v>0.20581</x:v>
      </x:c>
      <x:c r="H21" s="22" t="n">
        <x:v>22.53</x:v>
      </x:c>
      <x:c r="I21" s="22" t="n">
        <x:v>706.58318</x:v>
      </x:c>
      <x:c r="J21" s="22" t="n">
        <x:v>0.15074</x:v>
      </x:c>
      <x:c r="K21" s="22" t="n">
        <x:v>15.48</x:v>
      </x:c>
      <x:c r="L21" s="22" t="n">
        <x:v>174.98228</x:v>
      </x:c>
      <x:c r="M21" s="22" t="n">
        <x:v>0.30537</x:v>
      </x:c>
      <x:c r="N21" s="22" t="n">
        <x:v>23.63</x:v>
      </x:c>
      <x:c r="O21" s="22" t="n">
        <x:v>168.30537</x:v>
      </x:c>
      <x:c r="P21" s="22" t="n">
        <x:v>0.0601</x:v>
      </x:c>
      <x:c r="Q21" s="22" t="n">
        <x:v>174.97017</x:v>
      </x:c>
      <x:c r="R21" s="22" t="n">
        <x:v>0.10674</x:v>
      </x:c>
      <x:c r="S21" s="22" t="n">
        <x:v>174.98228</x:v>
      </x:c>
      <x:c r="T21" s="22" t="n">
        <x:v>0.30537</x:v>
      </x:c>
      <x:c r="U21" s="22" t="n">
        <x:v>174.9817</x:v>
      </x:c>
      <x:c r="V21" s="22" t="n">
        <x:v>-0.0183</x:v>
      </x:c>
      <x:c r="W21" s="22" t="n">
        <x:v>0.01803</x:v>
      </x:c>
      <x:c r="X21" s="22" t="n">
        <x:v>0.10674</x:v>
      </x:c>
      <x:c r="Y21" s="22" t="n">
        <x:v>0.30537</x:v>
      </x:c>
      <x:c r="Z21" s="22" t="n">
        <x:v>0.32399</x:v>
      </x:c>
      <x:c r="AA21" s="22" t="n">
        <x:v>15.91</x:v>
      </x:c>
      <x:c r="AB21" s="22" t="str">
        <x:v>Z</x:v>
      </x:c>
      <x:c r="AC21" s="22" t="n">
        <x:v>0.01662</x:v>
      </x:c>
      <x:c r="AD21" s="22" t="n">
        <x:v>-166.49</x:v>
      </x:c>
      <x:c r="AE21" s="22" t="n">
        <x:v>0.037</x:v>
      </x:c>
      <x:c r="AF21" s="22" t="n">
        <x:v>56.81</x:v>
      </x:c>
      <x:c r="AG21" s="22" t="n">
        <x:v>0.10453</x:v>
      </x:c>
      <x:c r="AH21" s="22" t="n">
        <x:v>-97.59</x:v>
      </x:c>
      <x:c r="AI21" s="22" t="n">
        <x:v>0.153</x:v>
      </x:c>
      <x:c r="AJ21" s="22" t="n">
        <x:v>17.29</x:v>
      </x:c>
      <x:c r="AK21" s="22" t="n">
        <x:v>0.30712</x:v>
      </x:c>
      <x:c r="AL21" s="22" t="n">
        <x:v>-156.82</x:v>
      </x:c>
      <x:c r="AM21" s="22" t="n">
        <x:v>0.558</x:v>
      </x:c>
      <x:c r="AN21" s="22" t="n">
        <x:v>5.68</x:v>
      </x:c>
      <x:c r="AO21" s="22" t="n">
        <x:v>0.32541</x:v>
      </x:c>
      <x:c r="AP21" s="22" t="n">
        <x:v>5.03</x:v>
      </x:c>
      <x:c r="AQ21" s="22" t="n">
        <x:v>0.0511</x:v>
      </x:c>
      <x:c r="AR21" s="22" t="n">
        <x:v>0.3212</x:v>
      </x:c>
      <x:c r="AS21" s="22" t="n">
        <x:v>0.9438</x:v>
      </x:c>
      <x:c r="AT21" s="22" t="n">
        <x:v>1</x:v>
      </x:c>
    </x:row>
    <x:row r="22">
      <x:c r="A22" s="22" t="str">
        <x:v>GAIN_SWEEP</x:v>
      </x:c>
      <x:c r="B22" s="22" t="n">
        <x:v>3</x:v>
      </x:c>
      <x:c r="C22" s="22" t="n">
        <x:v>1</x:v>
      </x:c>
      <x:c r="D22" s="22" t="n">
        <x:v>175</x:v>
      </x:c>
      <x:c r="E22" s="22" t="n">
        <x:v>12</x:v>
      </x:c>
      <x:c r="F22" s="22" t="n">
        <x:v>356.7767</x:v>
      </x:c>
      <x:c r="G22" s="22" t="n">
        <x:v>0.19242</x:v>
      </x:c>
      <x:c r="H22" s="22" t="n">
        <x:v>21.58</x:v>
      </x:c>
      <x:c r="I22" s="22" t="n">
        <x:v>388.85725</x:v>
      </x:c>
      <x:c r="J22" s="22" t="n">
        <x:v>0.1718</x:v>
      </x:c>
      <x:c r="K22" s="22" t="n">
        <x:v>16.38</x:v>
      </x:c>
      <x:c r="L22" s="22" t="n">
        <x:v>174.98665</x:v>
      </x:c>
      <x:c r="M22" s="22" t="n">
        <x:v>0.32672</x:v>
      </x:c>
      <x:c r="N22" s="22" t="n">
        <x:v>24.2</x:v>
      </x:c>
      <x:c r="O22" s="22" t="n">
        <x:v>168.27783</x:v>
      </x:c>
      <x:c r="P22" s="22" t="n">
        <x:v>0.0627</x:v>
      </x:c>
      <x:c r="Q22" s="22" t="n">
        <x:v>170.63272</x:v>
      </x:c>
      <x:c r="R22" s="22" t="n">
        <x:v>0.13972</x:v>
      </x:c>
      <x:c r="S22" s="22" t="n">
        <x:v>174.98665</x:v>
      </x:c>
      <x:c r="T22" s="22" t="n">
        <x:v>0.32672</x:v>
      </x:c>
      <x:c r="U22" s="22" t="n">
        <x:v>174.99007</x:v>
      </x:c>
      <x:c r="V22" s="22" t="n">
        <x:v>-0.00993</x:v>
      </x:c>
      <x:c r="W22" s="22" t="n">
        <x:v>0.02431</x:v>
      </x:c>
      <x:c r="X22" s="22" t="n">
        <x:v>0.1183</x:v>
      </x:c>
      <x:c r="Y22" s="22" t="n">
        <x:v>0.32672</x:v>
      </x:c>
      <x:c r="Z22" s="22" t="n">
        <x:v>0.34832</x:v>
      </x:c>
      <x:c r="AA22" s="22" t="n">
        <x:v>15.96</x:v>
      </x:c>
      <x:c r="AB22" s="22" t="str">
        <x:v>Z</x:v>
      </x:c>
      <x:c r="AC22" s="22" t="n">
        <x:v>0.02519</x:v>
      </x:c>
      <x:c r="AD22" s="22" t="n">
        <x:v>178.78</x:v>
      </x:c>
      <x:c r="AE22" s="22" t="n">
        <x:v>0.054</x:v>
      </x:c>
      <x:c r="AF22" s="22" t="n">
        <x:v>27.05</x:v>
      </x:c>
      <x:c r="AG22" s="22" t="n">
        <x:v>0.12771</x:v>
      </x:c>
      <x:c r="AH22" s="22" t="n">
        <x:v>-93.41</x:v>
      </x:c>
      <x:c r="AI22" s="22" t="n">
        <x:v>0.169</x:v>
      </x:c>
      <x:c r="AJ22" s="22" t="n">
        <x:v>13.64</x:v>
      </x:c>
      <x:c r="AK22" s="22" t="n">
        <x:v>0.3308</x:v>
      </x:c>
      <x:c r="AL22" s="22" t="n">
        <x:v>-159.31</x:v>
      </x:c>
      <x:c r="AM22" s="22" t="n">
        <x:v>0.551</x:v>
      </x:c>
      <x:c r="AN22" s="22" t="n">
        <x:v>7.53</x:v>
      </x:c>
      <x:c r="AO22" s="22" t="n">
        <x:v>0.35621</x:v>
      </x:c>
      <x:c r="AP22" s="22" t="n">
        <x:v>5.12</x:v>
      </x:c>
      <x:c r="AQ22" s="22" t="n">
        <x:v>0.0707</x:v>
      </x:c>
      <x:c r="AR22" s="22" t="n">
        <x:v>0.3585</x:v>
      </x:c>
      <x:c r="AS22" s="22" t="n">
        <x:v>0.9287</x:v>
      </x:c>
      <x:c r="AT22" s="22" t="n">
        <x:v>1</x:v>
      </x:c>
    </x:row>
    <x:row r="23">
      <x:c r="A23" s="22" t="str">
        <x:v>GAIN_SWEEP</x:v>
      </x:c>
      <x:c r="B23" s="22" t="n">
        <x:v>4</x:v>
      </x:c>
      <x:c r="C23" s="22" t="n">
        <x:v>1</x:v>
      </x:c>
      <x:c r="D23" s="22" t="n">
        <x:v>175</x:v>
      </x:c>
      <x:c r="E23" s="22" t="n">
        <x:v>13</x:v>
      </x:c>
      <x:c r="F23" s="22" t="n">
        <x:v>356.949</x:v>
      </x:c>
      <x:c r="G23" s="22" t="n">
        <x:v>0.14794</x:v>
      </x:c>
      <x:c r="H23" s="22" t="n">
        <x:v>19.64</x:v>
      </x:c>
      <x:c r="I23" s="22" t="n">
        <x:v>713.96674</x:v>
      </x:c>
      <x:c r="J23" s="22" t="n">
        <x:v>0.18282</x:v>
      </x:c>
      <x:c r="K23" s="22" t="n">
        <x:v>17.01</x:v>
      </x:c>
      <x:c r="L23" s="22" t="n">
        <x:v>175.00773</x:v>
      </x:c>
      <x:c r="M23" s="22" t="n">
        <x:v>0.37096</x:v>
      </x:c>
      <x:c r="N23" s="22" t="n">
        <x:v>25.25</x:v>
      </x:c>
      <x:c r="O23" s="22" t="n">
        <x:v>167.91167</x:v>
      </x:c>
      <x:c r="P23" s="22" t="n">
        <x:v>0.05</x:v>
      </x:c>
      <x:c r="Q23" s="22" t="n">
        <x:v>170.96708</x:v>
      </x:c>
      <x:c r="R23" s="22" t="n">
        <x:v>0.17694</x:v>
      </x:c>
      <x:c r="S23" s="22" t="n">
        <x:v>175.00773</x:v>
      </x:c>
      <x:c r="T23" s="22" t="n">
        <x:v>0.37096</x:v>
      </x:c>
      <x:c r="U23" s="22" t="n">
        <x:v>175.00635</x:v>
      </x:c>
      <x:c r="V23" s="22" t="n">
        <x:v>0.00635</x:v>
      </x:c>
      <x:c r="W23" s="22" t="n">
        <x:v>0.01876</x:v>
      </x:c>
      <x:c r="X23" s="22" t="n">
        <x:v>0.12091</x:v>
      </x:c>
      <x:c r="Y23" s="22" t="n">
        <x:v>0.37096</x:v>
      </x:c>
      <x:c r="Z23" s="22" t="n">
        <x:v>0.39062</x:v>
      </x:c>
      <x:c r="AA23" s="22" t="n">
        <x:v>17.06</x:v>
      </x:c>
      <x:c r="AB23" s="22" t="str">
        <x:v>Z</x:v>
      </x:c>
      <x:c r="AC23" s="22" t="n">
        <x:v>0.02312</x:v>
      </x:c>
      <x:c r="AD23" s="22" t="n">
        <x:v>-176.3</x:v>
      </x:c>
      <x:c r="AE23" s="22" t="n">
        <x:v>0.054</x:v>
      </x:c>
      <x:c r="AF23" s="22" t="n">
        <x:v>32.61</x:v>
      </x:c>
      <x:c r="AG23" s="22" t="n">
        <x:v>0.14219</x:v>
      </x:c>
      <x:c r="AH23" s="22" t="n">
        <x:v>-102.49</x:v>
      </x:c>
      <x:c r="AI23" s="22" t="n">
        <x:v>0.194</x:v>
      </x:c>
      <x:c r="AJ23" s="22" t="n">
        <x:v>28.99</x:v>
      </x:c>
      <x:c r="AK23" s="22" t="n">
        <x:v>0.36051</x:v>
      </x:c>
      <x:c r="AL23" s="22" t="n">
        <x:v>-158.42</x:v>
      </x:c>
      <x:c r="AM23" s="22" t="n">
        <x:v>0.617</x:v>
      </x:c>
      <x:c r="AN23" s="22" t="n">
        <x:v>6.52</x:v>
      </x:c>
      <x:c r="AO23" s="22" t="n">
        <x:v>0.39009</x:v>
      </x:c>
      <x:c r="AP23" s="22" t="n">
        <x:v>5.71</x:v>
      </x:c>
      <x:c r="AQ23" s="22" t="n">
        <x:v>0.0593</x:v>
      </x:c>
      <x:c r="AR23" s="22" t="n">
        <x:v>0.3645</x:v>
      </x:c>
      <x:c r="AS23" s="22" t="n">
        <x:v>0.9242</x:v>
      </x:c>
      <x:c r="AT23" s="22" t="n">
        <x:v>1</x:v>
      </x:c>
    </x:row>
    <x:row r="24">
      <x:c r="A24" s="22" t="str">
        <x:v>GAIN_SWEEP</x:v>
      </x:c>
      <x:c r="B24" s="22" t="n">
        <x:v>5</x:v>
      </x:c>
      <x:c r="C24" s="22" t="n">
        <x:v>1</x:v>
      </x:c>
      <x:c r="D24" s="22" t="n">
        <x:v>175</x:v>
      </x:c>
      <x:c r="E24" s="22" t="n">
        <x:v>14</x:v>
      </x:c>
      <x:c r="F24" s="22" t="n">
        <x:v>356.92225</x:v>
      </x:c>
      <x:c r="G24" s="22" t="n">
        <x:v>0.17791</x:v>
      </x:c>
      <x:c r="H24" s="22" t="n">
        <x:v>21.34</x:v>
      </x:c>
      <x:c r="I24" s="22" t="n">
        <x:v>220.79105</x:v>
      </x:c>
      <x:c r="J24" s="22" t="n">
        <x:v>0.20123</x:v>
      </x:c>
      <x:c r="K24" s="22" t="n">
        <x:v>17.7</x:v>
      </x:c>
      <x:c r="L24" s="22" t="n">
        <x:v>175.00234</x:v>
      </x:c>
      <x:c r="M24" s="22" t="n">
        <x:v>0.40496</x:v>
      </x:c>
      <x:c r="N24" s="22" t="n">
        <x:v>26.09</x:v>
      </x:c>
      <x:c r="O24" s="22" t="n">
        <x:v>168.06588</x:v>
      </x:c>
      <x:c r="P24" s="22" t="n">
        <x:v>0.066</x:v>
      </x:c>
      <x:c r="Q24" s="22" t="n">
        <x:v>174.99525</x:v>
      </x:c>
      <x:c r="R24" s="22" t="n">
        <x:v>0.15189</x:v>
      </x:c>
      <x:c r="S24" s="22" t="n">
        <x:v>175.00234</x:v>
      </x:c>
      <x:c r="T24" s="22" t="n">
        <x:v>0.40496</x:v>
      </x:c>
      <x:c r="U24" s="22" t="n">
        <x:v>175.00115</x:v>
      </x:c>
      <x:c r="V24" s="22" t="n">
        <x:v>0.00115</x:v>
      </x:c>
      <x:c r="W24" s="22" t="n">
        <x:v>0.02277</x:v>
      </x:c>
      <x:c r="X24" s="22" t="n">
        <x:v>0.15189</x:v>
      </x:c>
      <x:c r="Y24" s="22" t="n">
        <x:v>0.40496</x:v>
      </x:c>
      <x:c r="Z24" s="22" t="n">
        <x:v>0.43311</x:v>
      </x:c>
      <x:c r="AA24" s="22" t="n">
        <x:v>17.07</x:v>
      </x:c>
      <x:c r="AB24" s="22" t="str">
        <x:v>Z</x:v>
      </x:c>
      <x:c r="AC24" s="22" t="n">
        <x:v>0.02677</x:v>
      </x:c>
      <x:c r="AD24" s="22" t="n">
        <x:v>-134.74</x:v>
      </x:c>
      <x:c r="AE24" s="22" t="n">
        <x:v>0.06</x:v>
      </x:c>
      <x:c r="AF24" s="22" t="n">
        <x:v>15.79</x:v>
      </x:c>
      <x:c r="AG24" s="22" t="n">
        <x:v>0.15306</x:v>
      </x:c>
      <x:c r="AH24" s="22" t="n">
        <x:v>-95.66</x:v>
      </x:c>
      <x:c r="AI24" s="22" t="n">
        <x:v>0.207</x:v>
      </x:c>
      <x:c r="AJ24" s="22" t="n">
        <x:v>24.29</x:v>
      </x:c>
      <x:c r="AK24" s="22" t="n">
        <x:v>0.39136</x:v>
      </x:c>
      <x:c r="AL24" s="22" t="n">
        <x:v>-159.9</x:v>
      </x:c>
      <x:c r="AM24" s="22" t="n">
        <x:v>0.645</x:v>
      </x:c>
      <x:c r="AN24" s="22" t="n">
        <x:v>2.27</x:v>
      </x:c>
      <x:c r="AO24" s="22" t="n">
        <x:v>0.4223</x:v>
      </x:c>
      <x:c r="AP24" s="22" t="n">
        <x:v>3.29</x:v>
      </x:c>
      <x:c r="AQ24" s="22" t="n">
        <x:v>0.0634</x:v>
      </x:c>
      <x:c r="AR24" s="22" t="n">
        <x:v>0.3625</x:v>
      </x:c>
      <x:c r="AS24" s="22" t="n">
        <x:v>0.9267</x:v>
      </x:c>
      <x:c r="AT24" s="22" t="n">
        <x:v>1</x:v>
      </x:c>
    </x:row>
    <x:row r="25">
      <x:c r="A25" s="22" t="str">
        <x:v>GAIN_SWEEP</x:v>
      </x:c>
      <x:c r="B25" s="22" t="n">
        <x:v>6</x:v>
      </x:c>
      <x:c r="C25" s="22" t="n">
        <x:v>1</x:v>
      </x:c>
      <x:c r="D25" s="22" t="n">
        <x:v>175</x:v>
      </x:c>
      <x:c r="E25" s="22" t="n">
        <x:v>15</x:v>
      </x:c>
      <x:c r="F25" s="22" t="n">
        <x:v>356.78575</x:v>
      </x:c>
      <x:c r="G25" s="22" t="n">
        <x:v>0.19884</x:v>
      </x:c>
      <x:c r="H25" s="22" t="n">
        <x:v>22.18</x:v>
      </x:c>
      <x:c r="I25" s="22" t="n">
        <x:v>320.50892</x:v>
      </x:c>
      <x:c r="J25" s="22" t="n">
        <x:v>0.20478</x:v>
      </x:c>
      <x:c r="K25" s="22" t="n">
        <x:v>16.92</x:v>
      </x:c>
      <x:c r="L25" s="22" t="n">
        <x:v>175.01961</x:v>
      </x:c>
      <x:c r="M25" s="22" t="n">
        <x:v>0.45225</x:v>
      </x:c>
      <x:c r="N25" s="22" t="n">
        <x:v>27.22</x:v>
      </x:c>
      <x:c r="O25" s="22" t="n">
        <x:v>168.03608</x:v>
      </x:c>
      <x:c r="P25" s="22" t="n">
        <x:v>0.05968</x:v>
      </x:c>
      <x:c r="Q25" s="22" t="n">
        <x:v>174.95968</x:v>
      </x:c>
      <x:c r="R25" s="22" t="n">
        <x:v>0.16351</x:v>
      </x:c>
      <x:c r="S25" s="22" t="n">
        <x:v>175.01961</x:v>
      </x:c>
      <x:c r="T25" s="22" t="n">
        <x:v>0.45225</x:v>
      </x:c>
      <x:c r="U25" s="22" t="n">
        <x:v>175.01282</x:v>
      </x:c>
      <x:c r="V25" s="22" t="n">
        <x:v>0.01282</x:v>
      </x:c>
      <x:c r="W25" s="22" t="n">
        <x:v>0.02755</x:v>
      </x:c>
      <x:c r="X25" s="22" t="n">
        <x:v>0.16351</x:v>
      </x:c>
      <x:c r="Y25" s="22" t="n">
        <x:v>0.45225</x:v>
      </x:c>
      <x:c r="Z25" s="22" t="n">
        <x:v>0.48169</x:v>
      </x:c>
      <x:c r="AA25" s="22" t="n">
        <x:v>17.21</x:v>
      </x:c>
      <x:c r="AB25" s="22" t="str">
        <x:v>Z</x:v>
      </x:c>
      <x:c r="AC25" s="22" t="n">
        <x:v>0.02367</x:v>
      </x:c>
      <x:c r="AD25" s="22" t="n">
        <x:v>-158.34</x:v>
      </x:c>
      <x:c r="AE25" s="22" t="n">
        <x:v>0.054</x:v>
      </x:c>
      <x:c r="AF25" s="22" t="n">
        <x:v>31.65</x:v>
      </x:c>
      <x:c r="AG25" s="22" t="n">
        <x:v>0.19369</x:v>
      </x:c>
      <x:c r="AH25" s="22" t="n">
        <x:v>-113.66</x:v>
      </x:c>
      <x:c r="AI25" s="22" t="n">
        <x:v>0.235</x:v>
      </x:c>
      <x:c r="AJ25" s="22" t="n">
        <x:v>25.49</x:v>
      </x:c>
      <x:c r="AK25" s="22" t="n">
        <x:v>0.48801</x:v>
      </x:c>
      <x:c r="AL25" s="22" t="n">
        <x:v>-161.87</x:v>
      </x:c>
      <x:c r="AM25" s="22" t="n">
        <x:v>0.729</x:v>
      </x:c>
      <x:c r="AN25" s="22" t="n">
        <x:v>3.97</x:v>
      </x:c>
      <x:c r="AO25" s="22" t="n">
        <x:v>0.52734</x:v>
      </x:c>
      <x:c r="AP25" s="22" t="n">
        <x:v>4.45</x:v>
      </x:c>
      <x:c r="AQ25" s="22" t="n">
        <x:v>0.0449</x:v>
      </x:c>
      <x:c r="AR25" s="22" t="n">
        <x:v>0.3673</x:v>
      </x:c>
      <x:c r="AS25" s="22" t="n">
        <x:v>0.9254</x:v>
      </x:c>
      <x:c r="AT25" s="22" t="n">
        <x:v>1</x:v>
      </x:c>
    </x:row>
    <x:row r="26">
      <x:c r="A26" s="22" t="str">
        <x:v>GAIN_SWEEP</x:v>
      </x:c>
      <x:c r="B26" s="22" t="n">
        <x:v>1</x:v>
      </x:c>
      <x:c r="C26" s="22" t="n">
        <x:v>1</x:v>
      </x:c>
      <x:c r="D26" s="22" t="n">
        <x:v>200</x:v>
      </x:c>
      <x:c r="E26" s="22" t="n">
        <x:v>10</x:v>
      </x:c>
      <x:c r="F26" s="22" t="n">
        <x:v>563.97227</x:v>
      </x:c>
      <x:c r="G26" s="22" t="n">
        <x:v>0.20142</x:v>
      </x:c>
      <x:c r="H26" s="22" t="n">
        <x:v>22.81</x:v>
      </x:c>
      <x:c r="I26" s="22" t="n">
        <x:v>363.96583</x:v>
      </x:c>
      <x:c r="J26" s="22" t="n">
        <x:v>0.27495</x:v>
      </x:c>
      <x:c r="K26" s="22" t="n">
        <x:v>22.2</x:v>
      </x:c>
      <x:c r="L26" s="22" t="n">
        <x:v>199.98207</x:v>
      </x:c>
      <x:c r="M26" s="22" t="n">
        <x:v>0.36488</x:v>
      </x:c>
      <x:c r="N26" s="22" t="n">
        <x:v>25.12</x:v>
      </x:c>
      <x:c r="O26" s="22" t="n">
        <x:v>200.00556</x:v>
      </x:c>
      <x:c r="P26" s="22" t="n">
        <x:v>0.02825</x:v>
      </x:c>
      <x:c r="Q26" s="22" t="n">
        <x:v>200.03168</x:v>
      </x:c>
      <x:c r="R26" s="22" t="n">
        <x:v>0.13307</x:v>
      </x:c>
      <x:c r="S26" s="22" t="n">
        <x:v>199.98207</x:v>
      </x:c>
      <x:c r="T26" s="22" t="n">
        <x:v>0.36488</x:v>
      </x:c>
      <x:c r="U26" s="22" t="n">
        <x:v>199.98802</x:v>
      </x:c>
      <x:c r="V26" s="22" t="n">
        <x:v>-0.01198</x:v>
      </x:c>
      <x:c r="W26" s="22" t="n">
        <x:v>0.02825</x:v>
      </x:c>
      <x:c r="X26" s="22" t="n">
        <x:v>0.13307</x:v>
      </x:c>
      <x:c r="Y26" s="22" t="n">
        <x:v>0.36488</x:v>
      </x:c>
      <x:c r="Z26" s="22" t="n">
        <x:v>0.38942</x:v>
      </x:c>
      <x:c r="AA26" s="22" t="n">
        <x:v>26.67</x:v>
      </x:c>
      <x:c r="AB26" s="22" t="str">
        <x:v>Z</x:v>
      </x:c>
      <x:c r="AC26" s="22" t="n">
        <x:v>0.03443</x:v>
      </x:c>
      <x:c r="AD26" s="22" t="n">
        <x:v>43.06</x:v>
      </x:c>
      <x:c r="AE26" s="22" t="n">
        <x:v>0.064</x:v>
      </x:c>
      <x:c r="AF26" s="22" t="n">
        <x:v>62.46</x:v>
      </x:c>
      <x:c r="AG26" s="22" t="n">
        <x:v>0.12198</x:v>
      </x:c>
      <x:c r="AH26" s="22" t="n">
        <x:v>-99.66</x:v>
      </x:c>
      <x:c r="AI26" s="22" t="n">
        <x:v>0.144</x:v>
      </x:c>
      <x:c r="AJ26" s="22" t="n">
        <x:v>9.96</x:v>
      </x:c>
      <x:c r="AK26" s="22" t="n">
        <x:v>0.35496</x:v>
      </x:c>
      <x:c r="AL26" s="22" t="n">
        <x:v>156.16</x:v>
      </x:c>
      <x:c r="AM26" s="22" t="n">
        <x:v>0.492</x:v>
      </x:c>
      <x:c r="AN26" s="22" t="n">
        <x:v>4.7</x:v>
      </x:c>
      <x:c r="AO26" s="22" t="n">
        <x:v>0.37754</x:v>
      </x:c>
      <x:c r="AP26" s="22" t="n">
        <x:v>4.57</x:v>
      </x:c>
      <x:c r="AQ26" s="22" t="n">
        <x:v>0.0912</x:v>
      </x:c>
      <x:c r="AR26" s="22" t="n">
        <x:v>0.3231</x:v>
      </x:c>
      <x:c r="AS26" s="22" t="n">
        <x:v>0.9402</x:v>
      </x:c>
      <x:c r="AT26" s="22" t="n">
        <x:v>1</x:v>
      </x:c>
    </x:row>
    <x:row r="27">
      <x:c r="A27" s="22" t="str">
        <x:v>GAIN_SWEEP</x:v>
      </x:c>
      <x:c r="B27" s="22" t="n">
        <x:v>2</x:v>
      </x:c>
      <x:c r="C27" s="22" t="n">
        <x:v>1</x:v>
      </x:c>
      <x:c r="D27" s="22" t="n">
        <x:v>200</x:v>
      </x:c>
      <x:c r="E27" s="22" t="n">
        <x:v>11</x:v>
      </x:c>
      <x:c r="F27" s="22" t="n">
        <x:v>218.08153</x:v>
      </x:c>
      <x:c r="G27" s="22" t="n">
        <x:v>0.16317</x:v>
      </x:c>
      <x:c r="H27" s="22" t="n">
        <x:v>23.19</x:v>
      </x:c>
      <x:c r="I27" s="22" t="n">
        <x:v>145.82269</x:v>
      </x:c>
      <x:c r="J27" s="22" t="n">
        <x:v>0.33914</x:v>
      </x:c>
      <x:c r="K27" s="22" t="n">
        <x:v>24.49</x:v>
      </x:c>
      <x:c r="L27" s="22" t="n">
        <x:v>199.9819</x:v>
      </x:c>
      <x:c r="M27" s="22" t="n">
        <x:v>0.38765</x:v>
      </x:c>
      <x:c r="N27" s="22" t="n">
        <x:v>25.54</x:v>
      </x:c>
      <x:c r="O27" s="22" t="n">
        <x:v>200.03883</x:v>
      </x:c>
      <x:c r="P27" s="22" t="n">
        <x:v>0.02848</x:v>
      </x:c>
      <x:c r="Q27" s="22" t="n">
        <x:v>200.00914</x:v>
      </x:c>
      <x:c r="R27" s="22" t="n">
        <x:v>0.13513</x:v>
      </x:c>
      <x:c r="S27" s="22" t="n">
        <x:v>199.9819</x:v>
      </x:c>
      <x:c r="T27" s="22" t="n">
        <x:v>0.38765</x:v>
      </x:c>
      <x:c r="U27" s="22" t="n">
        <x:v>199.98513</x:v>
      </x:c>
      <x:c r="V27" s="22" t="n">
        <x:v>-0.01487</x:v>
      </x:c>
      <x:c r="W27" s="22" t="n">
        <x:v>0.02848</x:v>
      </x:c>
      <x:c r="X27" s="22" t="n">
        <x:v>0.13513</x:v>
      </x:c>
      <x:c r="Y27" s="22" t="n">
        <x:v>0.38765</x:v>
      </x:c>
      <x:c r="Z27" s="22" t="n">
        <x:v>0.41151</x:v>
      </x:c>
      <x:c r="AA27" s="22" t="n">
        <x:v>28.99</x:v>
      </x:c>
      <x:c r="AB27" s="22" t="str">
        <x:v>Z</x:v>
      </x:c>
      <x:c r="AC27" s="22" t="n">
        <x:v>0.02802</x:v>
      </x:c>
      <x:c r="AD27" s="22" t="n">
        <x:v>136.52</x:v>
      </x:c>
      <x:c r="AE27" s="22" t="n">
        <x:v>0.07</x:v>
      </x:c>
      <x:c r="AF27" s="22" t="n">
        <x:v>23.27</x:v>
      </x:c>
      <x:c r="AG27" s="22" t="n">
        <x:v>0.14224</x:v>
      </x:c>
      <x:c r="AH27" s="22" t="n">
        <x:v>-100.46</x:v>
      </x:c>
      <x:c r="AI27" s="22" t="n">
        <x:v>0.176</x:v>
      </x:c>
      <x:c r="AJ27" s="22" t="n">
        <x:v>18.04</x:v>
      </x:c>
      <x:c r="AK27" s="22" t="n">
        <x:v>0.39975</x:v>
      </x:c>
      <x:c r="AL27" s="22" t="n">
        <x:v>155.7</x:v>
      </x:c>
      <x:c r="AM27" s="22" t="n">
        <x:v>0.604</x:v>
      </x:c>
      <x:c r="AN27" s="22" t="n">
        <x:v>7.4</x:v>
      </x:c>
      <x:c r="AO27" s="22" t="n">
        <x:v>0.42565</x:v>
      </x:c>
      <x:c r="AP27" s="22" t="n">
        <x:v>7.9</x:v>
      </x:c>
      <x:c r="AQ27" s="22" t="n">
        <x:v>0.0658</x:v>
      </x:c>
      <x:c r="AR27" s="22" t="n">
        <x:v>0.3342</x:v>
      </x:c>
      <x:c r="AS27" s="22" t="n">
        <x:v>0.9392</x:v>
      </x:c>
      <x:c r="AT27" s="22" t="n">
        <x:v>1</x:v>
      </x:c>
    </x:row>
    <x:row r="28">
      <x:c r="A28" s="22" t="str">
        <x:v>GAIN_SWEEP</x:v>
      </x:c>
      <x:c r="B28" s="22" t="n">
        <x:v>3</x:v>
      </x:c>
      <x:c r="C28" s="22" t="n">
        <x:v>1</x:v>
      </x:c>
      <x:c r="D28" s="22" t="n">
        <x:v>200</x:v>
      </x:c>
      <x:c r="E28" s="22" t="n">
        <x:v>12</x:v>
      </x:c>
      <x:c r="F28" s="22" t="n">
        <x:v>217.97464</x:v>
      </x:c>
      <x:c r="G28" s="22" t="n">
        <x:v>0.18069</x:v>
      </x:c>
      <x:c r="H28" s="22" t="n">
        <x:v>22.66</x:v>
      </x:c>
      <x:c r="I28" s="22" t="n">
        <x:v>145.97966</x:v>
      </x:c>
      <x:c r="J28" s="22" t="n">
        <x:v>0.3041</x:v>
      </x:c>
      <x:c r="K28" s="22" t="n">
        <x:v>23.99</x:v>
      </x:c>
      <x:c r="L28" s="22" t="n">
        <x:v>200.00425</x:v>
      </x:c>
      <x:c r="M28" s="22" t="n">
        <x:v>0.44704</x:v>
      </x:c>
      <x:c r="N28" s="22" t="n">
        <x:v>28.37</x:v>
      </x:c>
      <x:c r="O28" s="22" t="n">
        <x:v>200.13558</x:v>
      </x:c>
      <x:c r="P28" s="22" t="n">
        <x:v>0.02721</x:v>
      </x:c>
      <x:c r="Q28" s="22" t="n">
        <x:v>200.00838</x:v>
      </x:c>
      <x:c r="R28" s="22" t="n">
        <x:v>0.1554</x:v>
      </x:c>
      <x:c r="S28" s="22" t="n">
        <x:v>200.00425</x:v>
      </x:c>
      <x:c r="T28" s="22" t="n">
        <x:v>0.44704</x:v>
      </x:c>
      <x:c r="U28" s="22" t="n">
        <x:v>200.00513</x:v>
      </x:c>
      <x:c r="V28" s="22" t="n">
        <x:v>0.00513</x:v>
      </x:c>
      <x:c r="W28" s="22" t="n">
        <x:v>0.02721</x:v>
      </x:c>
      <x:c r="X28" s="22" t="n">
        <x:v>0.1554</x:v>
      </x:c>
      <x:c r="Y28" s="22" t="n">
        <x:v>0.44704</x:v>
      </x:c>
      <x:c r="Z28" s="22" t="n">
        <x:v>0.47406</x:v>
      </x:c>
      <x:c r="AA28" s="22" t="n">
        <x:v>27.99</x:v>
      </x:c>
      <x:c r="AB28" s="22" t="str">
        <x:v>Z</x:v>
      </x:c>
      <x:c r="AC28" s="22" t="n">
        <x:v>0.02202</x:v>
      </x:c>
      <x:c r="AD28" s="22" t="n">
        <x:v>-61.41</x:v>
      </x:c>
      <x:c r="AE28" s="22" t="n">
        <x:v>0.045</x:v>
      </x:c>
      <x:c r="AF28" s="22" t="n">
        <x:v>20.87</x:v>
      </x:c>
      <x:c r="AG28" s="22" t="n">
        <x:v>0.14342</x:v>
      </x:c>
      <x:c r="AH28" s="22" t="n">
        <x:v>-95.55</x:v>
      </x:c>
      <x:c r="AI28" s="22" t="n">
        <x:v>0.173</x:v>
      </x:c>
      <x:c r="AJ28" s="22" t="n">
        <x:v>10.58</x:v>
      </x:c>
      <x:c r="AK28" s="22" t="n">
        <x:v>0.44218</x:v>
      </x:c>
      <x:c r="AL28" s="22" t="n">
        <x:v>155.68</x:v>
      </x:c>
      <x:c r="AM28" s="22" t="n">
        <x:v>0.698</x:v>
      </x:c>
      <x:c r="AN28" s="22" t="n">
        <x:v>5.07</x:v>
      </x:c>
      <x:c r="AO28" s="22" t="n">
        <x:v>0.46547</x:v>
      </x:c>
      <x:c r="AP28" s="22" t="n">
        <x:v>5.5</x:v>
      </x:c>
      <x:c r="AQ28" s="22" t="n">
        <x:v>0.0473</x:v>
      </x:c>
      <x:c r="AR28" s="22" t="n">
        <x:v>0.3081</x:v>
      </x:c>
      <x:c r="AS28" s="22" t="n">
        <x:v>0.95</x:v>
      </x:c>
      <x:c r="AT28" s="22" t="n">
        <x:v>1</x:v>
      </x:c>
    </x:row>
    <x:row r="29">
      <x:c r="A29" s="22" t="str">
        <x:v>GAIN_SWEEP</x:v>
      </x:c>
      <x:c r="B29" s="22" t="n">
        <x:v>4</x:v>
      </x:c>
      <x:c r="C29" s="22" t="n">
        <x:v>1</x:v>
      </x:c>
      <x:c r="D29" s="22" t="n">
        <x:v>200</x:v>
      </x:c>
      <x:c r="E29" s="22" t="n">
        <x:v>13</x:v>
      </x:c>
      <x:c r="F29" s="22" t="n">
        <x:v>635.96995</x:v>
      </x:c>
      <x:c r="G29" s="22" t="n">
        <x:v>0.10089</x:v>
      </x:c>
      <x:c r="H29" s="22" t="n">
        <x:v>18.6</x:v>
      </x:c>
      <x:c r="I29" s="22" t="n">
        <x:v>636.02979</x:v>
      </x:c>
      <x:c r="J29" s="22" t="n">
        <x:v>0.27413</x:v>
      </x:c>
      <x:c r="K29" s="22" t="n">
        <x:v>22.71</x:v>
      </x:c>
      <x:c r="L29" s="22" t="n">
        <x:v>200.01136</x:v>
      </x:c>
      <x:c r="M29" s="22" t="n">
        <x:v>0.4909</x:v>
      </x:c>
      <x:c r="N29" s="22" t="n">
        <x:v>29.08</x:v>
      </x:c>
      <x:c r="O29" s="22" t="n">
        <x:v>203.39813</x:v>
      </x:c>
      <x:c r="P29" s="22" t="n">
        <x:v>0.01434</x:v>
      </x:c>
      <x:c r="Q29" s="22" t="n">
        <x:v>200.01333</x:v>
      </x:c>
      <x:c r="R29" s="22" t="n">
        <x:v>0.15879</x:v>
      </x:c>
      <x:c r="S29" s="22" t="n">
        <x:v>200.01136</x:v>
      </x:c>
      <x:c r="T29" s="22" t="n">
        <x:v>0.4909</x:v>
      </x:c>
      <x:c r="U29" s="22" t="n">
        <x:v>200.01177</x:v>
      </x:c>
      <x:c r="V29" s="22" t="n">
        <x:v>0.01177</x:v>
      </x:c>
      <x:c r="W29" s="22" t="n">
        <x:v>0.00909</x:v>
      </x:c>
      <x:c r="X29" s="22" t="n">
        <x:v>0.15879</x:v>
      </x:c>
      <x:c r="Y29" s="22" t="n">
        <x:v>0.4909</x:v>
      </x:c>
      <x:c r="Z29" s="22" t="n">
        <x:v>0.51602</x:v>
      </x:c>
      <x:c r="AA29" s="22" t="n">
        <x:v>28.68</x:v>
      </x:c>
      <x:c r="AB29" s="22" t="str">
        <x:v>Z</x:v>
      </x:c>
      <x:c r="AC29" s="22" t="n">
        <x:v>0.01348</x:v>
      </x:c>
      <x:c r="AD29" s="22" t="n">
        <x:v>53.73</x:v>
      </x:c>
      <x:c r="AE29" s="22" t="n">
        <x:v>0.036</x:v>
      </x:c>
      <x:c r="AF29" s="22" t="n">
        <x:v>37.08</x:v>
      </x:c>
      <x:c r="AG29" s="22" t="n">
        <x:v>0.17755</x:v>
      </x:c>
      <x:c r="AH29" s="22" t="n">
        <x:v>-101.97</x:v>
      </x:c>
      <x:c r="AI29" s="22" t="n">
        <x:v>0.219</x:v>
      </x:c>
      <x:c r="AJ29" s="22" t="n">
        <x:v>10.67</x:v>
      </x:c>
      <x:c r="AK29" s="22" t="n">
        <x:v>0.49018</x:v>
      </x:c>
      <x:c r="AL29" s="22" t="n">
        <x:v>156.17</x:v>
      </x:c>
      <x:c r="AM29" s="22" t="n">
        <x:v>0.746</x:v>
      </x:c>
      <x:c r="AN29" s="22" t="n">
        <x:v>4.68</x:v>
      </x:c>
      <x:c r="AO29" s="22" t="n">
        <x:v>0.52193</x:v>
      </x:c>
      <x:c r="AP29" s="22" t="n">
        <x:v>3.71</x:v>
      </x:c>
      <x:c r="AQ29" s="22" t="n">
        <x:v>0.0258</x:v>
      </x:c>
      <x:c r="AR29" s="22" t="n">
        <x:v>0.3402</x:v>
      </x:c>
      <x:c r="AS29" s="22" t="n">
        <x:v>0.9392</x:v>
      </x:c>
      <x:c r="AT29" s="22" t="n">
        <x:v>1</x:v>
      </x:c>
    </x:row>
    <x:row r="30">
      <x:c r="A30" s="22" t="str">
        <x:v>GAIN_SWEEP</x:v>
      </x:c>
      <x:c r="B30" s="22" t="n">
        <x:v>5</x:v>
      </x:c>
      <x:c r="C30" s="22" t="n">
        <x:v>1</x:v>
      </x:c>
      <x:c r="D30" s="22" t="n">
        <x:v>200</x:v>
      </x:c>
      <x:c r="E30" s="22" t="n">
        <x:v>14</x:v>
      </x:c>
      <x:c r="F30" s="22" t="n">
        <x:v>618.08063</x:v>
      </x:c>
      <x:c r="G30" s="22" t="n">
        <x:v>0.17727</x:v>
      </x:c>
      <x:c r="H30" s="22" t="n">
        <x:v>22.34</x:v>
      </x:c>
      <x:c r="I30" s="22" t="n">
        <x:v>563.97145</x:v>
      </x:c>
      <x:c r="J30" s="22" t="n">
        <x:v>0.24847</x:v>
      </x:c>
      <x:c r="K30" s="22" t="n">
        <x:v>21.94</x:v>
      </x:c>
      <x:c r="L30" s="22" t="n">
        <x:v>199.99637</x:v>
      </x:c>
      <x:c r="M30" s="22" t="n">
        <x:v>0.52189</x:v>
      </x:c>
      <x:c r="N30" s="22" t="n">
        <x:v>28.91</x:v>
      </x:c>
      <x:c r="O30" s="22" t="n">
        <x:v>204.59837</x:v>
      </x:c>
      <x:c r="P30" s="22" t="n">
        <x:v>0.01357</x:v>
      </x:c>
      <x:c r="Q30" s="22" t="n">
        <x:v>200.00984</x:v>
      </x:c>
      <x:c r="R30" s="22" t="n">
        <x:v>0.19059</x:v>
      </x:c>
      <x:c r="S30" s="22" t="n">
        <x:v>199.99637</x:v>
      </x:c>
      <x:c r="T30" s="22" t="n">
        <x:v>0.52189</x:v>
      </x:c>
      <x:c r="U30" s="22" t="n">
        <x:v>199.99815</x:v>
      </x:c>
      <x:c r="V30" s="22" t="n">
        <x:v>-0.00185</x:v>
      </x:c>
      <x:c r="W30" s="22" t="n">
        <x:v>0.01332</x:v>
      </x:c>
      <x:c r="X30" s="22" t="n">
        <x:v>0.19059</x:v>
      </x:c>
      <x:c r="Y30" s="22" t="n">
        <x:v>0.52189</x:v>
      </x:c>
      <x:c r="Z30" s="22" t="n">
        <x:v>0.55577</x:v>
      </x:c>
      <x:c r="AA30" s="22" t="n">
        <x:v>29.95</x:v>
      </x:c>
      <x:c r="AB30" s="22" t="str">
        <x:v>Z</x:v>
      </x:c>
      <x:c r="AC30" s="22" t="n">
        <x:v>0.01617</x:v>
      </x:c>
      <x:c r="AD30" s="22" t="n">
        <x:v>70.15</x:v>
      </x:c>
      <x:c r="AE30" s="22" t="n">
        <x:v>0.034</x:v>
      </x:c>
      <x:c r="AF30" s="22" t="n">
        <x:v>59.97</x:v>
      </x:c>
      <x:c r="AG30" s="22" t="n">
        <x:v>0.18289</x:v>
      </x:c>
      <x:c r="AH30" s="22" t="n">
        <x:v>-96.42</x:v>
      </x:c>
      <x:c r="AI30" s="22" t="n">
        <x:v>0.225</x:v>
      </x:c>
      <x:c r="AJ30" s="22" t="n">
        <x:v>3.63</x:v>
      </x:c>
      <x:c r="AK30" s="22" t="n">
        <x:v>0.5253</x:v>
      </x:c>
      <x:c r="AL30" s="22" t="n">
        <x:v>156.09</x:v>
      </x:c>
      <x:c r="AM30" s="22" t="n">
        <x:v>0.704</x:v>
      </x:c>
      <x:c r="AN30" s="22" t="n">
        <x:v>3.14</x:v>
      </x:c>
      <x:c r="AO30" s="22" t="n">
        <x:v>0.55658</x:v>
      </x:c>
      <x:c r="AP30" s="22" t="n">
        <x:v>2.86</x:v>
      </x:c>
      <x:c r="AQ30" s="22" t="n">
        <x:v>0.029</x:v>
      </x:c>
      <x:c r="AR30" s="22" t="n">
        <x:v>0.3286</x:v>
      </x:c>
      <x:c r="AS30" s="22" t="n">
        <x:v>0.9438</x:v>
      </x:c>
      <x:c r="AT30" s="22" t="n">
        <x:v>1</x:v>
      </x:c>
    </x:row>
    <x:row r="31">
      <x:c r="A31" s="22" t="str">
        <x:v>GAIN_SWEEP</x:v>
      </x:c>
      <x:c r="B31" s="22" t="n">
        <x:v>6</x:v>
      </x:c>
      <x:c r="C31" s="22" t="n">
        <x:v>1</x:v>
      </x:c>
      <x:c r="D31" s="22" t="n">
        <x:v>200</x:v>
      </x:c>
      <x:c r="E31" s="22" t="n">
        <x:v>15</x:v>
      </x:c>
      <x:c r="F31" s="22" t="n">
        <x:v>218.06872</x:v>
      </x:c>
      <x:c r="G31" s="22" t="n">
        <x:v>0.16269</x:v>
      </x:c>
      <x:c r="H31" s="22" t="n">
        <x:v>22</x:v>
      </x:c>
      <x:c r="I31" s="22" t="n">
        <x:v>145.86817</x:v>
      </x:c>
      <x:c r="J31" s="22" t="n">
        <x:v>0.34106</x:v>
      </x:c>
      <x:c r="K31" s="22" t="n">
        <x:v>25.15</x:v>
      </x:c>
      <x:c r="L31" s="22" t="n">
        <x:v>200.0138</x:v>
      </x:c>
      <x:c r="M31" s="22" t="n">
        <x:v>0.57324</x:v>
      </x:c>
      <x:c r="N31" s="22" t="n">
        <x:v>30.3</x:v>
      </x:c>
      <x:c r="O31" s="22" t="n">
        <x:v>200.17714</x:v>
      </x:c>
      <x:c r="P31" s="22" t="n">
        <x:v>0.02874</x:v>
      </x:c>
      <x:c r="Q31" s="22" t="n">
        <x:v>200.01591</x:v>
      </x:c>
      <x:c r="R31" s="22" t="n">
        <x:v>0.18908</x:v>
      </x:c>
      <x:c r="S31" s="22" t="n">
        <x:v>200.0138</x:v>
      </x:c>
      <x:c r="T31" s="22" t="n">
        <x:v>0.57324</x:v>
      </x:c>
      <x:c r="U31" s="22" t="n">
        <x:v>200.01438</x:v>
      </x:c>
      <x:c r="V31" s="22" t="n">
        <x:v>0.01438</x:v>
      </x:c>
      <x:c r="W31" s="22" t="n">
        <x:v>0.02874</x:v>
      </x:c>
      <x:c r="X31" s="22" t="n">
        <x:v>0.18908</x:v>
      </x:c>
      <x:c r="Y31" s="22" t="n">
        <x:v>0.57324</x:v>
      </x:c>
      <x:c r="Z31" s="22" t="n">
        <x:v>0.60431</x:v>
      </x:c>
      <x:c r="AA31" s="22" t="n">
        <x:v>30.93</x:v>
      </x:c>
      <x:c r="AB31" s="22" t="str">
        <x:v>Z</x:v>
      </x:c>
      <x:c r="AC31" s="22" t="n">
        <x:v>0.02327</x:v>
      </x:c>
      <x:c r="AD31" s="22" t="n">
        <x:v>-119.78</x:v>
      </x:c>
      <x:c r="AE31" s="22" t="n">
        <x:v>0.053</x:v>
      </x:c>
      <x:c r="AF31" s="22" t="n">
        <x:v>68.61</x:v>
      </x:c>
      <x:c r="AG31" s="22" t="n">
        <x:v>0.20091</x:v>
      </x:c>
      <x:c r="AH31" s="22" t="n">
        <x:v>-105.15</x:v>
      </x:c>
      <x:c r="AI31" s="22" t="n">
        <x:v>0.24</x:v>
      </x:c>
      <x:c r="AJ31" s="22" t="n">
        <x:v>4.56</x:v>
      </x:c>
      <x:c r="AK31" s="22" t="n">
        <x:v>0.58172</x:v>
      </x:c>
      <x:c r="AL31" s="22" t="n">
        <x:v>154.86</x:v>
      </x:c>
      <x:c r="AM31" s="22" t="n">
        <x:v>0.772</x:v>
      </x:c>
      <x:c r="AN31" s="22" t="n">
        <x:v>3.37</x:v>
      </x:c>
      <x:c r="AO31" s="22" t="n">
        <x:v>0.61603</x:v>
      </x:c>
      <x:c r="AP31" s="22" t="n">
        <x:v>3.58</x:v>
      </x:c>
      <x:c r="AQ31" s="22" t="n">
        <x:v>0.0378</x:v>
      </x:c>
      <x:c r="AR31" s="22" t="n">
        <x:v>0.3261</x:v>
      </x:c>
      <x:c r="AS31" s="22" t="n">
        <x:v>0.9443</x:v>
      </x:c>
      <x:c r="AT31" s="22" t="n">
        <x:v>1</x:v>
      </x:c>
    </x:row>
    <x:row r="32">
      <x:c r="A32" s="22" t="str">
        <x:v>GAIN_SWEEP</x:v>
      </x:c>
      <x:c r="B32" s="22" t="n">
        <x:v>1</x:v>
      </x:c>
      <x:c r="C32" s="22" t="n">
        <x:v>1</x:v>
      </x:c>
      <x:c r="D32" s="22" t="n">
        <x:v>225</x:v>
      </x:c>
      <x:c r="E32" s="22" t="n">
        <x:v>10</x:v>
      </x:c>
      <x:c r="F32" s="22" t="n">
        <x:v>443.13389</x:v>
      </x:c>
      <x:c r="G32" s="22" t="n">
        <x:v>0.10968</x:v>
      </x:c>
      <x:c r="H32" s="22" t="n">
        <x:v>16.14</x:v>
      </x:c>
      <x:c r="I32" s="22" t="n">
        <x:v>661.07618</x:v>
      </x:c>
      <x:c r="J32" s="22" t="n">
        <x:v>0.21459</x:v>
      </x:c>
      <x:c r="K32" s="22" t="n">
        <x:v>17.08</x:v>
      </x:c>
      <x:c r="L32" s="22" t="n">
        <x:v>224.99832</x:v>
      </x:c>
      <x:c r="M32" s="22" t="n">
        <x:v>0.26858</x:v>
      </x:c>
      <x:c r="N32" s="22" t="n">
        <x:v>21.96</x:v>
      </x:c>
      <x:c r="O32" s="22" t="n">
        <x:v>218.02655</x:v>
      </x:c>
      <x:c r="P32" s="22" t="n">
        <x:v>0.08346</x:v>
      </x:c>
      <x:c r="Q32" s="22" t="n">
        <x:v>224.99128</x:v>
      </x:c>
      <x:c r="R32" s="22" t="n">
        <x:v>0.16828</x:v>
      </x:c>
      <x:c r="S32" s="22" t="n">
        <x:v>224.99832</x:v>
      </x:c>
      <x:c r="T32" s="22" t="n">
        <x:v>0.26858</x:v>
      </x:c>
      <x:c r="U32" s="22" t="n">
        <x:v>224.99563</x:v>
      </x:c>
      <x:c r="V32" s="22" t="n">
        <x:v>-0.00437</x:v>
      </x:c>
      <x:c r="W32" s="22" t="n">
        <x:v>0.02262</x:v>
      </x:c>
      <x:c r="X32" s="22" t="n">
        <x:v>0.16828</x:v>
      </x:c>
      <x:c r="Y32" s="22" t="n">
        <x:v>0.26858</x:v>
      </x:c>
      <x:c r="Z32" s="22" t="n">
        <x:v>0.31775</x:v>
      </x:c>
      <x:c r="AA32" s="22" t="n">
        <x:v>12.64</x:v>
      </x:c>
      <x:c r="AB32" s="22" t="str">
        <x:v>Z</x:v>
      </x:c>
      <x:c r="AC32" s="22" t="n">
        <x:v>0.02912</x:v>
      </x:c>
      <x:c r="AD32" s="22" t="n">
        <x:v>5.31</x:v>
      </x:c>
      <x:c r="AE32" s="22" t="n">
        <x:v>0.061</x:v>
      </x:c>
      <x:c r="AF32" s="22" t="n">
        <x:v>36.82</x:v>
      </x:c>
      <x:c r="AG32" s="22" t="n">
        <x:v>0.17226</x:v>
      </x:c>
      <x:c r="AH32" s="22" t="n">
        <x:v>-98.99</x:v>
      </x:c>
      <x:c r="AI32" s="22" t="n">
        <x:v>0.19</x:v>
      </x:c>
      <x:c r="AJ32" s="22" t="n">
        <x:v>11.79</x:v>
      </x:c>
      <x:c r="AK32" s="22" t="n">
        <x:v>0.25462</x:v>
      </x:c>
      <x:c r="AL32" s="22" t="n">
        <x:v>150.3</x:v>
      </x:c>
      <x:c r="AM32" s="22" t="n">
        <x:v>0.445</x:v>
      </x:c>
      <x:c r="AN32" s="22" t="n">
        <x:v>6.71</x:v>
      </x:c>
      <x:c r="AO32" s="22" t="n">
        <x:v>0.30934</x:v>
      </x:c>
      <x:c r="AP32" s="22" t="n">
        <x:v>6.45</x:v>
      </x:c>
      <x:c r="AQ32" s="22" t="n">
        <x:v>0.0941</x:v>
      </x:c>
      <x:c r="AR32" s="22" t="n">
        <x:v>0.5569</x:v>
      </x:c>
      <x:c r="AS32" s="22" t="n">
        <x:v>0.8231</x:v>
      </x:c>
      <x:c r="AT32" s="22" t="n">
        <x:v>1</x:v>
      </x:c>
    </x:row>
    <x:row r="33">
      <x:c r="A33" s="22" t="str">
        <x:v>GAIN_SWEEP</x:v>
      </x:c>
      <x:c r="B33" s="22" t="n">
        <x:v>2</x:v>
      </x:c>
      <x:c r="C33" s="22" t="n">
        <x:v>1</x:v>
      </x:c>
      <x:c r="D33" s="22" t="n">
        <x:v>225</x:v>
      </x:c>
      <x:c r="E33" s="22" t="n">
        <x:v>11</x:v>
      </x:c>
      <x:c r="F33" s="22" t="n">
        <x:v>456.81069</x:v>
      </x:c>
      <x:c r="G33" s="22" t="n">
        <x:v>0.12037</x:v>
      </x:c>
      <x:c r="H33" s="22" t="n">
        <x:v>17.7</x:v>
      </x:c>
      <x:c r="I33" s="22" t="n">
        <x:v>225.01946</x:v>
      </x:c>
      <x:c r="J33" s="22" t="n">
        <x:v>0.20025</x:v>
      </x:c>
      <x:c r="K33" s="22" t="n">
        <x:v>17.01</x:v>
      </x:c>
      <x:c r="L33" s="22" t="n">
        <x:v>224.98489</x:v>
      </x:c>
      <x:c r="M33" s="22" t="n">
        <x:v>0.30165</x:v>
      </x:c>
      <x:c r="N33" s="22" t="n">
        <x:v>23.15</x:v>
      </x:c>
      <x:c r="O33" s="22" t="n">
        <x:v>218.19462</x:v>
      </x:c>
      <x:c r="P33" s="22" t="n">
        <x:v>0.05244</x:v>
      </x:c>
      <x:c r="Q33" s="22" t="n">
        <x:v>225.01946</x:v>
      </x:c>
      <x:c r="R33" s="22" t="n">
        <x:v>0.20025</x:v>
      </x:c>
      <x:c r="S33" s="22" t="n">
        <x:v>224.98489</x:v>
      </x:c>
      <x:c r="T33" s="22" t="n">
        <x:v>0.30165</x:v>
      </x:c>
      <x:c r="U33" s="22" t="n">
        <x:v>224.99584</x:v>
      </x:c>
      <x:c r="V33" s="22" t="n">
        <x:v>-0.00416</x:v>
      </x:c>
      <x:c r="W33" s="22" t="n">
        <x:v>0.03411</x:v>
      </x:c>
      <x:c r="X33" s="22" t="n">
        <x:v>0.20025</x:v>
      </x:c>
      <x:c r="Y33" s="22" t="n">
        <x:v>0.30165</x:v>
      </x:c>
      <x:c r="Z33" s="22" t="n">
        <x:v>0.36367</x:v>
      </x:c>
      <x:c r="AA33" s="22" t="n">
        <x:v>17.04</x:v>
      </x:c>
      <x:c r="AB33" s="22" t="str">
        <x:v>Z</x:v>
      </x:c>
      <x:c r="AC33" s="22" t="n">
        <x:v>0.03431</x:v>
      </x:c>
      <x:c r="AD33" s="22" t="n">
        <x:v>7.05</x:v>
      </x:c>
      <x:c r="AE33" s="22" t="n">
        <x:v>0.078</x:v>
      </x:c>
      <x:c r="AF33" s="22" t="n">
        <x:v>23.69</x:v>
      </x:c>
      <x:c r="AG33" s="22" t="n">
        <x:v>0.21817</x:v>
      </x:c>
      <x:c r="AH33" s="22" t="n">
        <x:v>-98.54</x:v>
      </x:c>
      <x:c r="AI33" s="22" t="n">
        <x:v>0.251</x:v>
      </x:c>
      <x:c r="AJ33" s="22" t="n">
        <x:v>12.23</x:v>
      </x:c>
      <x:c r="AK33" s="22" t="n">
        <x:v>0.29637</x:v>
      </x:c>
      <x:c r="AL33" s="22" t="n">
        <x:v>148.64</x:v>
      </x:c>
      <x:c r="AM33" s="22" t="n">
        <x:v>0.503</x:v>
      </x:c>
      <x:c r="AN33" s="22" t="n">
        <x:v>5.14</x:v>
      </x:c>
      <x:c r="AO33" s="22" t="n">
        <x:v>0.37023</x:v>
      </x:c>
      <x:c r="AP33" s="22" t="n">
        <x:v>5.66</x:v>
      </x:c>
      <x:c r="AQ33" s="22" t="n">
        <x:v>0.0927</x:v>
      </x:c>
      <x:c r="AR33" s="22" t="n">
        <x:v>0.5893</x:v>
      </x:c>
      <x:c r="AS33" s="22" t="n">
        <x:v>0.8005</x:v>
      </x:c>
      <x:c r="AT33" s="22" t="n">
        <x:v>1</x:v>
      </x:c>
    </x:row>
    <x:row r="34">
      <x:c r="A34" s="22" t="str">
        <x:v>GAIN_SWEEP</x:v>
      </x:c>
      <x:c r="B34" s="22" t="n">
        <x:v>3</x:v>
      </x:c>
      <x:c r="C34" s="22" t="n">
        <x:v>1</x:v>
      </x:c>
      <x:c r="D34" s="22" t="n">
        <x:v>225</x:v>
      </x:c>
      <x:c r="E34" s="22" t="n">
        <x:v>12</x:v>
      </x:c>
      <x:c r="F34" s="22" t="n">
        <x:v>689.11793</x:v>
      </x:c>
      <x:c r="G34" s="22" t="n">
        <x:v>0.13065</x:v>
      </x:c>
      <x:c r="H34" s="22" t="n">
        <x:v>17.8</x:v>
      </x:c>
      <x:c r="I34" s="22" t="n">
        <x:v>225.00716</x:v>
      </x:c>
      <x:c r="J34" s="22" t="n">
        <x:v>0.22084</x:v>
      </x:c>
      <x:c r="K34" s="22" t="n">
        <x:v>17.23</x:v>
      </x:c>
      <x:c r="L34" s="22" t="n">
        <x:v>224.99115</x:v>
      </x:c>
      <x:c r="M34" s="22" t="n">
        <x:v>0.32912</x:v>
      </x:c>
      <x:c r="N34" s="22" t="n">
        <x:v>24.17</x:v>
      </x:c>
      <x:c r="O34" s="22" t="n">
        <x:v>217.863</x:v>
      </x:c>
      <x:c r="P34" s="22" t="n">
        <x:v>0.07215</x:v>
      </x:c>
      <x:c r="Q34" s="22" t="n">
        <x:v>225.00716</x:v>
      </x:c>
      <x:c r="R34" s="22" t="n">
        <x:v>0.22084</x:v>
      </x:c>
      <x:c r="S34" s="22" t="n">
        <x:v>224.99115</x:v>
      </x:c>
      <x:c r="T34" s="22" t="n">
        <x:v>0.32912</x:v>
      </x:c>
      <x:c r="U34" s="22" t="n">
        <x:v>224.99715</x:v>
      </x:c>
      <x:c r="V34" s="22" t="n">
        <x:v>-0.00285</x:v>
      </x:c>
      <x:c r="W34" s="22" t="n">
        <x:v>0.03301</x:v>
      </x:c>
      <x:c r="X34" s="22" t="n">
        <x:v>0.22084</x:v>
      </x:c>
      <x:c r="Y34" s="22" t="n">
        <x:v>0.32912</x:v>
      </x:c>
      <x:c r="Z34" s="22" t="n">
        <x:v>0.39772</x:v>
      </x:c>
      <x:c r="AA34" s="22" t="n">
        <x:v>16.92</x:v>
      </x:c>
      <x:c r="AB34" s="22" t="str">
        <x:v>Z</x:v>
      </x:c>
      <x:c r="AC34" s="22" t="n">
        <x:v>0.03503</x:v>
      </x:c>
      <x:c r="AD34" s="22" t="n">
        <x:v>6.87</x:v>
      </x:c>
      <x:c r="AE34" s="22" t="n">
        <x:v>0.073</x:v>
      </x:c>
      <x:c r="AF34" s="22" t="n">
        <x:v>25.11</x:v>
      </x:c>
      <x:c r="AG34" s="22" t="n">
        <x:v>0.21998</x:v>
      </x:c>
      <x:c r="AH34" s="22" t="n">
        <x:v>-98.15</x:v>
      </x:c>
      <x:c r="AI34" s="22" t="n">
        <x:v>0.238</x:v>
      </x:c>
      <x:c r="AJ34" s="22" t="n">
        <x:v>14.39</x:v>
      </x:c>
      <x:c r="AK34" s="22" t="n">
        <x:v>0.33806</x:v>
      </x:c>
      <x:c r="AL34" s="22" t="n">
        <x:v>149.52</x:v>
      </x:c>
      <x:c r="AM34" s="22" t="n">
        <x:v>0.553</x:v>
      </x:c>
      <x:c r="AN34" s="22" t="n">
        <x:v>5.81</x:v>
      </x:c>
      <x:c r="AO34" s="22" t="n">
        <x:v>0.40602</x:v>
      </x:c>
      <x:c r="AP34" s="22" t="n">
        <x:v>4.11</x:v>
      </x:c>
      <x:c r="AQ34" s="22" t="n">
        <x:v>0.0863</x:v>
      </x:c>
      <x:c r="AR34" s="22" t="n">
        <x:v>0.5418</x:v>
      </x:c>
      <x:c r="AS34" s="22" t="n">
        <x:v>0.8326</x:v>
      </x:c>
      <x:c r="AT34" s="22" t="n">
        <x:v>1</x:v>
      </x:c>
    </x:row>
    <x:row r="35">
      <x:c r="A35" s="22" t="str">
        <x:v>GAIN_SWEEP</x:v>
      </x:c>
      <x:c r="B35" s="22" t="n">
        <x:v>4</x:v>
      </x:c>
      <x:c r="C35" s="22" t="n">
        <x:v>1</x:v>
      </x:c>
      <x:c r="D35" s="22" t="n">
        <x:v>225</x:v>
      </x:c>
      <x:c r="E35" s="22" t="n">
        <x:v>13</x:v>
      </x:c>
      <x:c r="F35" s="22" t="n">
        <x:v>689.15683</x:v>
      </x:c>
      <x:c r="G35" s="22" t="n">
        <x:v>0.12067</x:v>
      </x:c>
      <x:c r="H35" s="22" t="n">
        <x:v>17.42</x:v>
      </x:c>
      <x:c r="I35" s="22" t="n">
        <x:v>271.40303</x:v>
      </x:c>
      <x:c r="J35" s="22" t="n">
        <x:v>0.30288</x:v>
      </x:c>
      <x:c r="K35" s="22" t="n">
        <x:v>19.87</x:v>
      </x:c>
      <x:c r="L35" s="22" t="n">
        <x:v>225.01706</x:v>
      </x:c>
      <x:c r="M35" s="22" t="n">
        <x:v>0.36659</x:v>
      </x:c>
      <x:c r="N35" s="22" t="n">
        <x:v>24.71</x:v>
      </x:c>
      <x:c r="O35" s="22" t="n">
        <x:v>217.75862</x:v>
      </x:c>
      <x:c r="P35" s="22" t="n">
        <x:v>0.05809</x:v>
      </x:c>
      <x:c r="Q35" s="22" t="n">
        <x:v>225.01237</x:v>
      </x:c>
      <x:c r="R35" s="22" t="n">
        <x:v>0.2396</x:v>
      </x:c>
      <x:c r="S35" s="22" t="n">
        <x:v>225.01706</x:v>
      </x:c>
      <x:c r="T35" s="22" t="n">
        <x:v>0.36659</x:v>
      </x:c>
      <x:c r="U35" s="22" t="n">
        <x:v>225.01591</x:v>
      </x:c>
      <x:c r="V35" s="22" t="n">
        <x:v>0.01591</x:v>
      </x:c>
      <x:c r="W35" s="22" t="n">
        <x:v>0.0343</x:v>
      </x:c>
      <x:c r="X35" s="22" t="n">
        <x:v>0.2396</x:v>
      </x:c>
      <x:c r="Y35" s="22" t="n">
        <x:v>0.36659</x:v>
      </x:c>
      <x:c r="Z35" s="22" t="n">
        <x:v>0.43929</x:v>
      </x:c>
      <x:c r="AA35" s="22" t="n">
        <x:v>18.56</x:v>
      </x:c>
      <x:c r="AB35" s="22" t="str">
        <x:v>Z</x:v>
      </x:c>
      <x:c r="AC35" s="22" t="n">
        <x:v>0.03017</x:v>
      </x:c>
      <x:c r="AD35" s="22" t="n">
        <x:v>10.58</x:v>
      </x:c>
      <x:c r="AE35" s="22" t="n">
        <x:v>0.069</x:v>
      </x:c>
      <x:c r="AF35" s="22" t="n">
        <x:v>54.34</x:v>
      </x:c>
      <x:c r="AG35" s="22" t="n">
        <x:v>0.24237</x:v>
      </x:c>
      <x:c r="AH35" s="22" t="n">
        <x:v>-97.85</x:v>
      </x:c>
      <x:c r="AI35" s="22" t="n">
        <x:v>0.258</x:v>
      </x:c>
      <x:c r="AJ35" s="22" t="n">
        <x:v>8.07</x:v>
      </x:c>
      <x:c r="AK35" s="22" t="n">
        <x:v>0.36402</x:v>
      </x:c>
      <x:c r="AL35" s="22" t="n">
        <x:v>145.84</x:v>
      </x:c>
      <x:c r="AM35" s="22" t="n">
        <x:v>0.593</x:v>
      </x:c>
      <x:c r="AN35" s="22" t="n">
        <x:v>7.11</x:v>
      </x:c>
      <x:c r="AO35" s="22" t="n">
        <x:v>0.43918</x:v>
      </x:c>
      <x:c r="AP35" s="22" t="n">
        <x:v>4.7</x:v>
      </x:c>
      <x:c r="AQ35" s="22" t="n">
        <x:v>0.0687</x:v>
      </x:c>
      <x:c r="AR35" s="22" t="n">
        <x:v>0.5519</x:v>
      </x:c>
      <x:c r="AS35" s="22" t="n">
        <x:v>0.8289</x:v>
      </x:c>
      <x:c r="AT35" s="22" t="n">
        <x:v>1</x:v>
      </x:c>
    </x:row>
    <x:row r="36">
      <x:c r="A36" s="22" t="str">
        <x:v>GAIN_SWEEP</x:v>
      </x:c>
      <x:c r="B36" s="22" t="n">
        <x:v>5</x:v>
      </x:c>
      <x:c r="C36" s="22" t="n">
        <x:v>1</x:v>
      </x:c>
      <x:c r="D36" s="22" t="n">
        <x:v>225</x:v>
      </x:c>
      <x:c r="E36" s="22" t="n">
        <x:v>14</x:v>
      </x:c>
      <x:c r="F36" s="22" t="n">
        <x:v>689.04717</x:v>
      </x:c>
      <x:c r="G36" s="22" t="n">
        <x:v>0.15444</x:v>
      </x:c>
      <x:c r="H36" s="22" t="n">
        <x:v>19.22</x:v>
      </x:c>
      <x:c r="I36" s="22" t="n">
        <x:v>224.95165</x:v>
      </x:c>
      <x:c r="J36" s="22" t="n">
        <x:v>0.26094</x:v>
      </x:c>
      <x:c r="K36" s="22" t="n">
        <x:v>19.15</x:v>
      </x:c>
      <x:c r="L36" s="22" t="n">
        <x:v>224.97173</x:v>
      </x:c>
      <x:c r="M36" s="22" t="n">
        <x:v>0.40556</x:v>
      </x:c>
      <x:c r="N36" s="22" t="n">
        <x:v>25.62</x:v>
      </x:c>
      <x:c r="O36" s="22" t="n">
        <x:v>217.94544</x:v>
      </x:c>
      <x:c r="P36" s="22" t="n">
        <x:v>0.07097</x:v>
      </x:c>
      <x:c r="Q36" s="22" t="n">
        <x:v>224.95165</x:v>
      </x:c>
      <x:c r="R36" s="22" t="n">
        <x:v>0.26094</x:v>
      </x:c>
      <x:c r="S36" s="22" t="n">
        <x:v>224.97173</x:v>
      </x:c>
      <x:c r="T36" s="22" t="n">
        <x:v>0.40556</x:v>
      </x:c>
      <x:c r="U36" s="22" t="n">
        <x:v>224.96636</x:v>
      </x:c>
      <x:c r="V36" s="22" t="n">
        <x:v>-0.03364</x:v>
      </x:c>
      <x:c r="W36" s="22" t="n">
        <x:v>0.03164</x:v>
      </x:c>
      <x:c r="X36" s="22" t="n">
        <x:v>0.26094</x:v>
      </x:c>
      <x:c r="Y36" s="22" t="n">
        <x:v>0.40556</x:v>
      </x:c>
      <x:c r="Z36" s="22" t="n">
        <x:v>0.48329</x:v>
      </x:c>
      <x:c r="AA36" s="22" t="n">
        <x:v>18.07</x:v>
      </x:c>
      <x:c r="AB36" s="22" t="str">
        <x:v>Z</x:v>
      </x:c>
      <x:c r="AC36" s="22" t="n">
        <x:v>0.03888</x:v>
      </x:c>
      <x:c r="AD36" s="22" t="n">
        <x:v>-2.58</x:v>
      </x:c>
      <x:c r="AE36" s="22" t="n">
        <x:v>0.08</x:v>
      </x:c>
      <x:c r="AF36" s="22" t="n">
        <x:v>12.94</x:v>
      </x:c>
      <x:c r="AG36" s="22" t="n">
        <x:v>0.27116</x:v>
      </x:c>
      <x:c r="AH36" s="22" t="n">
        <x:v>-103.6</x:v>
      </x:c>
      <x:c r="AI36" s="22" t="n">
        <x:v>0.311</x:v>
      </x:c>
      <x:c r="AJ36" s="22" t="n">
        <x:v>10.05</x:v>
      </x:c>
      <x:c r="AK36" s="22" t="n">
        <x:v>0.39951</x:v>
      </x:c>
      <x:c r="AL36" s="22" t="n">
        <x:v>146.46</x:v>
      </x:c>
      <x:c r="AM36" s="22" t="n">
        <x:v>0.615</x:v>
      </x:c>
      <x:c r="AN36" s="22" t="n">
        <x:v>4.61</x:v>
      </x:c>
      <x:c r="AO36" s="22" t="n">
        <x:v>0.48479</x:v>
      </x:c>
      <x:c r="AP36" s="22" t="n">
        <x:v>5.21</x:v>
      </x:c>
      <x:c r="AQ36" s="22" t="n">
        <x:v>0.0802</x:v>
      </x:c>
      <x:c r="AR36" s="22" t="n">
        <x:v>0.5593</x:v>
      </x:c>
      <x:c r="AS36" s="22" t="n">
        <x:v>0.8241</x:v>
      </x:c>
      <x:c r="AT36" s="22" t="n">
        <x:v>1</x:v>
      </x:c>
    </x:row>
    <x:row r="37">
      <x:c r="A37" s="22" t="str">
        <x:v>GAIN_SWEEP</x:v>
      </x:c>
      <x:c r="B37" s="22" t="n">
        <x:v>6</x:v>
      </x:c>
      <x:c r="C37" s="22" t="n">
        <x:v>1</x:v>
      </x:c>
      <x:c r="D37" s="22" t="n">
        <x:v>225</x:v>
      </x:c>
      <x:c r="E37" s="22" t="n">
        <x:v>15</x:v>
      </x:c>
      <x:c r="F37" s="22" t="n">
        <x:v>443.16156</x:v>
      </x:c>
      <x:c r="G37" s="22" t="n">
        <x:v>0.10092</x:v>
      </x:c>
      <x:c r="H37" s="22" t="n">
        <x:v>15.55</x:v>
      </x:c>
      <x:c r="I37" s="22" t="n">
        <x:v>225.04429</x:v>
      </x:c>
      <x:c r="J37" s="22" t="n">
        <x:v>0.28576</x:v>
      </x:c>
      <x:c r="K37" s="22" t="n">
        <x:v>19.8</x:v>
      </x:c>
      <x:c r="L37" s="22" t="n">
        <x:v>225.00477</x:v>
      </x:c>
      <x:c r="M37" s="22" t="n">
        <x:v>0.4355</x:v>
      </x:c>
      <x:c r="N37" s="22" t="n">
        <x:v>26.67</x:v>
      </x:c>
      <x:c r="O37" s="22" t="n">
        <x:v>218.16852</x:v>
      </x:c>
      <x:c r="P37" s="22" t="n">
        <x:v>0.07328</x:v>
      </x:c>
      <x:c r="Q37" s="22" t="n">
        <x:v>225.04429</x:v>
      </x:c>
      <x:c r="R37" s="22" t="n">
        <x:v>0.28576</x:v>
      </x:c>
      <x:c r="S37" s="22" t="n">
        <x:v>225.00477</x:v>
      </x:c>
      <x:c r="T37" s="22" t="n">
        <x:v>0.4355</x:v>
      </x:c>
      <x:c r="U37" s="22" t="n">
        <x:v>225.01735</x:v>
      </x:c>
      <x:c r="V37" s="22" t="n">
        <x:v>0.01735</x:v>
      </x:c>
      <x:c r="W37" s="22" t="n">
        <x:v>0.04029</x:v>
      </x:c>
      <x:c r="X37" s="22" t="n">
        <x:v>0.28576</x:v>
      </x:c>
      <x:c r="Y37" s="22" t="n">
        <x:v>0.4355</x:v>
      </x:c>
      <x:c r="Z37" s="22" t="n">
        <x:v>0.52244</x:v>
      </x:c>
      <x:c r="AA37" s="22" t="n">
        <x:v>18.71</x:v>
      </x:c>
      <x:c r="AB37" s="22" t="str">
        <x:v>Z</x:v>
      </x:c>
      <x:c r="AC37" s="22" t="n">
        <x:v>0.03635</x:v>
      </x:c>
      <x:c r="AD37" s="22" t="n">
        <x:v>0.45</x:v>
      </x:c>
      <x:c r="AE37" s="22" t="n">
        <x:v>0.081</x:v>
      </x:c>
      <x:c r="AF37" s="22" t="n">
        <x:v>26.9</x:v>
      </x:c>
      <x:c r="AG37" s="22" t="n">
        <x:v>0.28218</x:v>
      </x:c>
      <x:c r="AH37" s="22" t="n">
        <x:v>-99.34</x:v>
      </x:c>
      <x:c r="AI37" s="22" t="n">
        <x:v>0.32</x:v>
      </x:c>
      <x:c r="AJ37" s="22" t="n">
        <x:v>6.52</x:v>
      </x:c>
      <x:c r="AK37" s="22" t="n">
        <x:v>0.43474</x:v>
      </x:c>
      <x:c r="AL37" s="22" t="n">
        <x:v>147.16</x:v>
      </x:c>
      <x:c r="AM37" s="22" t="n">
        <x:v>0.673</x:v>
      </x:c>
      <x:c r="AN37" s="22" t="n">
        <x:v>4.12</x:v>
      </x:c>
      <x:c r="AO37" s="22" t="n">
        <x:v>0.51993</x:v>
      </x:c>
      <x:c r="AP37" s="22" t="n">
        <x:v>3.19</x:v>
      </x:c>
      <x:c r="AQ37" s="22" t="n">
        <x:v>0.0699</x:v>
      </x:c>
      <x:c r="AR37" s="22" t="n">
        <x:v>0.5427</x:v>
      </x:c>
      <x:c r="AS37" s="22" t="n">
        <x:v>0.8362</x:v>
      </x:c>
      <x:c r="AT37" s="22" t="n">
        <x:v>1</x:v>
      </x:c>
    </x:row>
    <x:row r="38">
      <x:c r="A38" s="22" t="str">
        <x:v>GAIN_SWEEP</x:v>
      </x:c>
      <x:c r="B38" s="22" t="n">
        <x:v>1</x:v>
      </x:c>
      <x:c r="C38" s="22" t="n">
        <x:v>1</x:v>
      </x:c>
      <x:c r="D38" s="22" t="n">
        <x:v>250</x:v>
      </x:c>
      <x:c r="E38" s="22" t="n">
        <x:v>10</x:v>
      </x:c>
      <x:c r="F38" s="22" t="n">
        <x:v>167.80516</x:v>
      </x:c>
      <x:c r="G38" s="22" t="n">
        <x:v>0.25315</x:v>
      </x:c>
      <x:c r="H38" s="22" t="n">
        <x:v>23.44</x:v>
      </x:c>
      <x:c r="I38" s="22" t="n">
        <x:v>246.61231</x:v>
      </x:c>
      <x:c r="J38" s="22" t="n">
        <x:v>0.26146</x:v>
      </x:c>
      <x:c r="K38" s="22" t="n">
        <x:v>21.36</x:v>
      </x:c>
      <x:c r="L38" s="22" t="n">
        <x:v>249.98241</x:v>
      </x:c>
      <x:c r="M38" s="22" t="n">
        <x:v>0.54212</x:v>
      </x:c>
      <x:c r="N38" s="22" t="n">
        <x:v>28.59</x:v>
      </x:c>
      <x:c r="O38" s="22" t="n">
        <x:v>246.63471</x:v>
      </x:c>
      <x:c r="P38" s="22" t="n">
        <x:v>0.04873</x:v>
      </x:c>
      <x:c r="Q38" s="22" t="n">
        <x:v>246.61231</x:v>
      </x:c>
      <x:c r="R38" s="22" t="n">
        <x:v>0.26146</x:v>
      </x:c>
      <x:c r="S38" s="22" t="n">
        <x:v>249.98241</x:v>
      </x:c>
      <x:c r="T38" s="22" t="n">
        <x:v>0.54212</x:v>
      </x:c>
      <x:c r="U38" s="22" t="n">
        <x:v>249.98779</x:v>
      </x:c>
      <x:c r="V38" s="22" t="n">
        <x:v>-0.01221</x:v>
      </x:c>
      <x:c r="W38" s="22" t="n">
        <x:v>0.04657</x:v>
      </x:c>
      <x:c r="X38" s="22" t="n">
        <x:v>0.2432</x:v>
      </x:c>
      <x:c r="Y38" s="22" t="n">
        <x:v>0.54212</x:v>
      </x:c>
      <x:c r="Z38" s="22" t="n">
        <x:v>0.59599</x:v>
      </x:c>
      <x:c r="AA38" s="22" t="n">
        <x:v>24.32</x:v>
      </x:c>
      <x:c r="AB38" s="22" t="str">
        <x:v>Z</x:v>
      </x:c>
      <x:c r="AC38" s="22" t="n">
        <x:v>0.04737</x:v>
      </x:c>
      <x:c r="AD38" s="22" t="n">
        <x:v>-65.95</x:v>
      </x:c>
      <x:c r="AE38" s="22" t="n">
        <x:v>0.076</x:v>
      </x:c>
      <x:c r="AF38" s="22" t="n">
        <x:v>49.81</x:v>
      </x:c>
      <x:c r="AG38" s="22" t="n">
        <x:v>0.26909</x:v>
      </x:c>
      <x:c r="AH38" s="22" t="n">
        <x:v>-121.84</x:v>
      </x:c>
      <x:c r="AI38" s="22" t="n">
        <x:v>0.308</x:v>
      </x:c>
      <x:c r="AJ38" s="22" t="n">
        <x:v>27.91</x:v>
      </x:c>
      <x:c r="AK38" s="22" t="n">
        <x:v>0.53948</x:v>
      </x:c>
      <x:c r="AL38" s="22" t="n">
        <x:v>134.54</x:v>
      </x:c>
      <x:c r="AM38" s="22" t="n">
        <x:v>0.725</x:v>
      </x:c>
      <x:c r="AN38" s="22" t="n">
        <x:v>4.93</x:v>
      </x:c>
      <x:c r="AO38" s="22" t="n">
        <x:v>0.60838</x:v>
      </x:c>
      <x:c r="AP38" s="22" t="n">
        <x:v>6.1</x:v>
      </x:c>
      <x:c r="AQ38" s="22" t="n">
        <x:v>0.0779</x:v>
      </x:c>
      <x:c r="AR38" s="22" t="n">
        <x:v>0.4423</x:v>
      </x:c>
      <x:c r="AS38" s="22" t="n">
        <x:v>0.8868</x:v>
      </x:c>
      <x:c r="AT38" s="22" t="n">
        <x:v>1</x:v>
      </x:c>
    </x:row>
    <x:row r="39">
      <x:c r="A39" s="22" t="str">
        <x:v>GAIN_SWEEP</x:v>
      </x:c>
      <x:c r="B39" s="22" t="n">
        <x:v>2</x:v>
      </x:c>
      <x:c r="C39" s="22" t="n">
        <x:v>1</x:v>
      </x:c>
      <x:c r="D39" s="22" t="n">
        <x:v>250</x:v>
      </x:c>
      <x:c r="E39" s="22" t="n">
        <x:v>11</x:v>
      </x:c>
      <x:c r="F39" s="22" t="n">
        <x:v>332.08991</x:v>
      </x:c>
      <x:c r="G39" s="22" t="n">
        <x:v>0.28063</x:v>
      </x:c>
      <x:c r="H39" s="22" t="n">
        <x:v>25.02</x:v>
      </x:c>
      <x:c r="I39" s="22" t="n">
        <x:v>250.02973</x:v>
      </x:c>
      <x:c r="J39" s="22" t="n">
        <x:v>0.27498</x:v>
      </x:c>
      <x:c r="K39" s="22" t="n">
        <x:v>22.63</x:v>
      </x:c>
      <x:c r="L39" s="22" t="n">
        <x:v>250.00495</x:v>
      </x:c>
      <x:c r="M39" s="22" t="n">
        <x:v>0.6072</x:v>
      </x:c>
      <x:c r="N39" s="22" t="n">
        <x:v>29.72</x:v>
      </x:c>
      <x:c r="O39" s="22" t="n">
        <x:v>249.97829</x:v>
      </x:c>
      <x:c r="P39" s="22" t="n">
        <x:v>0.07607</x:v>
      </x:c>
      <x:c r="Q39" s="22" t="n">
        <x:v>250.02973</x:v>
      </x:c>
      <x:c r="R39" s="22" t="n">
        <x:v>0.27498</x:v>
      </x:c>
      <x:c r="S39" s="22" t="n">
        <x:v>250.00495</x:v>
      </x:c>
      <x:c r="T39" s="22" t="n">
        <x:v>0.6072</x:v>
      </x:c>
      <x:c r="U39" s="22" t="n">
        <x:v>250.00866</x:v>
      </x:c>
      <x:c r="V39" s="22" t="n">
        <x:v>0.00866</x:v>
      </x:c>
      <x:c r="W39" s="22" t="n">
        <x:v>0.07607</x:v>
      </x:c>
      <x:c r="X39" s="22" t="n">
        <x:v>0.27498</x:v>
      </x:c>
      <x:c r="Y39" s="22" t="n">
        <x:v>0.6072</x:v>
      </x:c>
      <x:c r="Z39" s="22" t="n">
        <x:v>0.67089</x:v>
      </x:c>
      <x:c r="AA39" s="22" t="n">
        <x:v>23.02</x:v>
      </x:c>
      <x:c r="AB39" s="22" t="str">
        <x:v>Z</x:v>
      </x:c>
      <x:c r="AC39" s="22" t="n">
        <x:v>0.07181</x:v>
      </x:c>
      <x:c r="AD39" s="22" t="n">
        <x:v>-75.73</x:v>
      </x:c>
      <x:c r="AE39" s="22" t="n">
        <x:v>0.121</x:v>
      </x:c>
      <x:c r="AF39" s="22" t="n">
        <x:v>29.74</x:v>
      </x:c>
      <x:c r="AG39" s="22" t="n">
        <x:v>0.26745</x:v>
      </x:c>
      <x:c r="AH39" s="22" t="n">
        <x:v>-126.75</x:v>
      </x:c>
      <x:c r="AI39" s="22" t="n">
        <x:v>0.33</x:v>
      </x:c>
      <x:c r="AJ39" s="22" t="n">
        <x:v>36.18</x:v>
      </x:c>
      <x:c r="AK39" s="22" t="n">
        <x:v>0.59796</x:v>
      </x:c>
      <x:c r="AL39" s="22" t="n">
        <x:v>135.23</x:v>
      </x:c>
      <x:c r="AM39" s="22" t="n">
        <x:v>0.772</x:v>
      </x:c>
      <x:c r="AN39" s="22" t="n">
        <x:v>2.32</x:v>
      </x:c>
      <x:c r="AO39" s="22" t="n">
        <x:v>0.66363</x:v>
      </x:c>
      <x:c r="AP39" s="22" t="n">
        <x:v>7.23</x:v>
      </x:c>
      <x:c r="AQ39" s="22" t="n">
        <x:v>0.1082</x:v>
      </x:c>
      <x:c r="AR39" s="22" t="n">
        <x:v>0.403</x:v>
      </x:c>
      <x:c r="AS39" s="22" t="n">
        <x:v>0.901</x:v>
      </x:c>
      <x:c r="AT39" s="22" t="n">
        <x:v>1</x:v>
      </x:c>
    </x:row>
    <x:row r="40">
      <x:c r="A40" s="22" t="str">
        <x:v>GAIN_SWEEP</x:v>
      </x:c>
      <x:c r="B40" s="22" t="n">
        <x:v>3</x:v>
      </x:c>
      <x:c r="C40" s="22" t="n">
        <x:v>1</x:v>
      </x:c>
      <x:c r="D40" s="22" t="n">
        <x:v>250</x:v>
      </x:c>
      <x:c r="E40" s="22" t="n">
        <x:v>12</x:v>
      </x:c>
      <x:c r="F40" s="22" t="n">
        <x:v>331.99701</x:v>
      </x:c>
      <x:c r="G40" s="22" t="n">
        <x:v>0.29997</x:v>
      </x:c>
      <x:c r="H40" s="22" t="n">
        <x:v>24.96</x:v>
      </x:c>
      <x:c r="I40" s="22" t="n">
        <x:v>414.03442</x:v>
      </x:c>
      <x:c r="J40" s="22" t="n">
        <x:v>0.3449</x:v>
      </x:c>
      <x:c r="K40" s="22" t="n">
        <x:v>23.13</x:v>
      </x:c>
      <x:c r="L40" s="22" t="n">
        <x:v>249.98593</x:v>
      </x:c>
      <x:c r="M40" s="22" t="n">
        <x:v>0.64232</x:v>
      </x:c>
      <x:c r="N40" s="22" t="n">
        <x:v>29.65</x:v>
      </x:c>
      <x:c r="O40" s="22" t="n">
        <x:v>250.00151</x:v>
      </x:c>
      <x:c r="P40" s="22" t="n">
        <x:v>0.06089</x:v>
      </x:c>
      <x:c r="Q40" s="22" t="n">
        <x:v>249.98944</x:v>
      </x:c>
      <x:c r="R40" s="22" t="n">
        <x:v>0.30932</x:v>
      </x:c>
      <x:c r="S40" s="22" t="n">
        <x:v>249.98593</x:v>
      </x:c>
      <x:c r="T40" s="22" t="n">
        <x:v>0.64232</x:v>
      </x:c>
      <x:c r="U40" s="22" t="n">
        <x:v>249.9867</x:v>
      </x:c>
      <x:c r="V40" s="22" t="n">
        <x:v>-0.0133</x:v>
      </x:c>
      <x:c r="W40" s="22" t="n">
        <x:v>0.06089</x:v>
      </x:c>
      <x:c r="X40" s="22" t="n">
        <x:v>0.30932</x:v>
      </x:c>
      <x:c r="Y40" s="22" t="n">
        <x:v>0.64232</x:v>
      </x:c>
      <x:c r="Z40" s="22" t="n">
        <x:v>0.71551</x:v>
      </x:c>
      <x:c r="AA40" s="22" t="n">
        <x:v>23.21</x:v>
      </x:c>
      <x:c r="AB40" s="22" t="str">
        <x:v>Z</x:v>
      </x:c>
      <x:c r="AC40" s="22" t="n">
        <x:v>0.08014</x:v>
      </x:c>
      <x:c r="AD40" s="22" t="n">
        <x:v>-81.6</x:v>
      </x:c>
      <x:c r="AE40" s="22" t="n">
        <x:v>0.132</x:v>
      </x:c>
      <x:c r="AF40" s="22" t="n">
        <x:v>39.94</x:v>
      </x:c>
      <x:c r="AG40" s="22" t="n">
        <x:v>0.29112</x:v>
      </x:c>
      <x:c r="AH40" s="22" t="n">
        <x:v>-131.6</x:v>
      </x:c>
      <x:c r="AI40" s="22" t="n">
        <x:v>0.32</x:v>
      </x:c>
      <x:c r="AJ40" s="22" t="n">
        <x:v>34.62</x:v>
      </x:c>
      <x:c r="AK40" s="22" t="n">
        <x:v>0.65061</x:v>
      </x:c>
      <x:c r="AL40" s="22" t="n">
        <x:v>133.99</x:v>
      </x:c>
      <x:c r="AM40" s="22" t="n">
        <x:v>0.778</x:v>
      </x:c>
      <x:c r="AN40" s="22" t="n">
        <x:v>3.61</x:v>
      </x:c>
      <x:c r="AO40" s="22" t="n">
        <x:v>0.72237</x:v>
      </x:c>
      <x:c r="AP40" s="22" t="n">
        <x:v>6.98</x:v>
      </x:c>
      <x:c r="AQ40" s="22" t="n">
        <x:v>0.1109</x:v>
      </x:c>
      <x:c r="AR40" s="22" t="n">
        <x:v>0.403</x:v>
      </x:c>
      <x:c r="AS40" s="22" t="n">
        <x:v>0.9007</x:v>
      </x:c>
      <x:c r="AT40" s="22" t="n">
        <x:v>1</x:v>
      </x:c>
    </x:row>
    <x:row r="41">
      <x:c r="A41" s="22" t="str">
        <x:v>GAIN_SWEEP</x:v>
      </x:c>
      <x:c r="B41" s="22" t="n">
        <x:v>4</x:v>
      </x:c>
      <x:c r="C41" s="22" t="n">
        <x:v>1</x:v>
      </x:c>
      <x:c r="D41" s="22" t="n">
        <x:v>250</x:v>
      </x:c>
      <x:c r="E41" s="22" t="n">
        <x:v>13</x:v>
      </x:c>
      <x:c r="F41" s="22" t="n">
        <x:v>167.80995</x:v>
      </x:c>
      <x:c r="G41" s="22" t="n">
        <x:v>0.2054</x:v>
      </x:c>
      <x:c r="H41" s="22" t="n">
        <x:v>22.84</x:v>
      </x:c>
      <x:c r="I41" s="22" t="n">
        <x:v>249.90292</x:v>
      </x:c>
      <x:c r="J41" s="22" t="n">
        <x:v>0.33593</x:v>
      </x:c>
      <x:c r="K41" s="22" t="n">
        <x:v>23.56</x:v>
      </x:c>
      <x:c r="L41" s="22" t="n">
        <x:v>249.99875</x:v>
      </x:c>
      <x:c r="M41" s="22" t="n">
        <x:v>0.68324</x:v>
      </x:c>
      <x:c r="N41" s="22" t="n">
        <x:v>30.06</x:v>
      </x:c>
      <x:c r="O41" s="22" t="n">
        <x:v>250.05694</x:v>
      </x:c>
      <x:c r="P41" s="22" t="n">
        <x:v>0.07228</x:v>
      </x:c>
      <x:c r="Q41" s="22" t="n">
        <x:v>249.90292</x:v>
      </x:c>
      <x:c r="R41" s="22" t="n">
        <x:v>0.33593</x:v>
      </x:c>
      <x:c r="S41" s="22" t="n">
        <x:v>249.99875</x:v>
      </x:c>
      <x:c r="T41" s="22" t="n">
        <x:v>0.68324</x:v>
      </x:c>
      <x:c r="U41" s="22" t="n">
        <x:v>249.98056</x:v>
      </x:c>
      <x:c r="V41" s="22" t="n">
        <x:v>-0.01944</x:v>
      </x:c>
      <x:c r="W41" s="22" t="n">
        <x:v>0.07228</x:v>
      </x:c>
      <x:c r="X41" s="22" t="n">
        <x:v>0.33593</x:v>
      </x:c>
      <x:c r="Y41" s="22" t="n">
        <x:v>0.68324</x:v>
      </x:c>
      <x:c r="Z41" s="22" t="n">
        <x:v>0.76478</x:v>
      </x:c>
      <x:c r="AA41" s="22" t="n">
        <x:v>24.64</x:v>
      </x:c>
      <x:c r="AB41" s="22" t="str">
        <x:v>Z</x:v>
      </x:c>
      <x:c r="AC41" s="22" t="n">
        <x:v>0.07325</x:v>
      </x:c>
      <x:c r="AD41" s="22" t="n">
        <x:v>-80.32</x:v>
      </x:c>
      <x:c r="AE41" s="22" t="n">
        <x:v>0.149</x:v>
      </x:c>
      <x:c r="AF41" s="22" t="n">
        <x:v>28.03</x:v>
      </x:c>
      <x:c r="AG41" s="22" t="n">
        <x:v>0.37631</x:v>
      </x:c>
      <x:c r="AH41" s="22" t="n">
        <x:v>-118.7</x:v>
      </x:c>
      <x:c r="AI41" s="22" t="n">
        <x:v>0.425</x:v>
      </x:c>
      <x:c r="AJ41" s="22" t="n">
        <x:v>15.24</x:v>
      </x:c>
      <x:c r="AK41" s="22" t="n">
        <x:v>0.69531</x:v>
      </x:c>
      <x:c r="AL41" s="22" t="n">
        <x:v>133.84</x:v>
      </x:c>
      <x:c r="AM41" s="22" t="n">
        <x:v>0.791</x:v>
      </x:c>
      <x:c r="AN41" s="22" t="n">
        <x:v>1.63</x:v>
      </x:c>
      <x:c r="AO41" s="22" t="n">
        <x:v>0.79558</x:v>
      </x:c>
      <x:c r="AP41" s="22" t="n">
        <x:v>3.35</x:v>
      </x:c>
      <x:c r="AQ41" s="22" t="n">
        <x:v>0.0921</x:v>
      </x:c>
      <x:c r="AR41" s="22" t="n">
        <x:v>0.473</x:v>
      </x:c>
      <x:c r="AS41" s="22" t="n">
        <x:v>0.874</x:v>
      </x:c>
      <x:c r="AT41" s="22" t="n">
        <x:v>1</x:v>
      </x:c>
    </x:row>
    <x:row r="42">
      <x:c r="A42" s="22" t="str">
        <x:v>GAIN_SWEEP</x:v>
      </x:c>
      <x:c r="B42" s="22" t="n">
        <x:v>5</x:v>
      </x:c>
      <x:c r="C42" s="22" t="n">
        <x:v>1</x:v>
      </x:c>
      <x:c r="D42" s="22" t="n">
        <x:v>250</x:v>
      </x:c>
      <x:c r="E42" s="22" t="n">
        <x:v>14</x:v>
      </x:c>
      <x:c r="F42" s="22" t="n">
        <x:v>167.7997</x:v>
      </x:c>
      <x:c r="G42" s="22" t="n">
        <x:v>0.32366</x:v>
      </x:c>
      <x:c r="H42" s="22" t="n">
        <x:v>25.07</x:v>
      </x:c>
      <x:c r="I42" s="22" t="n">
        <x:v>250.05301</x:v>
      </x:c>
      <x:c r="J42" s="22" t="n">
        <x:v>0.36164</x:v>
      </x:c>
      <x:c r="K42" s="22" t="n">
        <x:v>23.67</x:v>
      </x:c>
      <x:c r="L42" s="22" t="n">
        <x:v>249.9905</x:v>
      </x:c>
      <x:c r="M42" s="22" t="n">
        <x:v>0.74153</x:v>
      </x:c>
      <x:c r="N42" s="22" t="n">
        <x:v>30.9</x:v>
      </x:c>
      <x:c r="O42" s="22" t="n">
        <x:v>250.14033</x:v>
      </x:c>
      <x:c r="P42" s="22" t="n">
        <x:v>0.08008</x:v>
      </x:c>
      <x:c r="Q42" s="22" t="n">
        <x:v>250.05301</x:v>
      </x:c>
      <x:c r="R42" s="22" t="n">
        <x:v>0.36164</x:v>
      </x:c>
      <x:c r="S42" s="22" t="n">
        <x:v>249.9905</x:v>
      </x:c>
      <x:c r="T42" s="22" t="n">
        <x:v>0.74153</x:v>
      </x:c>
      <x:c r="U42" s="22" t="n">
        <x:v>250.00374</x:v>
      </x:c>
      <x:c r="V42" s="22" t="n">
        <x:v>0.00374</x:v>
      </x:c>
      <x:c r="W42" s="22" t="n">
        <x:v>0.08008</x:v>
      </x:c>
      <x:c r="X42" s="22" t="n">
        <x:v>0.36164</x:v>
      </x:c>
      <x:c r="Y42" s="22" t="n">
        <x:v>0.74153</x:v>
      </x:c>
      <x:c r="Z42" s="22" t="n">
        <x:v>0.82889</x:v>
      </x:c>
      <x:c r="AA42" s="22" t="n">
        <x:v>24.74</x:v>
      </x:c>
      <x:c r="AB42" s="22" t="str">
        <x:v>Z</x:v>
      </x:c>
      <x:c r="AC42" s="22" t="n">
        <x:v>0.08008</x:v>
      </x:c>
      <x:c r="AD42" s="22" t="n">
        <x:v>-71.83</x:v>
      </x:c>
      <x:c r="AE42" s="22" t="n">
        <x:v>0.121</x:v>
      </x:c>
      <x:c r="AF42" s="22" t="n">
        <x:v>45.74</x:v>
      </x:c>
      <x:c r="AG42" s="22" t="n">
        <x:v>0.37511</x:v>
      </x:c>
      <x:c r="AH42" s="22" t="n">
        <x:v>-121.65</x:v>
      </x:c>
      <x:c r="AI42" s="22" t="n">
        <x:v>0.398</x:v>
      </x:c>
      <x:c r="AJ42" s="22" t="n">
        <x:v>25.09</x:v>
      </x:c>
      <x:c r="AK42" s="22" t="n">
        <x:v>0.75536</x:v>
      </x:c>
      <x:c r="AL42" s="22" t="n">
        <x:v>132.71</x:v>
      </x:c>
      <x:c r="AM42" s="22" t="n">
        <x:v>0.801</x:v>
      </x:c>
      <x:c r="AN42" s="22" t="n">
        <x:v>2.02</x:v>
      </x:c>
      <x:c r="AO42" s="22" t="n">
        <x:v>0.85091</x:v>
      </x:c>
      <x:c r="AP42" s="22" t="n">
        <x:v>5.86</x:v>
      </x:c>
      <x:c r="AQ42" s="22" t="n">
        <x:v>0.0941</x:v>
      </x:c>
      <x:c r="AR42" s="22" t="n">
        <x:v>0.4408</x:v>
      </x:c>
      <x:c r="AS42" s="22" t="n">
        <x:v>0.8877</x:v>
      </x:c>
      <x:c r="AT42" s="22" t="n">
        <x:v>1</x:v>
      </x:c>
    </x:row>
    <x:row r="43">
      <x:c r="A43" s="22" t="str">
        <x:v>GAIN_SWEEP</x:v>
      </x:c>
      <x:c r="B43" s="22" t="n">
        <x:v>6</x:v>
      </x:c>
      <x:c r="C43" s="22" t="n">
        <x:v>1</x:v>
      </x:c>
      <x:c r="D43" s="22" t="n">
        <x:v>250</x:v>
      </x:c>
      <x:c r="E43" s="22" t="n">
        <x:v>15</x:v>
      </x:c>
      <x:c r="F43" s="22" t="n">
        <x:v>167.71578</x:v>
      </x:c>
      <x:c r="G43" s="22" t="n">
        <x:v>0.29487</x:v>
      </x:c>
      <x:c r="H43" s="22" t="n">
        <x:v>25.97</x:v>
      </x:c>
      <x:c r="I43" s="22" t="n">
        <x:v>249.9232</x:v>
      </x:c>
      <x:c r="J43" s="22" t="n">
        <x:v>0.41045</x:v>
      </x:c>
      <x:c r="K43" s="22" t="n">
        <x:v>25.21</x:v>
      </x:c>
      <x:c r="L43" s="22" t="n">
        <x:v>250.00126</x:v>
      </x:c>
      <x:c r="M43" s="22" t="n">
        <x:v>0.80453</x:v>
      </x:c>
      <x:c r="N43" s="22" t="n">
        <x:v>31.75</x:v>
      </x:c>
      <x:c r="O43" s="22" t="n">
        <x:v>249.98142</x:v>
      </x:c>
      <x:c r="P43" s="22" t="n">
        <x:v>0.09001</x:v>
      </x:c>
      <x:c r="Q43" s="22" t="n">
        <x:v>249.9232</x:v>
      </x:c>
      <x:c r="R43" s="22" t="n">
        <x:v>0.41045</x:v>
      </x:c>
      <x:c r="S43" s="22" t="n">
        <x:v>250.00126</x:v>
      </x:c>
      <x:c r="T43" s="22" t="n">
        <x:v>0.80453</x:v>
      </x:c>
      <x:c r="U43" s="22" t="n">
        <x:v>249.98487</x:v>
      </x:c>
      <x:c r="V43" s="22" t="n">
        <x:v>-0.01513</x:v>
      </x:c>
      <x:c r="W43" s="22" t="n">
        <x:v>0.09001</x:v>
      </x:c>
      <x:c r="X43" s="22" t="n">
        <x:v>0.41045</x:v>
      </x:c>
      <x:c r="Y43" s="22" t="n">
        <x:v>0.80453</x:v>
      </x:c>
      <x:c r="Z43" s="22" t="n">
        <x:v>0.90766</x:v>
      </x:c>
      <x:c r="AA43" s="22" t="n">
        <x:v>25.45</x:v>
      </x:c>
      <x:c r="AB43" s="22" t="str">
        <x:v>Z</x:v>
      </x:c>
      <x:c r="AC43" s="22" t="n">
        <x:v>0.0975</x:v>
      </x:c>
      <x:c r="AD43" s="22" t="n">
        <x:v>-77.7</x:v>
      </x:c>
      <x:c r="AE43" s="22" t="n">
        <x:v>0.188</x:v>
      </x:c>
      <x:c r="AF43" s="22" t="n">
        <x:v>25.17</x:v>
      </x:c>
      <x:c r="AG43" s="22" t="n">
        <x:v>0.40939</x:v>
      </x:c>
      <x:c r="AH43" s="22" t="n">
        <x:v>-122.41</x:v>
      </x:c>
      <x:c r="AI43" s="22" t="n">
        <x:v>0.459</x:v>
      </x:c>
      <x:c r="AJ43" s="22" t="n">
        <x:v>22.23</x:v>
      </x:c>
      <x:c r="AK43" s="22" t="n">
        <x:v>0.7997</x:v>
      </x:c>
      <x:c r="AL43" s="22" t="n">
        <x:v>130.13</x:v>
      </x:c>
      <x:c r="AM43" s="22" t="n">
        <x:v>0.823</x:v>
      </x:c>
      <x:c r="AN43" s="22" t="n">
        <x:v>2.67</x:v>
      </x:c>
      <x:c r="AO43" s="22" t="n">
        <x:v>0.90656</x:v>
      </x:c>
      <x:c r="AP43" s="22" t="n">
        <x:v>5.85</x:v>
      </x:c>
      <x:c r="AQ43" s="22" t="n">
        <x:v>0.1076</x:v>
      </x:c>
      <x:c r="AR43" s="22" t="n">
        <x:v>0.4516</x:v>
      </x:c>
      <x:c r="AS43" s="22" t="n">
        <x:v>0.8821</x:v>
      </x:c>
      <x:c r="AT43" s="22" t="n">
        <x:v>1</x:v>
      </x:c>
    </x:row>
    <x:row r="44">
      <x:c r="A44" s="22" t="str">
        <x:v>GAIN_SWEEP</x:v>
      </x:c>
      <x:c r="B44" s="22" t="n">
        <x:v>1</x:v>
      </x:c>
      <x:c r="C44" s="22" t="n">
        <x:v>1</x:v>
      </x:c>
      <x:c r="D44" s="22" t="n">
        <x:v>275</x:v>
      </x:c>
      <x:c r="E44" s="22" t="n">
        <x:v>10</x:v>
      </x:c>
      <x:c r="F44" s="22" t="n">
        <x:v>342.95521</x:v>
      </x:c>
      <x:c r="G44" s="22" t="n">
        <x:v>0.16959</x:v>
      </x:c>
      <x:c r="H44" s="22" t="n">
        <x:v>19.52</x:v>
      </x:c>
      <x:c r="I44" s="22" t="n">
        <x:v>274.93546</x:v>
      </x:c>
      <x:c r="J44" s="22" t="n">
        <x:v>0.30145</x:v>
      </x:c>
      <x:c r="K44" s="22" t="n">
        <x:v>19.78</x:v>
      </x:c>
      <x:c r="L44" s="22" t="n">
        <x:v>274.99333</x:v>
      </x:c>
      <x:c r="M44" s="22" t="n">
        <x:v>0.69624</x:v>
      </x:c>
      <x:c r="N44" s="22" t="n">
        <x:v>30.03</x:v>
      </x:c>
      <x:c r="O44" s="22" t="n">
        <x:v>274.983</x:v>
      </x:c>
      <x:c r="P44" s="22" t="n">
        <x:v>0.11139</x:v>
      </x:c>
      <x:c r="Q44" s="22" t="n">
        <x:v>274.93546</x:v>
      </x:c>
      <x:c r="R44" s="22" t="n">
        <x:v>0.30145</x:v>
      </x:c>
      <x:c r="S44" s="22" t="n">
        <x:v>274.99333</x:v>
      </x:c>
      <x:c r="T44" s="22" t="n">
        <x:v>0.69624</x:v>
      </x:c>
      <x:c r="U44" s="22" t="n">
        <x:v>274.98412</x:v>
      </x:c>
      <x:c r="V44" s="22" t="n">
        <x:v>-0.01588</x:v>
      </x:c>
      <x:c r="W44" s="22" t="n">
        <x:v>0.11139</x:v>
      </x:c>
      <x:c r="X44" s="22" t="n">
        <x:v>0.30145</x:v>
      </x:c>
      <x:c r="Y44" s="22" t="n">
        <x:v>0.69624</x:v>
      </x:c>
      <x:c r="Z44" s="22" t="n">
        <x:v>0.76683</x:v>
      </x:c>
      <x:c r="AA44" s="22" t="n">
        <x:v>27.64</x:v>
      </x:c>
      <x:c r="AB44" s="22" t="str">
        <x:v>Z</x:v>
      </x:c>
      <x:c r="AC44" s="22" t="n">
        <x:v>0.11984</x:v>
      </x:c>
      <x:c r="AD44" s="22" t="n">
        <x:v>-114.94</x:v>
      </x:c>
      <x:c r="AE44" s="22" t="n">
        <x:v>0.222</x:v>
      </x:c>
      <x:c r="AF44" s="22" t="n">
        <x:v>11.8</x:v>
      </x:c>
      <x:c r="AG44" s="22" t="n">
        <x:v>0.28688</x:v>
      </x:c>
      <x:c r="AH44" s="22" t="n">
        <x:v>-130.77</x:v>
      </x:c>
      <x:c r="AI44" s="22" t="n">
        <x:v>0.301</x:v>
      </x:c>
      <x:c r="AJ44" s="22" t="n">
        <x:v>10.1</x:v>
      </x:c>
      <x:c r="AK44" s="22" t="n">
        <x:v>0.67702</x:v>
      </x:c>
      <x:c r="AL44" s="22" t="n">
        <x:v>105.48</x:v>
      </x:c>
      <x:c r="AM44" s="22" t="n">
        <x:v>0.74</x:v>
      </x:c>
      <x:c r="AN44" s="22" t="n">
        <x:v>3.42</x:v>
      </x:c>
      <x:c r="AO44" s="22" t="n">
        <x:v>0.74558</x:v>
      </x:c>
      <x:c r="AP44" s="22" t="n">
        <x:v>2.97</x:v>
      </x:c>
      <x:c r="AQ44" s="22" t="n">
        <x:v>0.1607</x:v>
      </x:c>
      <x:c r="AR44" s="22" t="n">
        <x:v>0.3848</x:v>
      </x:c>
      <x:c r="AS44" s="22" t="n">
        <x:v>0.908</x:v>
      </x:c>
      <x:c r="AT44" s="22" t="n">
        <x:v>1</x:v>
      </x:c>
    </x:row>
    <x:row r="45">
      <x:c r="A45" s="22" t="str">
        <x:v>GAIN_SWEEP</x:v>
      </x:c>
      <x:c r="B45" s="22" t="n">
        <x:v>2</x:v>
      </x:c>
      <x:c r="C45" s="22" t="n">
        <x:v>1</x:v>
      </x:c>
      <x:c r="D45" s="22" t="n">
        <x:v>275</x:v>
      </x:c>
      <x:c r="E45" s="22" t="n">
        <x:v>11</x:v>
      </x:c>
      <x:c r="F45" s="22" t="n">
        <x:v>342.94304</x:v>
      </x:c>
      <x:c r="G45" s="22" t="n">
        <x:v>0.14737</x:v>
      </x:c>
      <x:c r="H45" s="22" t="n">
        <x:v>18.69</x:v>
      </x:c>
      <x:c r="I45" s="22" t="n">
        <x:v>275.00236</x:v>
      </x:c>
      <x:c r="J45" s="22" t="n">
        <x:v>0.326</x:v>
      </x:c>
      <x:c r="K45" s="22" t="n">
        <x:v>20.93</x:v>
      </x:c>
      <x:c r="L45" s="22" t="n">
        <x:v>275.00443</x:v>
      </x:c>
      <x:c r="M45" s="22" t="n">
        <x:v>0.75612</x:v>
      </x:c>
      <x:c r="N45" s="22" t="n">
        <x:v>30.44</x:v>
      </x:c>
      <x:c r="O45" s="22" t="n">
        <x:v>275.01232</x:v>
      </x:c>
      <x:c r="P45" s="22" t="n">
        <x:v>0.12622</x:v>
      </x:c>
      <x:c r="Q45" s="22" t="n">
        <x:v>275.00236</x:v>
      </x:c>
      <x:c r="R45" s="22" t="n">
        <x:v>0.326</x:v>
      </x:c>
      <x:c r="S45" s="22" t="n">
        <x:v>275.00443</x:v>
      </x:c>
      <x:c r="T45" s="22" t="n">
        <x:v>0.75612</x:v>
      </x:c>
      <x:c r="U45" s="22" t="n">
        <x:v>275.00429</x:v>
      </x:c>
      <x:c r="V45" s="22" t="n">
        <x:v>0.00429</x:v>
      </x:c>
      <x:c r="W45" s="22" t="n">
        <x:v>0.12622</x:v>
      </x:c>
      <x:c r="X45" s="22" t="n">
        <x:v>0.326</x:v>
      </x:c>
      <x:c r="Y45" s="22" t="n">
        <x:v>0.75612</x:v>
      </x:c>
      <x:c r="Z45" s="22" t="n">
        <x:v>0.83302</x:v>
      </x:c>
      <x:c r="AA45" s="22" t="n">
        <x:v>31.74</x:v>
      </x:c>
      <x:c r="AB45" s="22" t="str">
        <x:v>Z</x:v>
      </x:c>
      <x:c r="AC45" s="22" t="n">
        <x:v>0.12748</x:v>
      </x:c>
      <x:c r="AD45" s="22" t="n">
        <x:v>-122.1</x:v>
      </x:c>
      <x:c r="AE45" s="22" t="n">
        <x:v>0.256</x:v>
      </x:c>
      <x:c r="AF45" s="22" t="n">
        <x:v>6.06</x:v>
      </x:c>
      <x:c r="AG45" s="22" t="n">
        <x:v>0.3248</x:v>
      </x:c>
      <x:c r="AH45" s="22" t="n">
        <x:v>-126.2</x:v>
      </x:c>
      <x:c r="AI45" s="22" t="n">
        <x:v>0.371</x:v>
      </x:c>
      <x:c r="AJ45" s="22" t="n">
        <x:v>3.33</x:v>
      </x:c>
      <x:c r="AK45" s="22" t="n">
        <x:v>0.7784</x:v>
      </x:c>
      <x:c r="AL45" s="22" t="n">
        <x:v>103.82</x:v>
      </x:c>
      <x:c r="AM45" s="22" t="n">
        <x:v>0.793</x:v>
      </x:c>
      <x:c r="AN45" s="22" t="n">
        <x:v>2.97</x:v>
      </x:c>
      <x:c r="AO45" s="22" t="n">
        <x:v>0.8532</x:v>
      </x:c>
      <x:c r="AP45" s="22" t="n">
        <x:v>2.14</x:v>
      </x:c>
      <x:c r="AQ45" s="22" t="n">
        <x:v>0.1494</x:v>
      </x:c>
      <x:c r="AR45" s="22" t="n">
        <x:v>0.3807</x:v>
      </x:c>
      <x:c r="AS45" s="22" t="n">
        <x:v>0.9123</x:v>
      </x:c>
      <x:c r="AT45" s="22" t="n">
        <x:v>1</x:v>
      </x:c>
    </x:row>
    <x:row r="46">
      <x:c r="A46" s="22" t="str">
        <x:v>GAIN_SWEEP</x:v>
      </x:c>
      <x:c r="B46" s="22" t="n">
        <x:v>3</x:v>
      </x:c>
      <x:c r="C46" s="22" t="n">
        <x:v>1</x:v>
      </x:c>
      <x:c r="D46" s="22" t="n">
        <x:v>275</x:v>
      </x:c>
      <x:c r="E46" s="22" t="n">
        <x:v>12</x:v>
      </x:c>
      <x:c r="F46" s="22" t="n">
        <x:v>689.21994</x:v>
      </x:c>
      <x:c r="G46" s="22" t="n">
        <x:v>0.17377</x:v>
      </x:c>
      <x:c r="H46" s="22" t="n">
        <x:v>19.63</x:v>
      </x:c>
      <x:c r="I46" s="22" t="n">
        <x:v>274.98872</x:v>
      </x:c>
      <x:c r="J46" s="22" t="n">
        <x:v>0.37383</x:v>
      </x:c>
      <x:c r="K46" s="22" t="n">
        <x:v>21.95</x:v>
      </x:c>
      <x:c r="L46" s="22" t="n">
        <x:v>274.99846</x:v>
      </x:c>
      <x:c r="M46" s="22" t="n">
        <x:v>0.83412</x:v>
      </x:c>
      <x:c r="N46" s="22" t="n">
        <x:v>31.24</x:v>
      </x:c>
      <x:c r="O46" s="22" t="n">
        <x:v>275.0001</x:v>
      </x:c>
      <x:c r="P46" s="22" t="n">
        <x:v>0.14124</x:v>
      </x:c>
      <x:c r="Q46" s="22" t="n">
        <x:v>274.98872</x:v>
      </x:c>
      <x:c r="R46" s="22" t="n">
        <x:v>0.37383</x:v>
      </x:c>
      <x:c r="S46" s="22" t="n">
        <x:v>274.99846</x:v>
      </x:c>
      <x:c r="T46" s="22" t="n">
        <x:v>0.83412</x:v>
      </x:c>
      <x:c r="U46" s="22" t="n">
        <x:v>274.9969</x:v>
      </x:c>
      <x:c r="V46" s="22" t="n">
        <x:v>-0.0031</x:v>
      </x:c>
      <x:c r="W46" s="22" t="n">
        <x:v>0.14124</x:v>
      </x:c>
      <x:c r="X46" s="22" t="n">
        <x:v>0.37383</x:v>
      </x:c>
      <x:c r="Y46" s="22" t="n">
        <x:v>0.83412</x:v>
      </x:c>
      <x:c r="Z46" s="22" t="n">
        <x:v>0.92491</x:v>
      </x:c>
      <x:c r="AA46" s="22" t="n">
        <x:v>30.36</x:v>
      </x:c>
      <x:c r="AB46" s="22" t="str">
        <x:v>Z</x:v>
      </x:c>
      <x:c r="AC46" s="22" t="n">
        <x:v>0.15274</x:v>
      </x:c>
      <x:c r="AD46" s="22" t="n">
        <x:v>-119.51</x:v>
      </x:c>
      <x:c r="AE46" s="22" t="n">
        <x:v>0.285</x:v>
      </x:c>
      <x:c r="AF46" s="22" t="n">
        <x:v>4.24</x:v>
      </x:c>
      <x:c r="AG46" s="22" t="n">
        <x:v>0.3539</x:v>
      </x:c>
      <x:c r="AH46" s="22" t="n">
        <x:v>-131.08</x:v>
      </x:c>
      <x:c r="AI46" s="22" t="n">
        <x:v>0.39</x:v>
      </x:c>
      <x:c r="AJ46" s="22" t="n">
        <x:v>12.09</x:v>
      </x:c>
      <x:c r="AK46" s="22" t="n">
        <x:v>0.83416</x:v>
      </x:c>
      <x:c r="AL46" s="22" t="n">
        <x:v>103.24</x:v>
      </x:c>
      <x:c r="AM46" s="22" t="n">
        <x:v>0.799</x:v>
      </x:c>
      <x:c r="AN46" s="22" t="n">
        <x:v>2.74</x:v>
      </x:c>
      <x:c r="AO46" s="22" t="n">
        <x:v>0.91966</x:v>
      </x:c>
      <x:c r="AP46" s="22" t="n">
        <x:v>2.85</x:v>
      </x:c>
      <x:c r="AQ46" s="22" t="n">
        <x:v>0.1661</x:v>
      </x:c>
      <x:c r="AR46" s="22" t="n">
        <x:v>0.3848</x:v>
      </x:c>
      <x:c r="AS46" s="22" t="n">
        <x:v>0.907</x:v>
      </x:c>
      <x:c r="AT46" s="22" t="n">
        <x:v>1</x:v>
      </x:c>
    </x:row>
    <x:row r="47">
      <x:c r="A47" s="22" t="str">
        <x:v>GAIN_SWEEP</x:v>
      </x:c>
      <x:c r="B47" s="22" t="n">
        <x:v>4</x:v>
      </x:c>
      <x:c r="C47" s="22" t="n">
        <x:v>1</x:v>
      </x:c>
      <x:c r="D47" s="22" t="n">
        <x:v>275</x:v>
      </x:c>
      <x:c r="E47" s="22" t="n">
        <x:v>13</x:v>
      </x:c>
      <x:c r="F47" s="22" t="n">
        <x:v>275.01518</x:v>
      </x:c>
      <x:c r="G47" s="22" t="n">
        <x:v>0.16179</x:v>
      </x:c>
      <x:c r="H47" s="22" t="n">
        <x:v>19.11</x:v>
      </x:c>
      <x:c r="I47" s="22" t="n">
        <x:v>275.01887</x:v>
      </x:c>
      <x:c r="J47" s="22" t="n">
        <x:v>0.4092</x:v>
      </x:c>
      <x:c r="K47" s="22" t="n">
        <x:v>23.11</x:v>
      </x:c>
      <x:c r="L47" s="22" t="n">
        <x:v>274.99504</x:v>
      </x:c>
      <x:c r="M47" s="22" t="n">
        <x:v>0.90375</x:v>
      </x:c>
      <x:c r="N47" s="22" t="n">
        <x:v>31.68</x:v>
      </x:c>
      <x:c r="O47" s="22" t="n">
        <x:v>275.01518</x:v>
      </x:c>
      <x:c r="P47" s="22" t="n">
        <x:v>0.16179</x:v>
      </x:c>
      <x:c r="Q47" s="22" t="n">
        <x:v>275.01887</x:v>
      </x:c>
      <x:c r="R47" s="22" t="n">
        <x:v>0.4092</x:v>
      </x:c>
      <x:c r="S47" s="22" t="n">
        <x:v>274.99504</x:v>
      </x:c>
      <x:c r="T47" s="22" t="n">
        <x:v>0.90375</x:v>
      </x:c>
      <x:c r="U47" s="22" t="n">
        <x:v>274.99952</x:v>
      </x:c>
      <x:c r="V47" s="22" t="n">
        <x:v>-0.00048</x:v>
      </x:c>
      <x:c r="W47" s="22" t="n">
        <x:v>0.16179</x:v>
      </x:c>
      <x:c r="X47" s="22" t="n">
        <x:v>0.4092</x:v>
      </x:c>
      <x:c r="Y47" s="22" t="n">
        <x:v>0.90375</x:v>
      </x:c>
      <x:c r="Z47" s="22" t="n">
        <x:v>1.00518</x:v>
      </x:c>
      <x:c r="AA47" s="22" t="n">
        <x:v>31.45</x:v>
      </x:c>
      <x:c r="AB47" s="22" t="str">
        <x:v>Z</x:v>
      </x:c>
      <x:c r="AC47" s="22" t="n">
        <x:v>0.15189</x:v>
      </x:c>
      <x:c r="AD47" s="22" t="n">
        <x:v>-122.58</x:v>
      </x:c>
      <x:c r="AE47" s="22" t="n">
        <x:v>0.312</x:v>
      </x:c>
      <x:c r="AF47" s="22" t="n">
        <x:v>10.4</x:v>
      </x:c>
      <x:c r="AG47" s="22" t="n">
        <x:v>0.41263</x:v>
      </x:c>
      <x:c r="AH47" s="22" t="n">
        <x:v>-128.87</x:v>
      </x:c>
      <x:c r="AI47" s="22" t="n">
        <x:v>0.468</x:v>
      </x:c>
      <x:c r="AJ47" s="22" t="n">
        <x:v>5.53</x:v>
      </x:c>
      <x:c r="AK47" s="22" t="n">
        <x:v>0.9097</x:v>
      </x:c>
      <x:c r="AL47" s="22" t="n">
        <x:v>103.3</x:v>
      </x:c>
      <x:c r="AM47" s="22" t="n">
        <x:v>0.84</x:v>
      </x:c>
      <x:c r="AN47" s="22" t="n">
        <x:v>1.22</x:v>
      </x:c>
      <x:c r="AO47" s="22" t="n">
        <x:v>1.01068</x:v>
      </x:c>
      <x:c r="AP47" s="22" t="n">
        <x:v>1.21</x:v>
      </x:c>
      <x:c r="AQ47" s="22" t="n">
        <x:v>0.1503</x:v>
      </x:c>
      <x:c r="AR47" s="22" t="n">
        <x:v>0.4083</x:v>
      </x:c>
      <x:c r="AS47" s="22" t="n">
        <x:v>0.9001</x:v>
      </x:c>
      <x:c r="AT47" s="22" t="n">
        <x:v>1</x:v>
      </x:c>
    </x:row>
    <x:row r="48">
      <x:c r="A48" s="22" t="str">
        <x:v>GAIN_SWEEP</x:v>
      </x:c>
      <x:c r="B48" s="22" t="n">
        <x:v>5</x:v>
      </x:c>
      <x:c r="C48" s="22" t="n">
        <x:v>1</x:v>
      </x:c>
      <x:c r="D48" s="22" t="n">
        <x:v>275</x:v>
      </x:c>
      <x:c r="E48" s="22" t="n">
        <x:v>14</x:v>
      </x:c>
      <x:c r="F48" s="22" t="n">
        <x:v>274.97188</x:v>
      </x:c>
      <x:c r="G48" s="22" t="n">
        <x:v>0.17524</x:v>
      </x:c>
      <x:c r="H48" s="22" t="n">
        <x:v>19.85</x:v>
      </x:c>
      <x:c r="I48" s="22" t="n">
        <x:v>275.01532</x:v>
      </x:c>
      <x:c r="J48" s="22" t="n">
        <x:v>0.44435</x:v>
      </x:c>
      <x:c r="K48" s="22" t="n">
        <x:v>23.52</x:v>
      </x:c>
      <x:c r="L48" s="22" t="n">
        <x:v>275.0034</x:v>
      </x:c>
      <x:c r="M48" s="22" t="n">
        <x:v>0.98567</x:v>
      </x:c>
      <x:c r="N48" s="22" t="n">
        <x:v>32.42</x:v>
      </x:c>
      <x:c r="O48" s="22" t="n">
        <x:v>274.97188</x:v>
      </x:c>
      <x:c r="P48" s="22" t="n">
        <x:v>0.17524</x:v>
      </x:c>
      <x:c r="Q48" s="22" t="n">
        <x:v>275.01532</x:v>
      </x:c>
      <x:c r="R48" s="22" t="n">
        <x:v>0.44435</x:v>
      </x:c>
      <x:c r="S48" s="22" t="n">
        <x:v>275.0034</x:v>
      </x:c>
      <x:c r="T48" s="22" t="n">
        <x:v>0.98567</x:v>
      </x:c>
      <x:c r="U48" s="22" t="n">
        <x:v>275.00454</x:v>
      </x:c>
      <x:c r="V48" s="22" t="n">
        <x:v>0.00454</x:v>
      </x:c>
      <x:c r="W48" s="22" t="n">
        <x:v>0.17524</x:v>
      </x:c>
      <x:c r="X48" s="22" t="n">
        <x:v>0.44435</x:v>
      </x:c>
      <x:c r="Y48" s="22" t="n">
        <x:v>0.98567</x:v>
      </x:c>
      <x:c r="Z48" s="22" t="n">
        <x:v>1.09531</x:v>
      </x:c>
      <x:c r="AA48" s="22" t="n">
        <x:v>31.59</x:v>
      </x:c>
      <x:c r="AB48" s="22" t="str">
        <x:v>Z</x:v>
      </x:c>
      <x:c r="AC48" s="22" t="n">
        <x:v>0.17025</x:v>
      </x:c>
      <x:c r="AD48" s="22" t="n">
        <x:v>-126.58</x:v>
      </x:c>
      <x:c r="AE48" s="22" t="n">
        <x:v>0.326</x:v>
      </x:c>
      <x:c r="AF48" s="22" t="n">
        <x:v>9.56</x:v>
      </x:c>
      <x:c r="AG48" s="22" t="n">
        <x:v>0.43518</x:v>
      </x:c>
      <x:c r="AH48" s="22" t="n">
        <x:v>-128.35</x:v>
      </x:c>
      <x:c r="AI48" s="22" t="n">
        <x:v>0.467</x:v>
      </x:c>
      <x:c r="AJ48" s="22" t="n">
        <x:v>4.34</x:v>
      </x:c>
      <x:c r="AK48" s="22" t="n">
        <x:v>0.99126</x:v>
      </x:c>
      <x:c r="AL48" s="22" t="n">
        <x:v>102.74</x:v>
      </x:c>
      <x:c r="AM48" s="22" t="n">
        <x:v>0.853</x:v>
      </x:c>
      <x:c r="AN48" s="22" t="n">
        <x:v>2.12</x:v>
      </x:c>
      <x:c r="AO48" s="22" t="n">
        <x:v>1.09613</x:v>
      </x:c>
      <x:c r="AP48" s="22" t="n">
        <x:v>1.81</x:v>
      </x:c>
      <x:c r="AQ48" s="22" t="n">
        <x:v>0.1553</x:v>
      </x:c>
      <x:c r="AR48" s="22" t="n">
        <x:v>0.397</x:v>
      </x:c>
      <x:c r="AS48" s="22" t="n">
        <x:v>0.9043</x:v>
      </x:c>
      <x:c r="AT48" s="22" t="n">
        <x:v>1</x:v>
      </x:c>
    </x:row>
    <x:row r="49">
      <x:c r="A49" s="22" t="str">
        <x:v>GAIN_SWEEP</x:v>
      </x:c>
      <x:c r="B49" s="22" t="n">
        <x:v>6</x:v>
      </x:c>
      <x:c r="C49" s="22" t="n">
        <x:v>1</x:v>
      </x:c>
      <x:c r="D49" s="22" t="n">
        <x:v>275</x:v>
      </x:c>
      <x:c r="E49" s="22" t="n">
        <x:v>15</x:v>
      </x:c>
      <x:c r="F49" s="22" t="n">
        <x:v>275.00668</x:v>
      </x:c>
      <x:c r="G49" s="22" t="n">
        <x:v>0.19857</x:v>
      </x:c>
      <x:c r="H49" s="22" t="n">
        <x:v>20.55</x:v>
      </x:c>
      <x:c r="I49" s="22" t="n">
        <x:v>274.9702</x:v>
      </x:c>
      <x:c r="J49" s="22" t="n">
        <x:v>0.47487</x:v>
      </x:c>
      <x:c r="K49" s="22" t="n">
        <x:v>23.28</x:v>
      </x:c>
      <x:c r="L49" s="22" t="n">
        <x:v>275.00285</x:v>
      </x:c>
      <x:c r="M49" s="22" t="n">
        <x:v>1.05757</x:v>
      </x:c>
      <x:c r="N49" s="22" t="n">
        <x:v>32.85</x:v>
      </x:c>
      <x:c r="O49" s="22" t="n">
        <x:v>275.00668</x:v>
      </x:c>
      <x:c r="P49" s="22" t="n">
        <x:v>0.19857</x:v>
      </x:c>
      <x:c r="Q49" s="22" t="n">
        <x:v>274.9702</x:v>
      </x:c>
      <x:c r="R49" s="22" t="n">
        <x:v>0.47487</x:v>
      </x:c>
      <x:c r="S49" s="22" t="n">
        <x:v>275.00285</x:v>
      </x:c>
      <x:c r="T49" s="22" t="n">
        <x:v>1.05757</x:v>
      </x:c>
      <x:c r="U49" s="22" t="n">
        <x:v>274.99763</x:v>
      </x:c>
      <x:c r="V49" s="22" t="n">
        <x:v>-0.00237</x:v>
      </x:c>
      <x:c r="W49" s="22" t="n">
        <x:v>0.19857</x:v>
      </x:c>
      <x:c r="X49" s="22" t="n">
        <x:v>0.47487</x:v>
      </x:c>
      <x:c r="Y49" s="22" t="n">
        <x:v>1.05757</x:v>
      </x:c>
      <x:c r="Z49" s="22" t="n">
        <x:v>1.17617</x:v>
      </x:c>
      <x:c r="AA49" s="22" t="n">
        <x:v>32.79</x:v>
      </x:c>
      <x:c r="AB49" s="22" t="str">
        <x:v>Z</x:v>
      </x:c>
      <x:c r="AC49" s="22" t="n">
        <x:v>0.1935</x:v>
      </x:c>
      <x:c r="AD49" s="22" t="n">
        <x:v>-124.87</x:v>
      </x:c>
      <x:c r="AE49" s="22" t="n">
        <x:v>0.359</x:v>
      </x:c>
      <x:c r="AF49" s="22" t="n">
        <x:v>7.53</x:v>
      </x:c>
      <x:c r="AG49" s="22" t="n">
        <x:v>0.50459</x:v>
      </x:c>
      <x:c r="AH49" s="22" t="n">
        <x:v>-128.19</x:v>
      </x:c>
      <x:c r="AI49" s="22" t="n">
        <x:v>0.494</x:v>
      </x:c>
      <x:c r="AJ49" s="22" t="n">
        <x:v>11.99</x:v>
      </x:c>
      <x:c r="AK49" s="22" t="n">
        <x:v>1.0661</x:v>
      </x:c>
      <x:c r="AL49" s="22" t="n">
        <x:v>101.38</x:v>
      </x:c>
      <x:c r="AM49" s="22" t="n">
        <x:v>0.862</x:v>
      </x:c>
      <x:c r="AN49" s="22" t="n">
        <x:v>1.1</x:v>
      </x:c>
      <x:c r="AO49" s="22" t="n">
        <x:v>1.19635</x:v>
      </x:c>
      <x:c r="AP49" s="22" t="n">
        <x:v>2.25</x:v>
      </x:c>
      <x:c r="AQ49" s="22" t="n">
        <x:v>0.1617</x:v>
      </x:c>
      <x:c r="AR49" s="22" t="n">
        <x:v>0.4218</x:v>
      </x:c>
      <x:c r="AS49" s="22" t="n">
        <x:v>0.8911</x:v>
      </x:c>
      <x:c r="AT49" s="22" t="n">
        <x:v>1</x:v>
      </x:c>
    </x:row>
    <x:row r="50">
      <x:c r="A50" s="22" t="str">
        <x:v>GAIN_SWEEP</x:v>
      </x:c>
      <x:c r="B50" s="22" t="n">
        <x:v>1</x:v>
      </x:c>
      <x:c r="C50" s="22" t="n">
        <x:v>1</x:v>
      </x:c>
      <x:c r="D50" s="22" t="n">
        <x:v>300</x:v>
      </x:c>
      <x:c r="E50" s="22" t="n">
        <x:v>10</x:v>
      </x:c>
      <x:c r="F50" s="22" t="n">
        <x:v>299.98395</x:v>
      </x:c>
      <x:c r="G50" s="22" t="n">
        <x:v>0.21889</x:v>
      </x:c>
      <x:c r="H50" s="22" t="n">
        <x:v>22.48</x:v>
      </x:c>
      <x:c r="I50" s="22" t="n">
        <x:v>300.03091</x:v>
      </x:c>
      <x:c r="J50" s="22" t="n">
        <x:v>0.38978</x:v>
      </x:c>
      <x:c r="K50" s="22" t="n">
        <x:v>22.75</x:v>
      </x:c>
      <x:c r="L50" s="22" t="n">
        <x:v>300.00609</x:v>
      </x:c>
      <x:c r="M50" s="22" t="n">
        <x:v>0.61047</x:v>
      </x:c>
      <x:c r="N50" s="22" t="n">
        <x:v>29.1</x:v>
      </x:c>
      <x:c r="O50" s="22" t="n">
        <x:v>299.98395</x:v>
      </x:c>
      <x:c r="P50" s="22" t="n">
        <x:v>0.21889</x:v>
      </x:c>
      <x:c r="Q50" s="22" t="n">
        <x:v>300.03091</x:v>
      </x:c>
      <x:c r="R50" s="22" t="n">
        <x:v>0.38978</x:v>
      </x:c>
      <x:c r="S50" s="22" t="n">
        <x:v>300.00609</x:v>
      </x:c>
      <x:c r="T50" s="22" t="n">
        <x:v>0.61047</x:v>
      </x:c>
      <x:c r="U50" s="22" t="n">
        <x:v>300.01084</x:v>
      </x:c>
      <x:c r="V50" s="22" t="n">
        <x:v>0.01084</x:v>
      </x:c>
      <x:c r="W50" s="22" t="n">
        <x:v>0.21889</x:v>
      </x:c>
      <x:c r="X50" s="22" t="n">
        <x:v>0.38978</x:v>
      </x:c>
      <x:c r="Y50" s="22" t="n">
        <x:v>0.61047</x:v>
      </x:c>
      <x:c r="Z50" s="22" t="n">
        <x:v>0.75665</x:v>
      </x:c>
      <x:c r="AA50" s="22" t="n">
        <x:v>30.08</x:v>
      </x:c>
      <x:c r="AB50" s="22" t="str">
        <x:v>Z</x:v>
      </x:c>
      <x:c r="AC50" s="22" t="n">
        <x:v>0.23242</x:v>
      </x:c>
      <x:c r="AD50" s="22" t="n">
        <x:v>-168.41</x:v>
      </x:c>
      <x:c r="AE50" s="22" t="n">
        <x:v>0.412</x:v>
      </x:c>
      <x:c r="AF50" s="22" t="n">
        <x:v>7.22</x:v>
      </x:c>
      <x:c r="AG50" s="22" t="n">
        <x:v>0.3742</x:v>
      </x:c>
      <x:c r="AH50" s="22" t="n">
        <x:v>-145.04</x:v>
      </x:c>
      <x:c r="AI50" s="22" t="n">
        <x:v>0.352</x:v>
      </x:c>
      <x:c r="AJ50" s="22" t="n">
        <x:v>6.7</x:v>
      </x:c>
      <x:c r="AK50" s="22" t="n">
        <x:v>0.62642</x:v>
      </x:c>
      <x:c r="AL50" s="22" t="n">
        <x:v>61.43</x:v>
      </x:c>
      <x:c r="AM50" s="22" t="n">
        <x:v>0.73</x:v>
      </x:c>
      <x:c r="AN50" s="22" t="n">
        <x:v>3.15</x:v>
      </x:c>
      <x:c r="AO50" s="22" t="n">
        <x:v>0.76602</x:v>
      </x:c>
      <x:c r="AP50" s="22" t="n">
        <x:v>3.86</x:v>
      </x:c>
      <x:c r="AQ50" s="22" t="n">
        <x:v>0.3034</x:v>
      </x:c>
      <x:c r="AR50" s="22" t="n">
        <x:v>0.4885</x:v>
      </x:c>
      <x:c r="AS50" s="22" t="n">
        <x:v>0.8178</x:v>
      </x:c>
      <x:c r="AT50" s="22" t="n">
        <x:v>1</x:v>
      </x:c>
    </x:row>
    <x:row r="51">
      <x:c r="A51" s="22" t="str">
        <x:v>GAIN_SWEEP</x:v>
      </x:c>
      <x:c r="B51" s="22" t="n">
        <x:v>2</x:v>
      </x:c>
      <x:c r="C51" s="22" t="n">
        <x:v>1</x:v>
      </x:c>
      <x:c r="D51" s="22" t="n">
        <x:v>300</x:v>
      </x:c>
      <x:c r="E51" s="22" t="n">
        <x:v>11</x:v>
      </x:c>
      <x:c r="F51" s="22" t="n">
        <x:v>300.02582</x:v>
      </x:c>
      <x:c r="G51" s="22" t="n">
        <x:v>0.26428</x:v>
      </x:c>
      <x:c r="H51" s="22" t="n">
        <x:v>24.67</x:v>
      </x:c>
      <x:c r="I51" s="22" t="n">
        <x:v>299.98136</x:v>
      </x:c>
      <x:c r="J51" s="22" t="n">
        <x:v>0.44026</x:v>
      </x:c>
      <x:c r="K51" s="22" t="n">
        <x:v>24.9</x:v>
      </x:c>
      <x:c r="L51" s="22" t="n">
        <x:v>300.00901</x:v>
      </x:c>
      <x:c r="M51" s="22" t="n">
        <x:v>0.68859</x:v>
      </x:c>
      <x:c r="N51" s="22" t="n">
        <x:v>30.78</x:v>
      </x:c>
      <x:c r="O51" s="22" t="n">
        <x:v>300.02582</x:v>
      </x:c>
      <x:c r="P51" s="22" t="n">
        <x:v>0.26428</x:v>
      </x:c>
      <x:c r="Q51" s="22" t="n">
        <x:v>299.98136</x:v>
      </x:c>
      <x:c r="R51" s="22" t="n">
        <x:v>0.44026</x:v>
      </x:c>
      <x:c r="S51" s="22" t="n">
        <x:v>300.00901</x:v>
      </x:c>
      <x:c r="T51" s="22" t="n">
        <x:v>0.68859</x:v>
      </x:c>
      <x:c r="U51" s="22" t="n">
        <x:v>300.00336</x:v>
      </x:c>
      <x:c r="V51" s="22" t="n">
        <x:v>0.00336</x:v>
      </x:c>
      <x:c r="W51" s="22" t="n">
        <x:v>0.26428</x:v>
      </x:c>
      <x:c r="X51" s="22" t="n">
        <x:v>0.44026</x:v>
      </x:c>
      <x:c r="Y51" s="22" t="n">
        <x:v>0.68859</x:v>
      </x:c>
      <x:c r="Z51" s="22" t="n">
        <x:v>0.85897</x:v>
      </x:c>
      <x:c r="AA51" s="22" t="n">
        <x:v>31.61</x:v>
      </x:c>
      <x:c r="AB51" s="22" t="str">
        <x:v>Z</x:v>
      </x:c>
      <x:c r="AC51" s="22" t="n">
        <x:v>0.2517</x:v>
      </x:c>
      <x:c r="AD51" s="22" t="n">
        <x:v>-169.69</x:v>
      </x:c>
      <x:c r="AE51" s="22" t="n">
        <x:v>0.456</x:v>
      </x:c>
      <x:c r="AF51" s="22" t="n">
        <x:v>7.27</x:v>
      </x:c>
      <x:c r="AG51" s="22" t="n">
        <x:v>0.43632</x:v>
      </x:c>
      <x:c r="AH51" s="22" t="n">
        <x:v>-143.31</x:v>
      </x:c>
      <x:c r="AI51" s="22" t="n">
        <x:v>0.486</x:v>
      </x:c>
      <x:c r="AJ51" s="22" t="n">
        <x:v>5.32</x:v>
      </x:c>
      <x:c r="AK51" s="22" t="n">
        <x:v>0.67708</x:v>
      </x:c>
      <x:c r="AL51" s="22" t="n">
        <x:v>60.89</x:v>
      </x:c>
      <x:c r="AM51" s="22" t="n">
        <x:v>0.778</x:v>
      </x:c>
      <x:c r="AN51" s="22" t="n">
        <x:v>3</x:v>
      </x:c>
      <x:c r="AO51" s="22" t="n">
        <x:v>0.84422</x:v>
      </x:c>
      <x:c r="AP51" s="22" t="n">
        <x:v>2.93</x:v>
      </x:c>
      <x:c r="AQ51" s="22" t="n">
        <x:v>0.2981</x:v>
      </x:c>
      <x:c r="AR51" s="22" t="n">
        <x:v>0.5168</x:v>
      </x:c>
      <x:c r="AS51" s="22" t="n">
        <x:v>0.802</x:v>
      </x:c>
      <x:c r="AT51" s="22" t="n">
        <x:v>1</x:v>
      </x:c>
    </x:row>
    <x:row r="52">
      <x:c r="A52" s="22" t="str">
        <x:v>GAIN_SWEEP</x:v>
      </x:c>
      <x:c r="B52" s="22" t="n">
        <x:v>3</x:v>
      </x:c>
      <x:c r="C52" s="22" t="n">
        <x:v>1</x:v>
      </x:c>
      <x:c r="D52" s="22" t="n">
        <x:v>300</x:v>
      </x:c>
      <x:c r="E52" s="22" t="n">
        <x:v>12</x:v>
      </x:c>
      <x:c r="F52" s="22" t="n">
        <x:v>299.98409</x:v>
      </x:c>
      <x:c r="G52" s="22" t="n">
        <x:v>0.2765</x:v>
      </x:c>
      <x:c r="H52" s="22" t="n">
        <x:v>24.24</x:v>
      </x:c>
      <x:c r="I52" s="22" t="n">
        <x:v>299.9892</x:v>
      </x:c>
      <x:c r="J52" s="22" t="n">
        <x:v>0.47417</x:v>
      </x:c>
      <x:c r="K52" s="22" t="n">
        <x:v>25.36</x:v>
      </x:c>
      <x:c r="L52" s="22" t="n">
        <x:v>300.01805</x:v>
      </x:c>
      <x:c r="M52" s="22" t="n">
        <x:v>0.71982</x:v>
      </x:c>
      <x:c r="N52" s="22" t="n">
        <x:v>30.73</x:v>
      </x:c>
      <x:c r="O52" s="22" t="n">
        <x:v>299.98409</x:v>
      </x:c>
      <x:c r="P52" s="22" t="n">
        <x:v>0.2765</x:v>
      </x:c>
      <x:c r="Q52" s="22" t="n">
        <x:v>299.9892</x:v>
      </x:c>
      <x:c r="R52" s="22" t="n">
        <x:v>0.47417</x:v>
      </x:c>
      <x:c r="S52" s="22" t="n">
        <x:v>300.01805</x:v>
      </x:c>
      <x:c r="T52" s="22" t="n">
        <x:v>0.71982</x:v>
      </x:c>
      <x:c r="U52" s="22" t="n">
        <x:v>300.0069</x:v>
      </x:c>
      <x:c r="V52" s="22" t="n">
        <x:v>0.0069</x:v>
      </x:c>
      <x:c r="W52" s="22" t="n">
        <x:v>0.2765</x:v>
      </x:c>
      <x:c r="X52" s="22" t="n">
        <x:v>0.47417</x:v>
      </x:c>
      <x:c r="Y52" s="22" t="n">
        <x:v>0.71982</x:v>
      </x:c>
      <x:c r="Z52" s="22" t="n">
        <x:v>0.90523</x:v>
      </x:c>
      <x:c r="AA52" s="22" t="n">
        <x:v>33.2</x:v>
      </x:c>
      <x:c r="AB52" s="22" t="str">
        <x:v>Z</x:v>
      </x:c>
      <x:c r="AC52" s="22" t="n">
        <x:v>0.28444</x:v>
      </x:c>
      <x:c r="AD52" s="22" t="n">
        <x:v>-173.17</x:v>
      </x:c>
      <x:c r="AE52" s="22" t="n">
        <x:v>0.461</x:v>
      </x:c>
      <x:c r="AF52" s="22" t="n">
        <x:v>2.81</x:v>
      </x:c>
      <x:c r="AG52" s="22" t="n">
        <x:v>0.48143</x:v>
      </x:c>
      <x:c r="AH52" s="22" t="n">
        <x:v>-145.02</x:v>
      </x:c>
      <x:c r="AI52" s="22" t="n">
        <x:v>0.495</x:v>
      </x:c>
      <x:c r="AJ52" s="22" t="n">
        <x:v>3.16</x:v>
      </x:c>
      <x:c r="AK52" s="22" t="n">
        <x:v>0.73669</x:v>
      </x:c>
      <x:c r="AL52" s="22" t="n">
        <x:v>60.22</x:v>
      </x:c>
      <x:c r="AM52" s="22" t="n">
        <x:v>0.782</x:v>
      </x:c>
      <x:c r="AN52" s="22" t="n">
        <x:v>3.86</x:v>
      </x:c>
      <x:c r="AO52" s="22" t="n">
        <x:v>0.92513</x:v>
      </x:c>
      <x:c r="AP52" s="22" t="n">
        <x:v>2.46</x:v>
      </x:c>
      <x:c r="AQ52" s="22" t="n">
        <x:v>0.3075</x:v>
      </x:c>
      <x:c r="AR52" s="22" t="n">
        <x:v>0.5204</x:v>
      </x:c>
      <x:c r="AS52" s="22" t="n">
        <x:v>0.7963</x:v>
      </x:c>
      <x:c r="AT52" s="22" t="n">
        <x:v>1</x:v>
      </x:c>
    </x:row>
    <x:row r="53">
      <x:c r="A53" s="22" t="str">
        <x:v>GAIN_SWEEP</x:v>
      </x:c>
      <x:c r="B53" s="22" t="n">
        <x:v>4</x:v>
      </x:c>
      <x:c r="C53" s="22" t="n">
        <x:v>1</x:v>
      </x:c>
      <x:c r="D53" s="22" t="n">
        <x:v>300</x:v>
      </x:c>
      <x:c r="E53" s="22" t="n">
        <x:v>13</x:v>
      </x:c>
      <x:c r="F53" s="22" t="n">
        <x:v>299.99859</x:v>
      </x:c>
      <x:c r="G53" s="22" t="n">
        <x:v>0.28835</x:v>
      </x:c>
      <x:c r="H53" s="22" t="n">
        <x:v>25.4</x:v>
      </x:c>
      <x:c r="I53" s="22" t="n">
        <x:v>300.00932</x:v>
      </x:c>
      <x:c r="J53" s="22" t="n">
        <x:v>0.52997</x:v>
      </x:c>
      <x:c r="K53" s="22" t="n">
        <x:v>27.4</x:v>
      </x:c>
      <x:c r="L53" s="22" t="n">
        <x:v>300.00041</x:v>
      </x:c>
      <x:c r="M53" s="22" t="n">
        <x:v>0.7786</x:v>
      </x:c>
      <x:c r="N53" s="22" t="n">
        <x:v>31.49</x:v>
      </x:c>
      <x:c r="O53" s="22" t="n">
        <x:v>299.99859</x:v>
      </x:c>
      <x:c r="P53" s="22" t="n">
        <x:v>0.28835</x:v>
      </x:c>
      <x:c r="Q53" s="22" t="n">
        <x:v>300.00932</x:v>
      </x:c>
      <x:c r="R53" s="22" t="n">
        <x:v>0.52997</x:v>
      </x:c>
      <x:c r="S53" s="22" t="n">
        <x:v>300.00041</x:v>
      </x:c>
      <x:c r="T53" s="22" t="n">
        <x:v>0.7786</x:v>
      </x:c>
      <x:c r="U53" s="22" t="n">
        <x:v>300.00284</x:v>
      </x:c>
      <x:c r="V53" s="22" t="n">
        <x:v>0.00284</x:v>
      </x:c>
      <x:c r="W53" s="22" t="n">
        <x:v>0.28835</x:v>
      </x:c>
      <x:c r="X53" s="22" t="n">
        <x:v>0.52997</x:v>
      </x:c>
      <x:c r="Y53" s="22" t="n">
        <x:v>0.7786</x:v>
      </x:c>
      <x:c r="Z53" s="22" t="n">
        <x:v>0.98501</x:v>
      </x:c>
      <x:c r="AA53" s="22" t="n">
        <x:v>33.19</x:v>
      </x:c>
      <x:c r="AB53" s="22" t="str">
        <x:v>Z</x:v>
      </x:c>
      <x:c r="AC53" s="22" t="n">
        <x:v>0.31419</x:v>
      </x:c>
      <x:c r="AD53" s="22" t="n">
        <x:v>-173.55</x:v>
      </x:c>
      <x:c r="AE53" s="22" t="n">
        <x:v>0.575</x:v>
      </x:c>
      <x:c r="AF53" s="22" t="n">
        <x:v>5.08</x:v>
      </x:c>
      <x:c r="AG53" s="22" t="n">
        <x:v>0.52991</x:v>
      </x:c>
      <x:c r="AH53" s="22" t="n">
        <x:v>-145.42</x:v>
      </x:c>
      <x:c r="AI53" s="22" t="n">
        <x:v>0.563</x:v>
      </x:c>
      <x:c r="AJ53" s="22" t="n">
        <x:v>3.18</x:v>
      </x:c>
      <x:c r="AK53" s="22" t="n">
        <x:v>0.77607</x:v>
      </x:c>
      <x:c r="AL53" s="22" t="n">
        <x:v>59.25</x:v>
      </x:c>
      <x:c r="AM53" s="22" t="n">
        <x:v>0.819</x:v>
      </x:c>
      <x:c r="AN53" s="22" t="n">
        <x:v>0.96</x:v>
      </x:c>
      <x:c r="AO53" s="22" t="n">
        <x:v>0.99104</x:v>
      </x:c>
      <x:c r="AP53" s="22" t="n">
        <x:v>1.32</x:v>
      </x:c>
      <x:c r="AQ53" s="22" t="n">
        <x:v>0.317</x:v>
      </x:c>
      <x:c r="AR53" s="22" t="n">
        <x:v>0.5347</x:v>
      </x:c>
      <x:c r="AS53" s="22" t="n">
        <x:v>0.7831</x:v>
      </x:c>
      <x:c r="AT53" s="22" t="n">
        <x:v>1</x:v>
      </x:c>
    </x:row>
    <x:row r="54">
      <x:c r="A54" s="22" t="str">
        <x:v>GAIN_SWEEP</x:v>
      </x:c>
      <x:c r="B54" s="22" t="n">
        <x:v>5</x:v>
      </x:c>
      <x:c r="C54" s="22" t="n">
        <x:v>1</x:v>
      </x:c>
      <x:c r="D54" s="22" t="n">
        <x:v>300</x:v>
      </x:c>
      <x:c r="E54" s="22" t="n">
        <x:v>14</x:v>
      </x:c>
      <x:c r="F54" s="22" t="n">
        <x:v>300.0028</x:v>
      </x:c>
      <x:c r="G54" s="22" t="n">
        <x:v>0.34679</x:v>
      </x:c>
      <x:c r="H54" s="22" t="n">
        <x:v>26.29</x:v>
      </x:c>
      <x:c r="I54" s="22" t="n">
        <x:v>299.99544</x:v>
      </x:c>
      <x:c r="J54" s="22" t="n">
        <x:v>0.56215</x:v>
      </x:c>
      <x:c r="K54" s="22" t="n">
        <x:v>26.68</x:v>
      </x:c>
      <x:c r="L54" s="22" t="n">
        <x:v>299.99582</x:v>
      </x:c>
      <x:c r="M54" s="22" t="n">
        <x:v>0.83682</x:v>
      </x:c>
      <x:c r="N54" s="22" t="n">
        <x:v>31.63</x:v>
      </x:c>
      <x:c r="O54" s="22" t="n">
        <x:v>300.0028</x:v>
      </x:c>
      <x:c r="P54" s="22" t="n">
        <x:v>0.34679</x:v>
      </x:c>
      <x:c r="Q54" s="22" t="n">
        <x:v>299.99544</x:v>
      </x:c>
      <x:c r="R54" s="22" t="n">
        <x:v>0.56215</x:v>
      </x:c>
      <x:c r="S54" s="22" t="n">
        <x:v>299.99582</x:v>
      </x:c>
      <x:c r="T54" s="22" t="n">
        <x:v>0.83682</x:v>
      </x:c>
      <x:c r="U54" s="22" t="n">
        <x:v>299.99646</x:v>
      </x:c>
      <x:c r="V54" s="22" t="n">
        <x:v>-0.00354</x:v>
      </x:c>
      <x:c r="W54" s="22" t="n">
        <x:v>0.34679</x:v>
      </x:c>
      <x:c r="X54" s="22" t="n">
        <x:v>0.56215</x:v>
      </x:c>
      <x:c r="Y54" s="22" t="n">
        <x:v>0.83682</x:v>
      </x:c>
      <x:c r="Z54" s="22" t="n">
        <x:v>1.06608</x:v>
      </x:c>
      <x:c r="AA54" s="22" t="n">
        <x:v>35.04</x:v>
      </x:c>
      <x:c r="AB54" s="22" t="str">
        <x:v>Z</x:v>
      </x:c>
      <x:c r="AC54" s="22" t="n">
        <x:v>0.35319</x:v>
      </x:c>
      <x:c r="AD54" s="22" t="n">
        <x:v>-174.45</x:v>
      </x:c>
      <x:c r="AE54" s="22" t="n">
        <x:v>0.565</x:v>
      </x:c>
      <x:c r="AF54" s="22" t="n">
        <x:v>9.31</x:v>
      </x:c>
      <x:c r="AG54" s="22" t="n">
        <x:v>0.56732</x:v>
      </x:c>
      <x:c r="AH54" s="22" t="n">
        <x:v>-146.09</x:v>
      </x:c>
      <x:c r="AI54" s="22" t="n">
        <x:v>0.555</x:v>
      </x:c>
      <x:c r="AJ54" s="22" t="n">
        <x:v>4.13</x:v>
      </x:c>
      <x:c r="AK54" s="22" t="n">
        <x:v>0.83853</x:v>
      </x:c>
      <x:c r="AL54" s="22" t="n">
        <x:v>58.92</x:v>
      </x:c>
      <x:c r="AM54" s="22" t="n">
        <x:v>0.813</x:v>
      </x:c>
      <x:c r="AN54" s="22" t="n">
        <x:v>0.89</x:v>
      </x:c>
      <x:c r="AO54" s="22" t="n">
        <x:v>1.07281</x:v>
      </x:c>
      <x:c r="AP54" s="22" t="n">
        <x:v>1.25</x:v>
      </x:c>
      <x:c r="AQ54" s="22" t="n">
        <x:v>0.3292</x:v>
      </x:c>
      <x:c r="AR54" s="22" t="n">
        <x:v>0.5288</x:v>
      </x:c>
      <x:c r="AS54" s="22" t="n">
        <x:v>0.7816</x:v>
      </x:c>
      <x:c r="AT54" s="22" t="n">
        <x:v>1</x:v>
      </x:c>
    </x:row>
    <x:row r="55">
      <x:c r="A55" s="22" t="str">
        <x:v>GAIN_SWEEP</x:v>
      </x:c>
      <x:c r="B55" s="22" t="n">
        <x:v>6</x:v>
      </x:c>
      <x:c r="C55" s="22" t="n">
        <x:v>1</x:v>
      </x:c>
      <x:c r="D55" s="22" t="n">
        <x:v>300</x:v>
      </x:c>
      <x:c r="E55" s="22" t="n">
        <x:v>15</x:v>
      </x:c>
      <x:c r="F55" s="22" t="n">
        <x:v>300.00934</x:v>
      </x:c>
      <x:c r="G55" s="22" t="n">
        <x:v>0.36229</x:v>
      </x:c>
      <x:c r="H55" s="22" t="n">
        <x:v>26.86</x:v>
      </x:c>
      <x:c r="I55" s="22" t="n">
        <x:v>300.00651</x:v>
      </x:c>
      <x:c r="J55" s="22" t="n">
        <x:v>0.62205</x:v>
      </x:c>
      <x:c r="K55" s="22" t="n">
        <x:v>27.59</x:v>
      </x:c>
      <x:c r="L55" s="22" t="n">
        <x:v>300.00303</x:v>
      </x:c>
      <x:c r="M55" s="22" t="n">
        <x:v>0.87894</x:v>
      </x:c>
      <x:c r="N55" s="22" t="n">
        <x:v>32.1</x:v>
      </x:c>
      <x:c r="O55" s="22" t="n">
        <x:v>300.00934</x:v>
      </x:c>
      <x:c r="P55" s="22" t="n">
        <x:v>0.36229</x:v>
      </x:c>
      <x:c r="Q55" s="22" t="n">
        <x:v>300.00651</x:v>
      </x:c>
      <x:c r="R55" s="22" t="n">
        <x:v>0.62205</x:v>
      </x:c>
      <x:c r="S55" s="22" t="n">
        <x:v>300.00303</x:v>
      </x:c>
      <x:c r="T55" s="22" t="n">
        <x:v>0.87894</x:v>
      </x:c>
      <x:c r="U55" s="22" t="n">
        <x:v>300.00472</x:v>
      </x:c>
      <x:c r="V55" s="22" t="n">
        <x:v>0.00472</x:v>
      </x:c>
      <x:c r="W55" s="22" t="n">
        <x:v>0.36229</x:v>
      </x:c>
      <x:c r="X55" s="22" t="n">
        <x:v>0.62205</x:v>
      </x:c>
      <x:c r="Y55" s="22" t="n">
        <x:v>0.87894</x:v>
      </x:c>
      <x:c r="Z55" s="22" t="n">
        <x:v>1.13611</x:v>
      </x:c>
      <x:c r="AA55" s="22" t="n">
        <x:v>35.36</x:v>
      </x:c>
      <x:c r="AB55" s="22" t="str">
        <x:v>Z</x:v>
      </x:c>
      <x:c r="AC55" s="22" t="n">
        <x:v>0.37804</x:v>
      </x:c>
      <x:c r="AD55" s="22" t="n">
        <x:v>-177.22</x:v>
      </x:c>
      <x:c r="AE55" s="22" t="n">
        <x:v>0.606</x:v>
      </x:c>
      <x:c r="AF55" s="22" t="n">
        <x:v>6.6</x:v>
      </x:c>
      <x:c r="AG55" s="22" t="n">
        <x:v>0.63158</x:v>
      </x:c>
      <x:c r="AH55" s="22" t="n">
        <x:v>-145.46</x:v>
      </x:c>
      <x:c r="AI55" s="22" t="n">
        <x:v>0.601</x:v>
      </x:c>
      <x:c r="AJ55" s="22" t="n">
        <x:v>3.17</x:v>
      </x:c>
      <x:c r="AK55" s="22" t="n">
        <x:v>0.87515</x:v>
      </x:c>
      <x:c r="AL55" s="22" t="n">
        <x:v>57.69</x:v>
      </x:c>
      <x:c r="AM55" s="22" t="n">
        <x:v>0.831</x:v>
      </x:c>
      <x:c r="AN55" s="22" t="n">
        <x:v>1.63</x:v>
      </x:c>
      <x:c r="AO55" s="22" t="n">
        <x:v>1.1439</x:v>
      </x:c>
      <x:c r="AP55" s="22" t="n">
        <x:v>1.26</x:v>
      </x:c>
      <x:c r="AQ55" s="22" t="n">
        <x:v>0.3305</x:v>
      </x:c>
      <x:c r="AR55" s="22" t="n">
        <x:v>0.5521</x:v>
      </x:c>
      <x:c r="AS55" s="22" t="n">
        <x:v>0.7651</x:v>
      </x:c>
      <x:c r="AT55" s="22" t="n">
        <x:v>1</x:v>
      </x:c>
    </x:row>
    <x:row r="56">
      <x:c r="A56" s="22" t="str">
        <x:v>GAIN_SWEEP</x:v>
      </x:c>
      <x:c r="B56" s="22" t="n">
        <x:v>1</x:v>
      </x:c>
      <x:c r="C56" s="22" t="n">
        <x:v>1</x:v>
      </x:c>
      <x:c r="D56" s="22" t="n">
        <x:v>325</x:v>
      </x:c>
      <x:c r="E56" s="22" t="n">
        <x:v>10</x:v>
      </x:c>
      <x:c r="F56" s="22" t="n">
        <x:v>324.98172</x:v>
      </x:c>
      <x:c r="G56" s="22" t="n">
        <x:v>0.29911</x:v>
      </x:c>
      <x:c r="H56" s="22" t="n">
        <x:v>23.37</x:v>
      </x:c>
      <x:c r="I56" s="22" t="n">
        <x:v>324.98626</x:v>
      </x:c>
      <x:c r="J56" s="22" t="n">
        <x:v>0.48857</x:v>
      </x:c>
      <x:c r="K56" s="22" t="n">
        <x:v>23.39</x:v>
      </x:c>
      <x:c r="L56" s="22" t="n">
        <x:v>692.83098</x:v>
      </x:c>
      <x:c r="M56" s="22" t="n">
        <x:v>0.16054</x:v>
      </x:c>
      <x:c r="N56" s="22" t="n">
        <x:v>18.01</x:v>
      </x:c>
      <x:c r="O56" s="22" t="n">
        <x:v>324.98172</x:v>
      </x:c>
      <x:c r="P56" s="22" t="n">
        <x:v>0.29911</x:v>
      </x:c>
      <x:c r="Q56" s="22" t="n">
        <x:v>324.98626</x:v>
      </x:c>
      <x:c r="R56" s="22" t="n">
        <x:v>0.48857</x:v>
      </x:c>
      <x:c r="S56" s="22" t="n">
        <x:v>325.01361</x:v>
      </x:c>
      <x:c r="T56" s="22" t="n">
        <x:v>0.09197</x:v>
      </x:c>
      <x:c r="U56" s="22" t="n">
        <x:v>324.98574</x:v>
      </x:c>
      <x:c r="V56" s="22" t="n">
        <x:v>-0.01426</x:v>
      </x:c>
      <x:c r="W56" s="22" t="n">
        <x:v>0.29911</x:v>
      </x:c>
      <x:c r="X56" s="22" t="n">
        <x:v>0.48857</x:v>
      </x:c>
      <x:c r="Y56" s="22" t="n">
        <x:v>0.09197</x:v>
      </x:c>
      <x:c r="Z56" s="22" t="n">
        <x:v>0.5802</x:v>
      </x:c>
      <x:c r="AA56" s="22" t="n">
        <x:v>25.83</x:v>
      </x:c>
      <x:c r="AB56" s="22" t="str">
        <x:v>Y</x:v>
      </x:c>
      <x:c r="AC56" s="22" t="n">
        <x:v>0.28951</x:v>
      </x:c>
      <x:c r="AD56" s="22" t="n">
        <x:v>112.18</x:v>
      </x:c>
      <x:c r="AE56" s="22" t="n">
        <x:v>0.447</x:v>
      </x:c>
      <x:c r="AF56" s="22" t="n">
        <x:v>3.36</x:v>
      </x:c>
      <x:c r="AG56" s="22" t="n">
        <x:v>0.46616</x:v>
      </x:c>
      <x:c r="AH56" s="22" t="n">
        <x:v>-165.28</x:v>
      </x:c>
      <x:c r="AI56" s="22" t="n">
        <x:v>0.425</x:v>
      </x:c>
      <x:c r="AJ56" s="22" t="n">
        <x:v>7.04</x:v>
      </x:c>
      <x:c r="AK56" s="22" t="n">
        <x:v>0.09583</x:v>
      </x:c>
      <x:c r="AL56" s="22" t="n">
        <x:v>106.07</x:v>
      </x:c>
      <x:c r="AM56" s="22" t="n">
        <x:v>0.185</x:v>
      </x:c>
      <x:c r="AN56" s="22" t="n">
        <x:v>27.05</x:v>
      </x:c>
      <x:c r="AO56" s="22" t="n">
        <x:v>0.55811</x:v>
      </x:c>
      <x:c r="AP56" s="22" t="n">
        <x:v>3.45</x:v>
      </x:c>
      <x:c r="AQ56" s="22" t="n">
        <x:v>0.5187</x:v>
      </x:c>
      <x:c r="AR56" s="22" t="n">
        <x:v>0.8353</x:v>
      </x:c>
      <x:c r="AS56" s="22" t="n">
        <x:v>0.1717</x:v>
      </x:c>
      <x:c r="AT56" s="22" t="n">
        <x:v>1</x:v>
      </x:c>
    </x:row>
    <x:row r="57">
      <x:c r="A57" s="22" t="str">
        <x:v>GAIN_SWEEP</x:v>
      </x:c>
      <x:c r="B57" s="22" t="n">
        <x:v>2</x:v>
      </x:c>
      <x:c r="C57" s="22" t="n">
        <x:v>1</x:v>
      </x:c>
      <x:c r="D57" s="22" t="n">
        <x:v>325</x:v>
      </x:c>
      <x:c r="E57" s="22" t="n">
        <x:v>11</x:v>
      </x:c>
      <x:c r="F57" s="22" t="n">
        <x:v>325.01899</x:v>
      </x:c>
      <x:c r="G57" s="22" t="n">
        <x:v>0.32306</x:v>
      </x:c>
      <x:c r="H57" s="22" t="n">
        <x:v>24.42</x:v>
      </x:c>
      <x:c r="I57" s="22" t="n">
        <x:v>325.00492</x:v>
      </x:c>
      <x:c r="J57" s="22" t="n">
        <x:v>0.51267</x:v>
      </x:c>
      <x:c r="K57" s="22" t="n">
        <x:v>24.32</x:v>
      </x:c>
      <x:c r="L57" s="22" t="n">
        <x:v>692.74732</x:v>
      </x:c>
      <x:c r="M57" s="22" t="n">
        <x:v>0.15493</x:v>
      </x:c>
      <x:c r="N57" s="22" t="n">
        <x:v>17.74</x:v>
      </x:c>
      <x:c r="O57" s="22" t="n">
        <x:v>325.01899</x:v>
      </x:c>
      <x:c r="P57" s="22" t="n">
        <x:v>0.32306</x:v>
      </x:c>
      <x:c r="Q57" s="22" t="n">
        <x:v>325.00492</x:v>
      </x:c>
      <x:c r="R57" s="22" t="n">
        <x:v>0.51267</x:v>
      </x:c>
      <x:c r="S57" s="22" t="n">
        <x:v>324.91645</x:v>
      </x:c>
      <x:c r="T57" s="22" t="n">
        <x:v>0.10217</x:v>
      </x:c>
      <x:c r="U57" s="22" t="n">
        <x:v>325.00635</x:v>
      </x:c>
      <x:c r="V57" s="22" t="n">
        <x:v>0.00635</x:v>
      </x:c>
      <x:c r="W57" s="22" t="n">
        <x:v>0.32306</x:v>
      </x:c>
      <x:c r="X57" s="22" t="n">
        <x:v>0.51267</x:v>
      </x:c>
      <x:c r="Y57" s="22" t="n">
        <x:v>0.10217</x:v>
      </x:c>
      <x:c r="Z57" s="22" t="n">
        <x:v>0.61452</x:v>
      </x:c>
      <x:c r="AA57" s="22" t="n">
        <x:v>27.47</x:v>
      </x:c>
      <x:c r="AB57" s="22" t="str">
        <x:v>Y</x:v>
      </x:c>
      <x:c r="AC57" s="22" t="n">
        <x:v>0.32115</x:v>
      </x:c>
      <x:c r="AD57" s="22" t="n">
        <x:v>110.72</x:v>
      </x:c>
      <x:c r="AE57" s="22" t="n">
        <x:v>0.486</x:v>
      </x:c>
      <x:c r="AF57" s="22" t="n">
        <x:v>3.95</x:v>
      </x:c>
      <x:c r="AG57" s="22" t="n">
        <x:v>0.51531</x:v>
      </x:c>
      <x:c r="AH57" s="22" t="n">
        <x:v>-163.59</x:v>
      </x:c>
      <x:c r="AI57" s="22" t="n">
        <x:v>0.505</x:v>
      </x:c>
      <x:c r="AJ57" s="22" t="n">
        <x:v>5.33</x:v>
      </x:c>
      <x:c r="AK57" s="22" t="n">
        <x:v>0.11418</x:v>
      </x:c>
      <x:c r="AL57" s="22" t="n">
        <x:v>117.63</x:v>
      </x:c>
      <x:c r="AM57" s="22" t="n">
        <x:v>0.213</x:v>
      </x:c>
      <x:c r="AN57" s="22" t="n">
        <x:v>11.03</x:v>
      </x:c>
      <x:c r="AO57" s="22" t="n">
        <x:v>0.61822</x:v>
      </x:c>
      <x:c r="AP57" s="22" t="n">
        <x:v>3.52</x:v>
      </x:c>
      <x:c r="AQ57" s="22" t="n">
        <x:v>0.5195</x:v>
      </x:c>
      <x:c r="AR57" s="22" t="n">
        <x:v>0.8335</x:v>
      </x:c>
      <x:c r="AS57" s="22" t="n">
        <x:v>0.1847</x:v>
      </x:c>
      <x:c r="AT57" s="22" t="n">
        <x:v>1</x:v>
      </x:c>
    </x:row>
    <x:row r="58">
      <x:c r="A58" s="22" t="str">
        <x:v>GAIN_SWEEP</x:v>
      </x:c>
      <x:c r="B58" s="22" t="n">
        <x:v>3</x:v>
      </x:c>
      <x:c r="C58" s="22" t="n">
        <x:v>1</x:v>
      </x:c>
      <x:c r="D58" s="22" t="n">
        <x:v>325</x:v>
      </x:c>
      <x:c r="E58" s="22" t="n">
        <x:v>12</x:v>
      </x:c>
      <x:c r="F58" s="22" t="n">
        <x:v>324.99254</x:v>
      </x:c>
      <x:c r="G58" s="22" t="n">
        <x:v>0.3492</x:v>
      </x:c>
      <x:c r="H58" s="22" t="n">
        <x:v>24.84</x:v>
      </x:c>
      <x:c r="I58" s="22" t="n">
        <x:v>325.00881</x:v>
      </x:c>
      <x:c r="J58" s="22" t="n">
        <x:v>0.55566</x:v>
      </x:c>
      <x:c r="K58" s="22" t="n">
        <x:v>24.41</x:v>
      </x:c>
      <x:c r="L58" s="22" t="n">
        <x:v>692.65845</x:v>
      </x:c>
      <x:c r="M58" s="22" t="n">
        <x:v>0.16447</x:v>
      </x:c>
      <x:c r="N58" s="22" t="n">
        <x:v>17.86</x:v>
      </x:c>
      <x:c r="O58" s="22" t="n">
        <x:v>324.99254</x:v>
      </x:c>
      <x:c r="P58" s="22" t="n">
        <x:v>0.3492</x:v>
      </x:c>
      <x:c r="Q58" s="22" t="n">
        <x:v>325.00881</x:v>
      </x:c>
      <x:c r="R58" s="22" t="n">
        <x:v>0.55566</x:v>
      </x:c>
      <x:c r="S58" s="22" t="n">
        <x:v>324.935</x:v>
      </x:c>
      <x:c r="T58" s="22" t="n">
        <x:v>0.14815</x:v>
      </x:c>
      <x:c r="U58" s="22" t="n">
        <x:v>325.0008</x:v>
      </x:c>
      <x:c r="V58" s="22" t="n">
        <x:v>0.0008</x:v>
      </x:c>
      <x:c r="W58" s="22" t="n">
        <x:v>0.3492</x:v>
      </x:c>
      <x:c r="X58" s="22" t="n">
        <x:v>0.55566</x:v>
      </x:c>
      <x:c r="Y58" s="22" t="n">
        <x:v>0.14815</x:v>
      </x:c>
      <x:c r="Z58" s="22" t="n">
        <x:v>0.67279</x:v>
      </x:c>
      <x:c r="AA58" s="22" t="n">
        <x:v>29.55</x:v>
      </x:c>
      <x:c r="AB58" s="22" t="str">
        <x:v>Y</x:v>
      </x:c>
      <x:c r="AC58" s="22" t="n">
        <x:v>0.34656</x:v>
      </x:c>
      <x:c r="AD58" s="22" t="n">
        <x:v>113.02</x:v>
      </x:c>
      <x:c r="AE58" s="22" t="n">
        <x:v>0.526</x:v>
      </x:c>
      <x:c r="AF58" s="22" t="n">
        <x:v>3.95</x:v>
      </x:c>
      <x:c r="AG58" s="22" t="n">
        <x:v>0.56162</x:v>
      </x:c>
      <x:c r="AH58" s="22" t="n">
        <x:v>-165.5</x:v>
      </x:c>
      <x:c r="AI58" s="22" t="n">
        <x:v>0.541</x:v>
      </x:c>
      <x:c r="AJ58" s="22" t="n">
        <x:v>8.94</x:v>
      </x:c>
      <x:c r="AK58" s="22" t="n">
        <x:v>0.14941</x:v>
      </x:c>
      <x:c r="AL58" s="22" t="n">
        <x:v>133.07</x:v>
      </x:c>
      <x:c r="AM58" s="22" t="n">
        <x:v>0.276</x:v>
      </x:c>
      <x:c r="AN58" s="22" t="n">
        <x:v>10.65</x:v>
      </x:c>
      <x:c r="AO58" s="22" t="n">
        <x:v>0.67751</x:v>
      </x:c>
      <x:c r="AP58" s="22" t="n">
        <x:v>5.71</x:v>
      </x:c>
      <x:c r="AQ58" s="22" t="n">
        <x:v>0.5115</x:v>
      </x:c>
      <x:c r="AR58" s="22" t="n">
        <x:v>0.8289</x:v>
      </x:c>
      <x:c r="AS58" s="22" t="n">
        <x:v>0.2205</x:v>
      </x:c>
      <x:c r="AT58" s="22" t="n">
        <x:v>1</x:v>
      </x:c>
    </x:row>
    <x:row r="59">
      <x:c r="A59" s="22" t="str">
        <x:v>GAIN_SWEEP</x:v>
      </x:c>
      <x:c r="B59" s="22" t="n">
        <x:v>4</x:v>
      </x:c>
      <x:c r="C59" s="22" t="n">
        <x:v>1</x:v>
      </x:c>
      <x:c r="D59" s="22" t="n">
        <x:v>325</x:v>
      </x:c>
      <x:c r="E59" s="22" t="n">
        <x:v>13</x:v>
      </x:c>
      <x:c r="F59" s="22" t="n">
        <x:v>324.9819</x:v>
      </x:c>
      <x:c r="G59" s="22" t="n">
        <x:v>0.3791</x:v>
      </x:c>
      <x:c r="H59" s="22" t="n">
        <x:v>25.69</x:v>
      </x:c>
      <x:c r="I59" s="22" t="n">
        <x:v>324.99194</x:v>
      </x:c>
      <x:c r="J59" s="22" t="n">
        <x:v>0.60645</x:v>
      </x:c>
      <x:c r="K59" s="22" t="n">
        <x:v>25.61</x:v>
      </x:c>
      <x:c r="L59" s="22" t="n">
        <x:v>325.00149</x:v>
      </x:c>
      <x:c r="M59" s="22" t="n">
        <x:v>0.16674</x:v>
      </x:c>
      <x:c r="N59" s="22" t="n">
        <x:v>17.97</x:v>
      </x:c>
      <x:c r="O59" s="22" t="n">
        <x:v>324.9819</x:v>
      </x:c>
      <x:c r="P59" s="22" t="n">
        <x:v>0.3791</x:v>
      </x:c>
      <x:c r="Q59" s="22" t="n">
        <x:v>324.99194</x:v>
      </x:c>
      <x:c r="R59" s="22" t="n">
        <x:v>0.60645</x:v>
      </x:c>
      <x:c r="S59" s="22" t="n">
        <x:v>325.00149</x:v>
      </x:c>
      <x:c r="T59" s="22" t="n">
        <x:v>0.16674</x:v>
      </x:c>
      <x:c r="U59" s="22" t="n">
        <x:v>324.98976</x:v>
      </x:c>
      <x:c r="V59" s="22" t="n">
        <x:v>-0.01024</x:v>
      </x:c>
      <x:c r="W59" s="22" t="n">
        <x:v>0.3791</x:v>
      </x:c>
      <x:c r="X59" s="22" t="n">
        <x:v>0.60645</x:v>
      </x:c>
      <x:c r="Y59" s="22" t="n">
        <x:v>0.16674</x:v>
      </x:c>
      <x:c r="Z59" s="22" t="n">
        <x:v>0.73437</x:v>
      </x:c>
      <x:c r="AA59" s="22" t="n">
        <x:v>29.62</x:v>
      </x:c>
      <x:c r="AB59" s="22" t="str">
        <x:v>Y</x:v>
      </x:c>
      <x:c r="AC59" s="22" t="n">
        <x:v>0.37704</x:v>
      </x:c>
      <x:c r="AD59" s="22" t="n">
        <x:v>110.63</x:v>
      </x:c>
      <x:c r="AE59" s="22" t="n">
        <x:v>0.567</x:v>
      </x:c>
      <x:c r="AF59" s="22" t="n">
        <x:v>4.61</x:v>
      </x:c>
      <x:c r="AG59" s="22" t="n">
        <x:v>0.6031</x:v>
      </x:c>
      <x:c r="AH59" s="22" t="n">
        <x:v>-165.3</x:v>
      </x:c>
      <x:c r="AI59" s="22" t="n">
        <x:v>0.575</x:v>
      </x:c>
      <x:c r="AJ59" s="22" t="n">
        <x:v>2.08</x:v>
      </x:c>
      <x:c r="AK59" s="22" t="n">
        <x:v>0.15681</x:v>
      </x:c>
      <x:c r="AL59" s="22" t="n">
        <x:v>123.53</x:v>
      </x:c>
      <x:c r="AM59" s="22" t="n">
        <x:v>0.288</x:v>
      </x:c>
      <x:c r="AN59" s="22" t="n">
        <x:v>12.08</x:v>
      </x:c>
      <x:c r="AO59" s="22" t="n">
        <x:v>0.72866</x:v>
      </x:c>
      <x:c r="AP59" s="22" t="n">
        <x:v>2.15</x:v>
      </x:c>
      <x:c r="AQ59" s="22" t="n">
        <x:v>0.5174</x:v>
      </x:c>
      <x:c r="AR59" s="22" t="n">
        <x:v>0.8277</x:v>
      </x:c>
      <x:c r="AS59" s="22" t="n">
        <x:v>0.2152</x:v>
      </x:c>
      <x:c r="AT59" s="22" t="n">
        <x:v>1</x:v>
      </x:c>
    </x:row>
    <x:row r="60">
      <x:c r="A60" s="22" t="str">
        <x:v>GAIN_SWEEP</x:v>
      </x:c>
      <x:c r="B60" s="22" t="n">
        <x:v>5</x:v>
      </x:c>
      <x:c r="C60" s="22" t="n">
        <x:v>1</x:v>
      </x:c>
      <x:c r="D60" s="22" t="n">
        <x:v>325</x:v>
      </x:c>
      <x:c r="E60" s="22" t="n">
        <x:v>14</x:v>
      </x:c>
      <x:c r="F60" s="22" t="n">
        <x:v>325.00291</x:v>
      </x:c>
      <x:c r="G60" s="22" t="n">
        <x:v>0.41744</x:v>
      </x:c>
      <x:c r="H60" s="22" t="n">
        <x:v>26.03</x:v>
      </x:c>
      <x:c r="I60" s="22" t="n">
        <x:v>325.00554</x:v>
      </x:c>
      <x:c r="J60" s="22" t="n">
        <x:v>0.65042</x:v>
      </x:c>
      <x:c r="K60" s="22" t="n">
        <x:v>26</x:v>
      </x:c>
      <x:c r="L60" s="22" t="n">
        <x:v>325.01913</x:v>
      </x:c>
      <x:c r="M60" s="22" t="n">
        <x:v>0.17635</x:v>
      </x:c>
      <x:c r="N60" s="22" t="n">
        <x:v>18.24</x:v>
      </x:c>
      <x:c r="O60" s="22" t="n">
        <x:v>325.00291</x:v>
      </x:c>
      <x:c r="P60" s="22" t="n">
        <x:v>0.41744</x:v>
      </x:c>
      <x:c r="Q60" s="22" t="n">
        <x:v>325.00554</x:v>
      </x:c>
      <x:c r="R60" s="22" t="n">
        <x:v>0.65042</x:v>
      </x:c>
      <x:c r="S60" s="22" t="n">
        <x:v>325.01913</x:v>
      </x:c>
      <x:c r="T60" s="22" t="n">
        <x:v>0.17635</x:v>
      </x:c>
      <x:c r="U60" s="22" t="n">
        <x:v>325.00549</x:v>
      </x:c>
      <x:c r="V60" s="22" t="n">
        <x:v>0.00549</x:v>
      </x:c>
      <x:c r="W60" s="22" t="n">
        <x:v>0.41744</x:v>
      </x:c>
      <x:c r="X60" s="22" t="n">
        <x:v>0.65042</x:v>
      </x:c>
      <x:c r="Y60" s="22" t="n">
        <x:v>0.17635</x:v>
      </x:c>
      <x:c r="Z60" s="22" t="n">
        <x:v>0.79272</x:v>
      </x:c>
      <x:c r="AA60" s="22" t="n">
        <x:v>28.83</x:v>
      </x:c>
      <x:c r="AB60" s="22" t="str">
        <x:v>Y</x:v>
      </x:c>
      <x:c r="AC60" s="22" t="n">
        <x:v>0.42152</x:v>
      </x:c>
      <x:c r="AD60" s="22" t="n">
        <x:v>109.85</x:v>
      </x:c>
      <x:c r="AE60" s="22" t="n">
        <x:v>0.583</x:v>
      </x:c>
      <x:c r="AF60" s="22" t="n">
        <x:v>3.75</x:v>
      </x:c>
      <x:c r="AG60" s="22" t="n">
        <x:v>0.65547</x:v>
      </x:c>
      <x:c r="AH60" s="22" t="n">
        <x:v>-165.66</x:v>
      </x:c>
      <x:c r="AI60" s="22" t="n">
        <x:v>0.582</x:v>
      </x:c>
      <x:c r="AJ60" s="22" t="n">
        <x:v>5.82</x:v>
      </x:c>
      <x:c r="AK60" s="22" t="n">
        <x:v>0.1914</x:v>
      </x:c>
      <x:c r="AL60" s="22" t="n">
        <x:v>125.13</x:v>
      </x:c>
      <x:c r="AM60" s="22" t="n">
        <x:v>0.337</x:v>
      </x:c>
      <x:c r="AN60" s="22" t="n">
        <x:v>11.41</x:v>
      </x:c>
      <x:c r="AO60" s="22" t="n">
        <x:v>0.80305</x:v>
      </x:c>
      <x:c r="AP60" s="22" t="n">
        <x:v>3.98</x:v>
      </x:c>
      <x:c r="AQ60" s="22" t="n">
        <x:v>0.5249</x:v>
      </x:c>
      <x:c r="AR60" s="22" t="n">
        <x:v>0.8162</x:v>
      </x:c>
      <x:c r="AS60" s="22" t="n">
        <x:v>0.2383</x:v>
      </x:c>
      <x:c r="AT60" s="22" t="n">
        <x:v>1</x:v>
      </x:c>
    </x:row>
    <x:row r="61">
      <x:c r="A61" s="22" t="str">
        <x:v>GAIN_SWEEP</x:v>
      </x:c>
      <x:c r="B61" s="22" t="n">
        <x:v>6</x:v>
      </x:c>
      <x:c r="C61" s="22" t="n">
        <x:v>1</x:v>
      </x:c>
      <x:c r="D61" s="22" t="n">
        <x:v>325</x:v>
      </x:c>
      <x:c r="E61" s="22" t="n">
        <x:v>15</x:v>
      </x:c>
      <x:c r="F61" s="22" t="n">
        <x:v>324.99038</x:v>
      </x:c>
      <x:c r="G61" s="22" t="n">
        <x:v>0.44995</x:v>
      </x:c>
      <x:c r="H61" s="22" t="n">
        <x:v>26.67</x:v>
      </x:c>
      <x:c r="I61" s="22" t="n">
        <x:v>324.99459</x:v>
      </x:c>
      <x:c r="J61" s="22" t="n">
        <x:v>0.70913</x:v>
      </x:c>
      <x:c r="K61" s="22" t="n">
        <x:v>26.53</x:v>
      </x:c>
      <x:c r="L61" s="22" t="n">
        <x:v>325.01338</x:v>
      </x:c>
      <x:c r="M61" s="22" t="n">
        <x:v>0.21548</x:v>
      </x:c>
      <x:c r="N61" s="22" t="n">
        <x:v>19.87</x:v>
      </x:c>
      <x:c r="O61" s="22" t="n">
        <x:v>324.99038</x:v>
      </x:c>
      <x:c r="P61" s="22" t="n">
        <x:v>0.44995</x:v>
      </x:c>
      <x:c r="Q61" s="22" t="n">
        <x:v>324.99459</x:v>
      </x:c>
      <x:c r="R61" s="22" t="n">
        <x:v>0.70913</x:v>
      </x:c>
      <x:c r="S61" s="22" t="n">
        <x:v>325.01338</x:v>
      </x:c>
      <x:c r="T61" s="22" t="n">
        <x:v>0.21548</x:v>
      </x:c>
      <x:c r="U61" s="22" t="n">
        <x:v>324.99462</x:v>
      </x:c>
      <x:c r="V61" s="22" t="n">
        <x:v>-0.00538</x:v>
      </x:c>
      <x:c r="W61" s="22" t="n">
        <x:v>0.44995</x:v>
      </x:c>
      <x:c r="X61" s="22" t="n">
        <x:v>0.70913</x:v>
      </x:c>
      <x:c r="Y61" s="22" t="n">
        <x:v>0.21548</x:v>
      </x:c>
      <x:c r="Z61" s="22" t="n">
        <x:v>0.86704</x:v>
      </x:c>
      <x:c r="AA61" s="22" t="n">
        <x:v>30.57</x:v>
      </x:c>
      <x:c r="AB61" s="22" t="str">
        <x:v>Y</x:v>
      </x:c>
      <x:c r="AC61" s="22" t="n">
        <x:v>0.4409</x:v>
      </x:c>
      <x:c r="AD61" s="22" t="n">
        <x:v>109.73</x:v>
      </x:c>
      <x:c r="AE61" s="22" t="n">
        <x:v>0.605</x:v>
      </x:c>
      <x:c r="AF61" s="22" t="n">
        <x:v>2.18</x:v>
      </x:c>
      <x:c r="AG61" s="22" t="n">
        <x:v>0.7119</x:v>
      </x:c>
      <x:c r="AH61" s="22" t="n">
        <x:v>-165.44</x:v>
      </x:c>
      <x:c r="AI61" s="22" t="n">
        <x:v>0.603</x:v>
      </x:c>
      <x:c r="AJ61" s="22" t="n">
        <x:v>3.12</x:v>
      </x:c>
      <x:c r="AK61" s="22" t="n">
        <x:v>0.21045</x:v>
      </x:c>
      <x:c r="AL61" s="22" t="n">
        <x:v>119.94</x:v>
      </x:c>
      <x:c r="AM61" s="22" t="n">
        <x:v>0.363</x:v>
      </x:c>
      <x:c r="AN61" s="22" t="n">
        <x:v>11.48</x:v>
      </x:c>
      <x:c r="AO61" s="22" t="n">
        <x:v>0.86391</x:v>
      </x:c>
      <x:c r="AP61" s="22" t="n">
        <x:v>1.23</x:v>
      </x:c>
      <x:c r="AQ61" s="22" t="n">
        <x:v>0.5104</x:v>
      </x:c>
      <x:c r="AR61" s="22" t="n">
        <x:v>0.8241</x:v>
      </x:c>
      <x:c r="AS61" s="22" t="n">
        <x:v>0.2436</x:v>
      </x:c>
      <x:c r="AT61" s="22" t="n">
        <x:v>1</x:v>
      </x:c>
    </x:row>
    <x:row r="62">
      <x:c r="A62" s="22" t="str">
        <x:v>GAIN_SWEEP</x:v>
      </x:c>
      <x:c r="B62" s="22" t="n">
        <x:v>1</x:v>
      </x:c>
      <x:c r="C62" s="22" t="n">
        <x:v>1</x:v>
      </x:c>
      <x:c r="D62" s="22" t="n">
        <x:v>350</x:v>
      </x:c>
      <x:c r="E62" s="22" t="n">
        <x:v>10</x:v>
      </x:c>
      <x:c r="F62" s="22" t="n">
        <x:v>714.33119</x:v>
      </x:c>
      <x:c r="G62" s="22" t="n">
        <x:v>0.27741</x:v>
      </x:c>
      <x:c r="H62" s="22" t="n">
        <x:v>22.67</x:v>
      </x:c>
      <x:c r="I62" s="22" t="n">
        <x:v>349.97195</x:v>
      </x:c>
      <x:c r="J62" s="22" t="n">
        <x:v>0.39694</x:v>
      </x:c>
      <x:c r="K62" s="22" t="n">
        <x:v>22.38</x:v>
      </x:c>
      <x:c r="L62" s="22" t="n">
        <x:v>349.9705</x:v>
      </x:c>
      <x:c r="M62" s="22" t="n">
        <x:v>0.66504</x:v>
      </x:c>
      <x:c r="N62" s="22" t="n">
        <x:v>29.18</x:v>
      </x:c>
      <x:c r="O62" s="22" t="n">
        <x:v>349.93633</x:v>
      </x:c>
      <x:c r="P62" s="22" t="n">
        <x:v>0.14161</x:v>
      </x:c>
      <x:c r="Q62" s="22" t="n">
        <x:v>349.97195</x:v>
      </x:c>
      <x:c r="R62" s="22" t="n">
        <x:v>0.39694</x:v>
      </x:c>
      <x:c r="S62" s="22" t="n">
        <x:v>349.9705</x:v>
      </x:c>
      <x:c r="T62" s="22" t="n">
        <x:v>0.66504</x:v>
      </x:c>
      <x:c r="U62" s="22" t="n">
        <x:v>349.96977</x:v>
      </x:c>
      <x:c r="V62" s="22" t="n">
        <x:v>-0.03023</x:v>
      </x:c>
      <x:c r="W62" s="22" t="n">
        <x:v>0.14161</x:v>
      </x:c>
      <x:c r="X62" s="22" t="n">
        <x:v>0.39694</x:v>
      </x:c>
      <x:c r="Y62" s="22" t="n">
        <x:v>0.66504</x:v>
      </x:c>
      <x:c r="Z62" s="22" t="n">
        <x:v>0.78733</x:v>
      </x:c>
      <x:c r="AA62" s="22" t="n">
        <x:v>31.13</x:v>
      </x:c>
      <x:c r="AB62" s="22" t="str">
        <x:v>Z</x:v>
      </x:c>
      <x:c r="AC62" s="22" t="n">
        <x:v>0.1478</x:v>
      </x:c>
      <x:c r="AD62" s="22" t="n">
        <x:v>80.18</x:v>
      </x:c>
      <x:c r="AE62" s="22" t="n">
        <x:v>0.211</x:v>
      </x:c>
      <x:c r="AF62" s="22" t="n">
        <x:v>10.26</x:v>
      </x:c>
      <x:c r="AG62" s="22" t="n">
        <x:v>0.3752</x:v>
      </x:c>
      <x:c r="AH62" s="22" t="n">
        <x:v>-170.67</x:v>
      </x:c>
      <x:c r="AI62" s="22" t="n">
        <x:v>0.372</x:v>
      </x:c>
      <x:c r="AJ62" s="22" t="n">
        <x:v>17.84</x:v>
      </x:c>
      <x:c r="AK62" s="22" t="n">
        <x:v>0.63898</x:v>
      </x:c>
      <x:c r="AL62" s="22" t="n">
        <x:v>101.89</x:v>
      </x:c>
      <x:c r="AM62" s="22" t="n">
        <x:v>0.719</x:v>
      </x:c>
      <x:c r="AN62" s="22" t="n">
        <x:v>2.18</x:v>
      </x:c>
      <x:c r="AO62" s="22" t="n">
        <x:v>0.75772</x:v>
      </x:c>
      <x:c r="AP62" s="22" t="n">
        <x:v>3.9</x:v>
      </x:c>
      <x:c r="AQ62" s="22" t="n">
        <x:v>0.1951</x:v>
      </x:c>
      <x:c r="AR62" s="22" t="n">
        <x:v>0.4952</x:v>
      </x:c>
      <x:c r="AS62" s="22" t="n">
        <x:v>0.8433</x:v>
      </x:c>
      <x:c r="AT62" s="22" t="n">
        <x:v>1</x:v>
      </x:c>
    </x:row>
    <x:row r="63">
      <x:c r="A63" s="22" t="str">
        <x:v>GAIN_SWEEP</x:v>
      </x:c>
      <x:c r="B63" s="22" t="n">
        <x:v>2</x:v>
      </x:c>
      <x:c r="C63" s="22" t="n">
        <x:v>1</x:v>
      </x:c>
      <x:c r="D63" s="22" t="n">
        <x:v>350</x:v>
      </x:c>
      <x:c r="E63" s="22" t="n">
        <x:v>11</x:v>
      </x:c>
      <x:c r="F63" s="22" t="n">
        <x:v>167.88951</x:v>
      </x:c>
      <x:c r="G63" s="22" t="n">
        <x:v>0.27331</x:v>
      </x:c>
      <x:c r="H63" s="22" t="n">
        <x:v>22.77</x:v>
      </x:c>
      <x:c r="I63" s="22" t="n">
        <x:v>350.02058</x:v>
      </x:c>
      <x:c r="J63" s="22" t="n">
        <x:v>0.44405</x:v>
      </x:c>
      <x:c r="K63" s="22" t="n">
        <x:v>23.74</x:v>
      </x:c>
      <x:c r="L63" s="22" t="n">
        <x:v>349.98283</x:v>
      </x:c>
      <x:c r="M63" s="22" t="n">
        <x:v>0.68078</x:v>
      </x:c>
      <x:c r="N63" s="22" t="n">
        <x:v>29.59</x:v>
      </x:c>
      <x:c r="O63" s="22" t="n">
        <x:v>349.99244</x:v>
      </x:c>
      <x:c r="P63" s="22" t="n">
        <x:v>0.16047</x:v>
      </x:c>
      <x:c r="Q63" s="22" t="n">
        <x:v>350.02058</x:v>
      </x:c>
      <x:c r="R63" s="22" t="n">
        <x:v>0.44405</x:v>
      </x:c>
      <x:c r="S63" s="22" t="n">
        <x:v>349.98283</x:v>
      </x:c>
      <x:c r="T63" s="22" t="n">
        <x:v>0.68078</x:v>
      </x:c>
      <x:c r="U63" s="22" t="n">
        <x:v>349.99395</x:v>
      </x:c>
      <x:c r="V63" s="22" t="n">
        <x:v>-0.00605</x:v>
      </x:c>
      <x:c r="W63" s="22" t="n">
        <x:v>0.16047</x:v>
      </x:c>
      <x:c r="X63" s="22" t="n">
        <x:v>0.44405</x:v>
      </x:c>
      <x:c r="Y63" s="22" t="n">
        <x:v>0.68078</x:v>
      </x:c>
      <x:c r="Z63" s="22" t="n">
        <x:v>0.82849</x:v>
      </x:c>
      <x:c r="AA63" s="22" t="n">
        <x:v>31.04</x:v>
      </x:c>
      <x:c r="AB63" s="22" t="str">
        <x:v>Z</x:v>
      </x:c>
      <x:c r="AC63" s="22" t="n">
        <x:v>0.15733</x:v>
      </x:c>
      <x:c r="AD63" s="22" t="n">
        <x:v>90.28</x:v>
      </x:c>
      <x:c r="AE63" s="22" t="n">
        <x:v>0.239</x:v>
      </x:c>
      <x:c r="AF63" s="22" t="n">
        <x:v>5.08</x:v>
      </x:c>
      <x:c r="AG63" s="22" t="n">
        <x:v>0.45961</x:v>
      </x:c>
      <x:c r="AH63" s="22" t="n">
        <x:v>-162.37</x:v>
      </x:c>
      <x:c r="AI63" s="22" t="n">
        <x:v>0.482</x:v>
      </x:c>
      <x:c r="AJ63" s="22" t="n">
        <x:v>12.1</x:v>
      </x:c>
      <x:c r="AK63" s="22" t="n">
        <x:v>0.67689</x:v>
      </x:c>
      <x:c r="AL63" s="22" t="n">
        <x:v>95.61</x:v>
      </x:c>
      <x:c r="AM63" s="22" t="n">
        <x:v>0.741</x:v>
      </x:c>
      <x:c r="AN63" s="22" t="n">
        <x:v>2.19</x:v>
      </x:c>
      <x:c r="AO63" s="22" t="n">
        <x:v>0.83414</x:v>
      </x:c>
      <x:c r="AP63" s="22" t="n">
        <x:v>4.43</x:v>
      </x:c>
      <x:c r="AQ63" s="22" t="n">
        <x:v>0.1886</x:v>
      </x:c>
      <x:c r="AR63" s="22" t="n">
        <x:v>0.551</x:v>
      </x:c>
      <x:c r="AS63" s="22" t="n">
        <x:v>0.8115</x:v>
      </x:c>
      <x:c r="AT63" s="22" t="n">
        <x:v>1</x:v>
      </x:c>
    </x:row>
    <x:row r="64">
      <x:c r="A64" s="22" t="str">
        <x:v>GAIN_SWEEP</x:v>
      </x:c>
      <x:c r="B64" s="22" t="n">
        <x:v>3</x:v>
      </x:c>
      <x:c r="C64" s="22" t="n">
        <x:v>1</x:v>
      </x:c>
      <x:c r="D64" s="22" t="n">
        <x:v>350</x:v>
      </x:c>
      <x:c r="E64" s="22" t="n">
        <x:v>12</x:v>
      </x:c>
      <x:c r="F64" s="22" t="n">
        <x:v>167.69577</x:v>
      </x:c>
      <x:c r="G64" s="22" t="n">
        <x:v>0.27951</x:v>
      </x:c>
      <x:c r="H64" s="22" t="n">
        <x:v>22.79</x:v>
      </x:c>
      <x:c r="I64" s="22" t="n">
        <x:v>350.01153</x:v>
      </x:c>
      <x:c r="J64" s="22" t="n">
        <x:v>0.51923</x:v>
      </x:c>
      <x:c r="K64" s="22" t="n">
        <x:v>24.05</x:v>
      </x:c>
      <x:c r="L64" s="22" t="n">
        <x:v>350.00297</x:v>
      </x:c>
      <x:c r="M64" s="22" t="n">
        <x:v>0.6959</x:v>
      </x:c>
      <x:c r="N64" s="22" t="n">
        <x:v>29.24</x:v>
      </x:c>
      <x:c r="O64" s="22" t="n">
        <x:v>350.01896</x:v>
      </x:c>
      <x:c r="P64" s="22" t="n">
        <x:v>0.1886</x:v>
      </x:c>
      <x:c r="Q64" s="22" t="n">
        <x:v>350.01153</x:v>
      </x:c>
      <x:c r="R64" s="22" t="n">
        <x:v>0.51923</x:v>
      </x:c>
      <x:c r="S64" s="22" t="n">
        <x:v>350.00297</x:v>
      </x:c>
      <x:c r="T64" s="22" t="n">
        <x:v>0.6959</x:v>
      </x:c>
      <x:c r="U64" s="22" t="n">
        <x:v>350.00663</x:v>
      </x:c>
      <x:c r="V64" s="22" t="n">
        <x:v>0.00663</x:v>
      </x:c>
      <x:c r="W64" s="22" t="n">
        <x:v>0.1886</x:v>
      </x:c>
      <x:c r="X64" s="22" t="n">
        <x:v>0.51923</x:v>
      </x:c>
      <x:c r="Y64" s="22" t="n">
        <x:v>0.6959</x:v>
      </x:c>
      <x:c r="Z64" s="22" t="n">
        <x:v>0.88851</x:v>
      </x:c>
      <x:c r="AA64" s="22" t="n">
        <x:v>31.79</x:v>
      </x:c>
      <x:c r="AB64" s="22" t="str">
        <x:v>Z</x:v>
      </x:c>
      <x:c r="AC64" s="22" t="n">
        <x:v>0.19555</x:v>
      </x:c>
      <x:c r="AD64" s="22" t="n">
        <x:v>91.59</x:v>
      </x:c>
      <x:c r="AE64" s="22" t="n">
        <x:v>0.273</x:v>
      </x:c>
      <x:c r="AF64" s="22" t="n">
        <x:v>5.18</x:v>
      </x:c>
      <x:c r="AG64" s="22" t="n">
        <x:v>0.52219</x:v>
      </x:c>
      <x:c r="AH64" s="22" t="n">
        <x:v>-163.48</x:v>
      </x:c>
      <x:c r="AI64" s="22" t="n">
        <x:v>0.466</x:v>
      </x:c>
      <x:c r="AJ64" s="22" t="n">
        <x:v>7.44</x:v>
      </x:c>
      <x:c r="AK64" s="22" t="n">
        <x:v>0.70081</x:v>
      </x:c>
      <x:c r="AL64" s="22" t="n">
        <x:v>88.92</x:v>
      </x:c>
      <x:c r="AM64" s="22" t="n">
        <x:v>0.73</x:v>
      </x:c>
      <x:c r="AN64" s="22" t="n">
        <x:v>2.05</x:v>
      </x:c>
      <x:c r="AO64" s="22" t="n">
        <x:v>0.89607</x:v>
      </x:c>
      <x:c r="AP64" s="22" t="n">
        <x:v>2.96</x:v>
      </x:c>
      <x:c r="AQ64" s="22" t="n">
        <x:v>0.2182</x:v>
      </x:c>
      <x:c r="AR64" s="22" t="n">
        <x:v>0.5828</x:v>
      </x:c>
      <x:c r="AS64" s="22" t="n">
        <x:v>0.7821</x:v>
      </x:c>
      <x:c r="AT64" s="22" t="n">
        <x:v>1</x:v>
      </x:c>
    </x:row>
    <x:row r="65">
      <x:c r="A65" s="22" t="str">
        <x:v>GAIN_SWEEP</x:v>
      </x:c>
      <x:c r="B65" s="22" t="n">
        <x:v>4</x:v>
      </x:c>
      <x:c r="C65" s="22" t="n">
        <x:v>1</x:v>
      </x:c>
      <x:c r="D65" s="22" t="n">
        <x:v>350</x:v>
      </x:c>
      <x:c r="E65" s="22" t="n">
        <x:v>13</x:v>
      </x:c>
      <x:c r="F65" s="22" t="n">
        <x:v>167.95386</x:v>
      </x:c>
      <x:c r="G65" s="22" t="n">
        <x:v>0.22193</x:v>
      </x:c>
      <x:c r="H65" s="22" t="n">
        <x:v>21.29</x:v>
      </x:c>
      <x:c r="I65" s="22" t="n">
        <x:v>349.99145</x:v>
      </x:c>
      <x:c r="J65" s="22" t="n">
        <x:v>0.57619</x:v>
      </x:c>
      <x:c r="K65" s="22" t="n">
        <x:v>24.8</x:v>
      </x:c>
      <x:c r="L65" s="22" t="n">
        <x:v>349.99284</x:v>
      </x:c>
      <x:c r="M65" s="22" t="n">
        <x:v>0.74056</x:v>
      </x:c>
      <x:c r="N65" s="22" t="n">
        <x:v>29.75</x:v>
      </x:c>
      <x:c r="O65" s="22" t="n">
        <x:v>350.00748</x:v>
      </x:c>
      <x:c r="P65" s="22" t="n">
        <x:v>0.19881</x:v>
      </x:c>
      <x:c r="Q65" s="22" t="n">
        <x:v>349.99145</x:v>
      </x:c>
      <x:c r="R65" s="22" t="n">
        <x:v>0.57619</x:v>
      </x:c>
      <x:c r="S65" s="22" t="n">
        <x:v>349.99284</x:v>
      </x:c>
      <x:c r="T65" s="22" t="n">
        <x:v>0.74056</x:v>
      </x:c>
      <x:c r="U65" s="22" t="n">
        <x:v>349.99296</x:v>
      </x:c>
      <x:c r="V65" s="22" t="n">
        <x:v>-0.00704</x:v>
      </x:c>
      <x:c r="W65" s="22" t="n">
        <x:v>0.19881</x:v>
      </x:c>
      <x:c r="X65" s="22" t="n">
        <x:v>0.57619</x:v>
      </x:c>
      <x:c r="Y65" s="22" t="n">
        <x:v>0.74056</x:v>
      </x:c>
      <x:c r="Z65" s="22" t="n">
        <x:v>0.95913</x:v>
      </x:c>
      <x:c r="AA65" s="22" t="n">
        <x:v>31.03</x:v>
      </x:c>
      <x:c r="AB65" s="22" t="str">
        <x:v>Z</x:v>
      </x:c>
      <x:c r="AC65" s="22" t="n">
        <x:v>0.20276</x:v>
      </x:c>
      <x:c r="AD65" s="22" t="n">
        <x:v>97.46</x:v>
      </x:c>
      <x:c r="AE65" s="22" t="n">
        <x:v>0.33</x:v>
      </x:c>
      <x:c r="AF65" s="22" t="n">
        <x:v>3.72</x:v>
      </x:c>
      <x:c r="AG65" s="22" t="n">
        <x:v>0.5775</x:v>
      </x:c>
      <x:c r="AH65" s="22" t="n">
        <x:v>-160.55</x:v>
      </x:c>
      <x:c r="AI65" s="22" t="n">
        <x:v>0.514</x:v>
      </x:c>
      <x:c r="AJ65" s="22" t="n">
        <x:v>5.79</x:v>
      </x:c>
      <x:c r="AK65" s="22" t="n">
        <x:v>0.74143</x:v>
      </x:c>
      <x:c r="AL65" s="22" t="n">
        <x:v>85.07</x:v>
      </x:c>
      <x:c r="AM65" s="22" t="n">
        <x:v>0.768</x:v>
      </x:c>
      <x:c r="AN65" s="22" t="n">
        <x:v>2.64</x:v>
      </x:c>
      <x:c r="AO65" s="22" t="n">
        <x:v>0.96182</x:v>
      </x:c>
      <x:c r="AP65" s="22" t="n">
        <x:v>2.58</x:v>
      </x:c>
      <x:c r="AQ65" s="22" t="n">
        <x:v>0.2108</x:v>
      </x:c>
      <x:c r="AR65" s="22" t="n">
        <x:v>0.6004</x:v>
      </x:c>
      <x:c r="AS65" s="22" t="n">
        <x:v>0.7709</x:v>
      </x:c>
      <x:c r="AT65" s="22" t="n">
        <x:v>1</x:v>
      </x:c>
    </x:row>
    <x:row r="66">
      <x:c r="A66" s="22" t="str">
        <x:v>GAIN_SWEEP</x:v>
      </x:c>
      <x:c r="B66" s="22" t="n">
        <x:v>5</x:v>
      </x:c>
      <x:c r="C66" s="22" t="n">
        <x:v>1</x:v>
      </x:c>
      <x:c r="D66" s="22" t="n">
        <x:v>350</x:v>
      </x:c>
      <x:c r="E66" s="22" t="n">
        <x:v>14</x:v>
      </x:c>
      <x:c r="F66" s="22" t="n">
        <x:v>167.71794</x:v>
      </x:c>
      <x:c r="G66" s="22" t="n">
        <x:v>0.24904</x:v>
      </x:c>
      <x:c r="H66" s="22" t="n">
        <x:v>21.98</x:v>
      </x:c>
      <x:c r="I66" s="22" t="n">
        <x:v>349.98877</x:v>
      </x:c>
      <x:c r="J66" s="22" t="n">
        <x:v>0.62007</x:v>
      </x:c>
      <x:c r="K66" s="22" t="n">
        <x:v>25.39</x:v>
      </x:c>
      <x:c r="L66" s="22" t="n">
        <x:v>350.00126</x:v>
      </x:c>
      <x:c r="M66" s="22" t="n">
        <x:v>0.76921</x:v>
      </x:c>
      <x:c r="N66" s="22" t="n">
        <x:v>29.81</x:v>
      </x:c>
      <x:c r="O66" s="22" t="n">
        <x:v>349.99807</x:v>
      </x:c>
      <x:c r="P66" s="22" t="n">
        <x:v>0.21777</x:v>
      </x:c>
      <x:c r="Q66" s="22" t="n">
        <x:v>349.98877</x:v>
      </x:c>
      <x:c r="R66" s="22" t="n">
        <x:v>0.62007</x:v>
      </x:c>
      <x:c r="S66" s="22" t="n">
        <x:v>350.00126</x:v>
      </x:c>
      <x:c r="T66" s="22" t="n">
        <x:v>0.76921</x:v>
      </x:c>
      <x:c r="U66" s="22" t="n">
        <x:v>349.99642</x:v>
      </x:c>
      <x:c r="V66" s="22" t="n">
        <x:v>-0.00358</x:v>
      </x:c>
      <x:c r="W66" s="22" t="n">
        <x:v>0.21777</x:v>
      </x:c>
      <x:c r="X66" s="22" t="n">
        <x:v>0.62007</x:v>
      </x:c>
      <x:c r="Y66" s="22" t="n">
        <x:v>0.76921</x:v>
      </x:c>
      <x:c r="Z66" s="22" t="n">
        <x:v>1.01173</x:v>
      </x:c>
      <x:c r="AA66" s="22" t="n">
        <x:v>32.17</x:v>
      </x:c>
      <x:c r="AB66" s="22" t="str">
        <x:v>Z</x:v>
      </x:c>
      <x:c r="AC66" s="22" t="n">
        <x:v>0.23705</x:v>
      </x:c>
      <x:c r="AD66" s="22" t="n">
        <x:v>100.34</x:v>
      </x:c>
      <x:c r="AE66" s="22" t="n">
        <x:v>0.357</x:v>
      </x:c>
      <x:c r="AF66" s="22" t="n">
        <x:v>6.05</x:v>
      </x:c>
      <x:c r="AG66" s="22" t="n">
        <x:v>0.64742</x:v>
      </x:c>
      <x:c r="AH66" s="22" t="n">
        <x:v>-156.88</x:v>
      </x:c>
      <x:c r="AI66" s="22" t="n">
        <x:v>0.533</x:v>
      </x:c>
      <x:c r="AJ66" s="22" t="n">
        <x:v>8.22</x:v>
      </x:c>
      <x:c r="AK66" s="22" t="n">
        <x:v>0.78994</x:v>
      </x:c>
      <x:c r="AL66" s="22" t="n">
        <x:v>80.75</x:v>
      </x:c>
      <x:c r="AM66" s="22" t="n">
        <x:v>0.756</x:v>
      </x:c>
      <x:c r="AN66" s="22" t="n">
        <x:v>2.94</x:v>
      </x:c>
      <x:c r="AO66" s="22" t="n">
        <x:v>1.04924</x:v>
      </x:c>
      <x:c r="AP66" s="22" t="n">
        <x:v>3.84</x:v>
      </x:c>
      <x:c r="AQ66" s="22" t="n">
        <x:v>0.2259</x:v>
      </x:c>
      <x:c r="AR66" s="22" t="n">
        <x:v>0.617</x:v>
      </x:c>
      <x:c r="AS66" s="22" t="n">
        <x:v>0.7529</x:v>
      </x:c>
      <x:c r="AT66" s="22" t="n">
        <x:v>1</x:v>
      </x:c>
    </x:row>
    <x:row r="67">
      <x:c r="A67" s="22" t="str">
        <x:v>GAIN_SWEEP</x:v>
      </x:c>
      <x:c r="B67" s="22" t="n">
        <x:v>6</x:v>
      </x:c>
      <x:c r="C67" s="22" t="n">
        <x:v>1</x:v>
      </x:c>
      <x:c r="D67" s="22" t="n">
        <x:v>350</x:v>
      </x:c>
      <x:c r="E67" s="22" t="n">
        <x:v>15</x:v>
      </x:c>
      <x:c r="F67" s="22" t="n">
        <x:v>349.98918</x:v>
      </x:c>
      <x:c r="G67" s="22" t="n">
        <x:v>0.24724</x:v>
      </x:c>
      <x:c r="H67" s="22" t="n">
        <x:v>21.36</x:v>
      </x:c>
      <x:c r="I67" s="22" t="n">
        <x:v>349.9998</x:v>
      </x:c>
      <x:c r="J67" s="22" t="n">
        <x:v>0.708</x:v>
      </x:c>
      <x:c r="K67" s="22" t="n">
        <x:v>26.97</x:v>
      </x:c>
      <x:c r="L67" s="22" t="n">
        <x:v>350.00417</x:v>
      </x:c>
      <x:c r="M67" s="22" t="n">
        <x:v>0.83784</x:v>
      </x:c>
      <x:c r="N67" s="22" t="n">
        <x:v>30.04</x:v>
      </x:c>
      <x:c r="O67" s="22" t="n">
        <x:v>349.98918</x:v>
      </x:c>
      <x:c r="P67" s="22" t="n">
        <x:v>0.24724</x:v>
      </x:c>
      <x:c r="Q67" s="22" t="n">
        <x:v>349.9998</x:v>
      </x:c>
      <x:c r="R67" s="22" t="n">
        <x:v>0.708</x:v>
      </x:c>
      <x:c r="S67" s="22" t="n">
        <x:v>350.00417</x:v>
      </x:c>
      <x:c r="T67" s="22" t="n">
        <x:v>0.83784</x:v>
      </x:c>
      <x:c r="U67" s="22" t="n">
        <x:v>350.00171</x:v>
      </x:c>
      <x:c r="V67" s="22" t="n">
        <x:v>0.00171</x:v>
      </x:c>
      <x:c r="W67" s="22" t="n">
        <x:v>0.24724</x:v>
      </x:c>
      <x:c r="X67" s="22" t="n">
        <x:v>0.708</x:v>
      </x:c>
      <x:c r="Y67" s="22" t="n">
        <x:v>0.83784</x:v>
      </x:c>
      <x:c r="Z67" s="22" t="n">
        <x:v>1.12444</x:v>
      </x:c>
      <x:c r="AA67" s="22" t="n">
        <x:v>33.25</x:v>
      </x:c>
      <x:c r="AB67" s="22" t="str">
        <x:v>Z</x:v>
      </x:c>
      <x:c r="AC67" s="22" t="n">
        <x:v>0.26629</x:v>
      </x:c>
      <x:c r="AD67" s="22" t="n">
        <x:v>104.35</x:v>
      </x:c>
      <x:c r="AE67" s="22" t="n">
        <x:v>0.369</x:v>
      </x:c>
      <x:c r="AF67" s="22" t="n">
        <x:v>11.34</x:v>
      </x:c>
      <x:c r="AG67" s="22" t="n">
        <x:v>0.71421</x:v>
      </x:c>
      <x:c r="AH67" s="22" t="n">
        <x:v>-157.15</x:v>
      </x:c>
      <x:c r="AI67" s="22" t="n">
        <x:v>0.601</x:v>
      </x:c>
      <x:c r="AJ67" s="22" t="n">
        <x:v>5.1</x:v>
      </x:c>
      <x:c r="AK67" s="22" t="n">
        <x:v>0.85805</x:v>
      </x:c>
      <x:c r="AL67" s="22" t="n">
        <x:v>76.72</x:v>
      </x:c>
      <x:c r="AM67" s="22" t="n">
        <x:v>0.775</x:v>
      </x:c>
      <x:c r="AN67" s="22" t="n">
        <x:v>1.93</x:v>
      </x:c>
      <x:c r="AO67" s="22" t="n">
        <x:v>1.14839</x:v>
      </x:c>
      <x:c r="AP67" s="22" t="n">
        <x:v>2.11</x:v>
      </x:c>
      <x:c r="AQ67" s="22" t="n">
        <x:v>0.2319</x:v>
      </x:c>
      <x:c r="AR67" s="22" t="n">
        <x:v>0.6219</x:v>
      </x:c>
      <x:c r="AS67" s="22" t="n">
        <x:v>0.7472</x:v>
      </x:c>
      <x:c r="AT67" s="22" t="n">
        <x:v>1</x:v>
      </x:c>
    </x:row>
  </x:sheetData>
  <x:pageMargins left="0.7" right="0.7" top="0.75" bottom="0.75" header="0.3" footer="0.3"/>
  <x:tableParts count="1">
    <x:tablePart xmlns:r="http://schemas.openxmlformats.org/officeDocument/2006/relationships" r:id="R4654202676eb4b40"/>
  </x:tableParts>
</x:worksheet>
</file>

<file path=xl/worksheets/sheet3.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s>
  <x:sheetData>
    <x:row r="1">
      <x:c r="A1" s="45" t="str">
        <x:v>Mode</x:v>
      </x:c>
      <x:c r="B1" s="45" t="str">
        <x:v>Point</x:v>
      </x:c>
      <x:c r="C1" s="46" t="str">
        <x:v>CmdFreq_Hz</x:v>
      </x:c>
      <x:c r="D1" s="46" t="str">
        <x:v>DAC</x:v>
      </x:c>
      <x:c r="E1" s="45" t="str">
        <x:v>ValidRepeats</x:v>
      </x:c>
      <x:c r="F1" s="47" t="str">
        <x:v>Mean_VectorLocalFreq_Hz</x:v>
      </x:c>
      <x:c r="G1" s="47" t="str">
        <x:v>SD_VectorLocalFreq_Hz</x:v>
      </x:c>
      <x:c r="H1" s="47" t="str">
        <x:v>Mean_X_LocalFreq_Hz</x:v>
      </x:c>
      <x:c r="I1" s="47" t="str">
        <x:v>Mean_Y_LocalFreq_Hz</x:v>
      </x:c>
      <x:c r="J1" s="47" t="str">
        <x:v>Mean_Z_LocalFreq_Hz</x:v>
      </x:c>
      <x:c r="K1" s="47" t="str">
        <x:v>Mean_QuadX_A</x:v>
      </x:c>
      <x:c r="L1" s="47" t="str">
        <x:v>CV_X_pct</x:v>
      </x:c>
      <x:c r="M1" s="47" t="str">
        <x:v>Mean_QuadY_A</x:v>
      </x:c>
      <x:c r="N1" s="47" t="str">
        <x:v>CV_Y_pct</x:v>
      </x:c>
      <x:c r="O1" s="47" t="str">
        <x:v>Mean_QuadZ_A</x:v>
      </x:c>
      <x:c r="P1" s="47" t="str">
        <x:v>CV_Z_pct</x:v>
      </x:c>
      <x:c r="Q1" s="47" t="str">
        <x:v>Mean_QuadTotal_A</x:v>
      </x:c>
      <x:c r="R1" s="47" t="str">
        <x:v>CV_Total_pct</x:v>
      </x:c>
      <x:c r="S1" s="47" t="str">
        <x:v>Mean_X_Fraction</x:v>
      </x:c>
      <x:c r="T1" s="47" t="str">
        <x:v>Mean_Y_Fraction</x:v>
      </x:c>
      <x:c r="U1" s="47" t="str">
        <x:v>Mean_Z_Fraction</x:v>
      </x:c>
      <x:c r="V1" s="47" t="str">
        <x:v>Mean_Y_over_X</x:v>
      </x:c>
      <x:c r="W1" s="47" t="str">
        <x:v>Mean_Z_over_X</x:v>
      </x:c>
      <x:c r="X1" s="47" t="str">
        <x:v>Mean_X_per_DAC</x:v>
      </x:c>
      <x:c r="Y1" s="47" t="str">
        <x:v>Mean_Y_per_DAC</x:v>
      </x:c>
      <x:c r="Z1" s="47" t="str">
        <x:v>Mean_Z_per_DAC</x:v>
      </x:c>
      <x:c r="AA1" s="47" t="str">
        <x:v>Mean_Total_per_DAC</x:v>
      </x:c>
      <x:c r="AB1" s="47" t="str">
        <x:v>Abs_VectorFreqError_Hz</x:v>
      </x:c>
    </x:row>
    <x:row r="2">
      <x:c r="A2" s="22" t="str">
        <x:v>GAIN_SWEEP</x:v>
      </x:c>
      <x:c r="B2" s="22" t="n">
        <x:v>1</x:v>
      </x:c>
      <x:c r="C2" s="22" t="n">
        <x:v>100</x:v>
      </x:c>
      <x:c r="D2" s="22" t="n">
        <x:v>10</x:v>
      </x:c>
      <x:c r="E2" s="22" t="n">
        <x:v>1</x:v>
      </x:c>
      <x:c r="F2" s="22" t="n">
        <x:v>99.99766</x:v>
      </x:c>
      <x:c r="G2" s="22" t="n">
        <x:v>0</x:v>
      </x:c>
      <x:c r="H2" s="22" t="n">
        <x:v>100.01055</x:v>
      </x:c>
      <x:c r="I2" s="22" t="n">
        <x:v>100.01505</x:v>
      </x:c>
      <x:c r="J2" s="22" t="n">
        <x:v>99.99218</x:v>
      </x:c>
      <x:c r="K2" s="22" t="n">
        <x:v>0.20592</x:v>
      </x:c>
      <x:c r="L2" s="22" t="n">
        <x:v>0</x:v>
      </x:c>
      <x:c r="M2" s="22" t="n">
        <x:v>0.11588</x:v>
      </x:c>
      <x:c r="N2" s="22" t="n">
        <x:v>0</x:v>
      </x:c>
      <x:c r="O2" s="22" t="n">
        <x:v>0.36369</x:v>
      </x:c>
      <x:c r="P2" s="22" t="n">
        <x:v>0</x:v>
      </x:c>
      <x:c r="Q2" s="22" t="n">
        <x:v>0.434</x:v>
      </x:c>
      <x:c r="R2" s="22" t="n">
        <x:v>0</x:v>
      </x:c>
      <x:c r="S2" s="22" t="n">
        <x:v>0.4745</x:v>
      </x:c>
      <x:c r="T2" s="22" t="n">
        <x:v>0.267</x:v>
      </x:c>
      <x:c r="U2" s="22" t="n">
        <x:v>0.838</x:v>
      </x:c>
      <x:c r="V2" s="22" t="n">
        <x:v>0.5628</x:v>
      </x:c>
      <x:c r="W2" s="22" t="n">
        <x:v>1.7661</x:v>
      </x:c>
      <x:c r="X2" s="22" t="n">
        <x:v>0.02059</x:v>
      </x:c>
      <x:c r="Y2" s="22" t="n">
        <x:v>0.01159</x:v>
      </x:c>
      <x:c r="Z2" s="22" t="n">
        <x:v>0.03637</x:v>
      </x:c>
      <x:c r="AA2" s="22" t="n">
        <x:v>0.0434</x:v>
      </x:c>
      <x:c r="AB2" s="22" t="n">
        <x:f>ABS(F2-C2)</x:f>
        <x:v>0.0023400000000037835</x:v>
      </x:c>
    </x:row>
    <x:row r="3">
      <x:c r="A3" s="22" t="str">
        <x:v>GAIN_SWEEP</x:v>
      </x:c>
      <x:c r="B3" s="22" t="n">
        <x:v>2</x:v>
      </x:c>
      <x:c r="C3" s="22" t="n">
        <x:v>100</x:v>
      </x:c>
      <x:c r="D3" s="22" t="n">
        <x:v>11</x:v>
      </x:c>
      <x:c r="E3" s="22" t="n">
        <x:v>1</x:v>
      </x:c>
      <x:c r="F3" s="22" t="n">
        <x:v>99.99887</x:v>
      </x:c>
      <x:c r="G3" s="22" t="n">
        <x:v>0</x:v>
      </x:c>
      <x:c r="H3" s="22" t="n">
        <x:v>99.98217</x:v>
      </x:c>
      <x:c r="I3" s="22" t="n">
        <x:v>99.97979</x:v>
      </x:c>
      <x:c r="J3" s="22" t="n">
        <x:v>100.00874</x:v>
      </x:c>
      <x:c r="K3" s="22" t="n">
        <x:v>0.33339</x:v>
      </x:c>
      <x:c r="L3" s="22" t="n">
        <x:v>0</x:v>
      </x:c>
      <x:c r="M3" s="22" t="n">
        <x:v>0.26494</x:v>
      </x:c>
      <x:c r="N3" s="22" t="n">
        <x:v>0</x:v>
      </x:c>
      <x:c r="O3" s="22" t="n">
        <x:v>0.49317</x:v>
      </x:c>
      <x:c r="P3" s="22" t="n">
        <x:v>0</x:v>
      </x:c>
      <x:c r="Q3" s="22" t="n">
        <x:v>0.65179</x:v>
      </x:c>
      <x:c r="R3" s="22" t="n">
        <x:v>0</x:v>
      </x:c>
      <x:c r="S3" s="22" t="n">
        <x:v>0.5115</x:v>
      </x:c>
      <x:c r="T3" s="22" t="n">
        <x:v>0.4065</x:v>
      </x:c>
      <x:c r="U3" s="22" t="n">
        <x:v>0.7566</x:v>
      </x:c>
      <x:c r="V3" s="22" t="n">
        <x:v>0.7947</x:v>
      </x:c>
      <x:c r="W3" s="22" t="n">
        <x:v>1.4793</x:v>
      </x:c>
      <x:c r="X3" s="22" t="n">
        <x:v>0.03031</x:v>
      </x:c>
      <x:c r="Y3" s="22" t="n">
        <x:v>0.02409</x:v>
      </x:c>
      <x:c r="Z3" s="22" t="n">
        <x:v>0.04483</x:v>
      </x:c>
      <x:c r="AA3" s="22" t="n">
        <x:v>0.05925</x:v>
      </x:c>
      <x:c r="AB3" s="22" t="n">
        <x:f>ABS(F3-C3)</x:f>
        <x:v>0.001130000000003406</x:v>
      </x:c>
    </x:row>
    <x:row r="4">
      <x:c r="A4" s="22" t="str">
        <x:v>GAIN_SWEEP</x:v>
      </x:c>
      <x:c r="B4" s="22" t="n">
        <x:v>3</x:v>
      </x:c>
      <x:c r="C4" s="22" t="n">
        <x:v>100</x:v>
      </x:c>
      <x:c r="D4" s="22" t="n">
        <x:v>12</x:v>
      </x:c>
      <x:c r="E4" s="22" t="n">
        <x:v>1</x:v>
      </x:c>
      <x:c r="F4" s="22" t="n">
        <x:v>99.97936</x:v>
      </x:c>
      <x:c r="G4" s="22" t="n">
        <x:v>0</x:v>
      </x:c>
      <x:c r="H4" s="22" t="n">
        <x:v>99.9598</x:v>
      </x:c>
      <x:c r="I4" s="22" t="n">
        <x:v>99.97458</x:v>
      </x:c>
      <x:c r="J4" s="22" t="n">
        <x:v>100.01617</x:v>
      </x:c>
      <x:c r="K4" s="22" t="n">
        <x:v>1.19863</x:v>
      </x:c>
      <x:c r="L4" s="22" t="n">
        <x:v>0</x:v>
      </x:c>
      <x:c r="M4" s="22" t="n">
        <x:v>1.07706</x:v>
      </x:c>
      <x:c r="N4" s="22" t="n">
        <x:v>0</x:v>
      </x:c>
      <x:c r="O4" s="22" t="n">
        <x:v>0.85251</x:v>
      </x:c>
      <x:c r="P4" s="22" t="n">
        <x:v>0</x:v>
      </x:c>
      <x:c r="Q4" s="22" t="n">
        <x:v>1.82322</x:v>
      </x:c>
      <x:c r="R4" s="22" t="n">
        <x:v>0</x:v>
      </x:c>
      <x:c r="S4" s="22" t="n">
        <x:v>0.6574</x:v>
      </x:c>
      <x:c r="T4" s="22" t="n">
        <x:v>0.5907</x:v>
      </x:c>
      <x:c r="U4" s="22" t="n">
        <x:v>0.4676</x:v>
      </x:c>
      <x:c r="V4" s="22" t="n">
        <x:v>0.8986</x:v>
      </x:c>
      <x:c r="W4" s="22" t="n">
        <x:v>0.7112</x:v>
      </x:c>
      <x:c r="X4" s="22" t="n">
        <x:v>0.09989</x:v>
      </x:c>
      <x:c r="Y4" s="22" t="n">
        <x:v>0.08975</x:v>
      </x:c>
      <x:c r="Z4" s="22" t="n">
        <x:v>0.07104</x:v>
      </x:c>
      <x:c r="AA4" s="22" t="n">
        <x:v>0.15193</x:v>
      </x:c>
      <x:c r="AB4" s="22" t="n">
        <x:f>ABS(F4-C4)</x:f>
        <x:v>0.020640000000000214</x:v>
      </x:c>
    </x:row>
    <x:row r="5">
      <x:c r="A5" s="22" t="str">
        <x:v>GAIN_SWEEP</x:v>
      </x:c>
      <x:c r="B5" s="22" t="n">
        <x:v>4</x:v>
      </x:c>
      <x:c r="C5" s="22" t="n">
        <x:v>100</x:v>
      </x:c>
      <x:c r="D5" s="22" t="n">
        <x:v>13</x:v>
      </x:c>
      <x:c r="E5" s="22" t="n">
        <x:v>1</x:v>
      </x:c>
      <x:c r="F5" s="22" t="n">
        <x:v>99.99715</x:v>
      </x:c>
      <x:c r="G5" s="22" t="n">
        <x:v>0</x:v>
      </x:c>
      <x:c r="H5" s="22" t="n">
        <x:v>99.9937</x:v>
      </x:c>
      <x:c r="I5" s="22" t="n">
        <x:v>100.00151</x:v>
      </x:c>
      <x:c r="J5" s="22" t="n">
        <x:v>99.99831</x:v>
      </x:c>
      <x:c r="K5" s="22" t="n">
        <x:v>1.46801</x:v>
      </x:c>
      <x:c r="L5" s="22" t="n">
        <x:v>0</x:v>
      </x:c>
      <x:c r="M5" s="22" t="n">
        <x:v>1.23041</x:v>
      </x:c>
      <x:c r="N5" s="22" t="n">
        <x:v>0</x:v>
      </x:c>
      <x:c r="O5" s="22" t="n">
        <x:v>0.97872</x:v>
      </x:c>
      <x:c r="P5" s="22" t="n">
        <x:v>0</x:v>
      </x:c>
      <x:c r="Q5" s="22" t="n">
        <x:v>2.15533</x:v>
      </x:c>
      <x:c r="R5" s="22" t="n">
        <x:v>0</x:v>
      </x:c>
      <x:c r="S5" s="22" t="n">
        <x:v>0.6811</x:v>
      </x:c>
      <x:c r="T5" s="22" t="n">
        <x:v>0.5709</x:v>
      </x:c>
      <x:c r="U5" s="22" t="n">
        <x:v>0.4541</x:v>
      </x:c>
      <x:c r="V5" s="22" t="n">
        <x:v>0.8381</x:v>
      </x:c>
      <x:c r="W5" s="22" t="n">
        <x:v>0.6667</x:v>
      </x:c>
      <x:c r="X5" s="22" t="n">
        <x:v>0.11292</x:v>
      </x:c>
      <x:c r="Y5" s="22" t="n">
        <x:v>0.09465</x:v>
      </x:c>
      <x:c r="Z5" s="22" t="n">
        <x:v>0.07529</x:v>
      </x:c>
      <x:c r="AA5" s="22" t="n">
        <x:v>0.16579</x:v>
      </x:c>
      <x:c r="AB5" s="22" t="n">
        <x:f>ABS(F5-C5)</x:f>
        <x:v>0.002849999999995134</x:v>
      </x:c>
    </x:row>
    <x:row r="6">
      <x:c r="A6" s="22" t="str">
        <x:v>GAIN_SWEEP</x:v>
      </x:c>
      <x:c r="B6" s="22" t="n">
        <x:v>5</x:v>
      </x:c>
      <x:c r="C6" s="22" t="n">
        <x:v>100</x:v>
      </x:c>
      <x:c r="D6" s="22" t="n">
        <x:v>14</x:v>
      </x:c>
      <x:c r="E6" s="22" t="n">
        <x:v>1</x:v>
      </x:c>
      <x:c r="F6" s="22" t="n">
        <x:v>99.99579</x:v>
      </x:c>
      <x:c r="G6" s="22" t="n">
        <x:v>0</x:v>
      </x:c>
      <x:c r="H6" s="22" t="n">
        <x:v>99.99302</x:v>
      </x:c>
      <x:c r="I6" s="22" t="n">
        <x:v>99.99829</x:v>
      </x:c>
      <x:c r="J6" s="22" t="n">
        <x:v>99.99844</x:v>
      </x:c>
      <x:c r="K6" s="22" t="n">
        <x:v>2.16977</x:v>
      </x:c>
      <x:c r="L6" s="22" t="n">
        <x:v>0</x:v>
      </x:c>
      <x:c r="M6" s="22" t="n">
        <x:v>1.8301</x:v>
      </x:c>
      <x:c r="N6" s="22" t="n">
        <x:v>0</x:v>
      </x:c>
      <x:c r="O6" s="22" t="n">
        <x:v>1.38395</x:v>
      </x:c>
      <x:c r="P6" s="22" t="n">
        <x:v>0</x:v>
      </x:c>
      <x:c r="Q6" s="22" t="n">
        <x:v>3.15806</x:v>
      </x:c>
      <x:c r="R6" s="22" t="n">
        <x:v>0</x:v>
      </x:c>
      <x:c r="S6" s="22" t="n">
        <x:v>0.6871</x:v>
      </x:c>
      <x:c r="T6" s="22" t="n">
        <x:v>0.5795</x:v>
      </x:c>
      <x:c r="U6" s="22" t="n">
        <x:v>0.4382</x:v>
      </x:c>
      <x:c r="V6" s="22" t="n">
        <x:v>0.8435</x:v>
      </x:c>
      <x:c r="W6" s="22" t="n">
        <x:v>0.6378</x:v>
      </x:c>
      <x:c r="X6" s="22" t="n">
        <x:v>0.15498</x:v>
      </x:c>
      <x:c r="Y6" s="22" t="n">
        <x:v>0.13072</x:v>
      </x:c>
      <x:c r="Z6" s="22" t="n">
        <x:v>0.09885</x:v>
      </x:c>
      <x:c r="AA6" s="22" t="n">
        <x:v>0.22558</x:v>
      </x:c>
      <x:c r="AB6" s="22" t="n">
        <x:f>ABS(F6-C6)</x:f>
        <x:v>0.004210000000000491</x:v>
      </x:c>
    </x:row>
    <x:row r="7">
      <x:c r="A7" s="22" t="str">
        <x:v>GAIN_SWEEP</x:v>
      </x:c>
      <x:c r="B7" s="22" t="n">
        <x:v>6</x:v>
      </x:c>
      <x:c r="C7" s="22" t="n">
        <x:v>100</x:v>
      </x:c>
      <x:c r="D7" s="22" t="n">
        <x:v>15</x:v>
      </x:c>
      <x:c r="E7" s="22" t="n">
        <x:v>1</x:v>
      </x:c>
      <x:c r="F7" s="22" t="n">
        <x:v>99.99392</x:v>
      </x:c>
      <x:c r="G7" s="22" t="n">
        <x:v>0</x:v>
      </x:c>
      <x:c r="H7" s="22" t="n">
        <x:v>99.99235</x:v>
      </x:c>
      <x:c r="I7" s="22" t="n">
        <x:v>99.9933</x:v>
      </x:c>
      <x:c r="J7" s="22" t="n">
        <x:v>99.99872</x:v>
      </x:c>
      <x:c r="K7" s="22" t="n">
        <x:v>2.31402</x:v>
      </x:c>
      <x:c r="L7" s="22" t="n">
        <x:v>0</x:v>
      </x:c>
      <x:c r="M7" s="22" t="n">
        <x:v>2.05378</x:v>
      </x:c>
      <x:c r="N7" s="22" t="n">
        <x:v>0</x:v>
      </x:c>
      <x:c r="O7" s="22" t="n">
        <x:v>1.57215</x:v>
      </x:c>
      <x:c r="P7" s="22" t="n">
        <x:v>0</x:v>
      </x:c>
      <x:c r="Q7" s="22" t="n">
        <x:v>3.47061</x:v>
      </x:c>
      <x:c r="R7" s="22" t="n">
        <x:v>0</x:v>
      </x:c>
      <x:c r="S7" s="22" t="n">
        <x:v>0.6667</x:v>
      </x:c>
      <x:c r="T7" s="22" t="n">
        <x:v>0.5918</x:v>
      </x:c>
      <x:c r="U7" s="22" t="n">
        <x:v>0.453</x:v>
      </x:c>
      <x:c r="V7" s="22" t="n">
        <x:v>0.8875</x:v>
      </x:c>
      <x:c r="W7" s="22" t="n">
        <x:v>0.6794</x:v>
      </x:c>
      <x:c r="X7" s="22" t="n">
        <x:v>0.15427</x:v>
      </x:c>
      <x:c r="Y7" s="22" t="n">
        <x:v>0.13692</x:v>
      </x:c>
      <x:c r="Z7" s="22" t="n">
        <x:v>0.10481</x:v>
      </x:c>
      <x:c r="AA7" s="22" t="n">
        <x:v>0.23137</x:v>
      </x:c>
      <x:c r="AB7" s="22" t="n">
        <x:f>ABS(F7-C7)</x:f>
        <x:v>0.006079999999997199</x:v>
      </x:c>
    </x:row>
    <x:row r="8">
      <x:c r="A8" s="22" t="str">
        <x:v>GAIN_SWEEP</x:v>
      </x:c>
      <x:c r="B8" s="22" t="n">
        <x:v>1</x:v>
      </x:c>
      <x:c r="C8" s="22" t="n">
        <x:v>125</x:v>
      </x:c>
      <x:c r="D8" s="22" t="n">
        <x:v>10</x:v>
      </x:c>
      <x:c r="E8" s="22" t="n">
        <x:v>1</x:v>
      </x:c>
      <x:c r="F8" s="22" t="n">
        <x:v>124.98258</x:v>
      </x:c>
      <x:c r="G8" s="22" t="n">
        <x:v>0</x:v>
      </x:c>
      <x:c r="H8" s="22" t="n">
        <x:v>124.95049</x:v>
      </x:c>
      <x:c r="I8" s="22" t="n">
        <x:v>124.96953</x:v>
      </x:c>
      <x:c r="J8" s="22" t="n">
        <x:v>125.03985</x:v>
      </x:c>
      <x:c r="K8" s="22" t="n">
        <x:v>0.09842</x:v>
      </x:c>
      <x:c r="L8" s="22" t="n">
        <x:v>0</x:v>
      </x:c>
      <x:c r="M8" s="22" t="n">
        <x:v>0.43396</x:v>
      </x:c>
      <x:c r="N8" s="22" t="n">
        <x:v>0</x:v>
      </x:c>
      <x:c r="O8" s="22" t="n">
        <x:v>0.20861</x:v>
      </x:c>
      <x:c r="P8" s="22" t="n">
        <x:v>0</x:v>
      </x:c>
      <x:c r="Q8" s="22" t="n">
        <x:v>0.49177</x:v>
      </x:c>
      <x:c r="R8" s="22" t="n">
        <x:v>0</x:v>
      </x:c>
      <x:c r="S8" s="22" t="n">
        <x:v>0.2001</x:v>
      </x:c>
      <x:c r="T8" s="22" t="n">
        <x:v>0.8825</x:v>
      </x:c>
      <x:c r="U8" s="22" t="n">
        <x:v>0.4242</x:v>
      </x:c>
      <x:c r="V8" s="22" t="n">
        <x:v>4.4091</x:v>
      </x:c>
      <x:c r="W8" s="22" t="n">
        <x:v>2.1195</x:v>
      </x:c>
      <x:c r="X8" s="22" t="n">
        <x:v>0.00984</x:v>
      </x:c>
      <x:c r="Y8" s="22" t="n">
        <x:v>0.0434</x:v>
      </x:c>
      <x:c r="Z8" s="22" t="n">
        <x:v>0.02086</x:v>
      </x:c>
      <x:c r="AA8" s="22" t="n">
        <x:v>0.04918</x:v>
      </x:c>
      <x:c r="AB8" s="22" t="n">
        <x:f>ABS(F8-C8)</x:f>
        <x:v>0.017420000000001323</x:v>
      </x:c>
    </x:row>
    <x:row r="9">
      <x:c r="A9" s="22" t="str">
        <x:v>GAIN_SWEEP</x:v>
      </x:c>
      <x:c r="B9" s="22" t="n">
        <x:v>2</x:v>
      </x:c>
      <x:c r="C9" s="22" t="n">
        <x:v>125</x:v>
      </x:c>
      <x:c r="D9" s="22" t="n">
        <x:v>11</x:v>
      </x:c>
      <x:c r="E9" s="22" t="n">
        <x:v>1</x:v>
      </x:c>
      <x:c r="F9" s="22" t="n">
        <x:v>124.99417</x:v>
      </x:c>
      <x:c r="G9" s="22" t="n">
        <x:v>0</x:v>
      </x:c>
      <x:c r="H9" s="22" t="n">
        <x:v>124.98326</x:v>
      </x:c>
      <x:c r="I9" s="22" t="n">
        <x:v>124.99696</x:v>
      </x:c>
      <x:c r="J9" s="22" t="n">
        <x:v>124.9841</x:v>
      </x:c>
      <x:c r="K9" s="22" t="n">
        <x:v>0.26609</x:v>
      </x:c>
      <x:c r="L9" s="22" t="n">
        <x:v>0</x:v>
      </x:c>
      <x:c r="M9" s="22" t="n">
        <x:v>0.85828</x:v>
      </x:c>
      <x:c r="N9" s="22" t="n">
        <x:v>0</x:v>
      </x:c>
      <x:c r="O9" s="22" t="n">
        <x:v>0.3371</x:v>
      </x:c>
      <x:c r="P9" s="22" t="n">
        <x:v>0</x:v>
      </x:c>
      <x:c r="Q9" s="22" t="n">
        <x:v>0.95987</x:v>
      </x:c>
      <x:c r="R9" s="22" t="n">
        <x:v>0</x:v>
      </x:c>
      <x:c r="S9" s="22" t="n">
        <x:v>0.2772</x:v>
      </x:c>
      <x:c r="T9" s="22" t="n">
        <x:v>0.8942</x:v>
      </x:c>
      <x:c r="U9" s="22" t="n">
        <x:v>0.3512</x:v>
      </x:c>
      <x:c r="V9" s="22" t="n">
        <x:v>3.2256</x:v>
      </x:c>
      <x:c r="W9" s="22" t="n">
        <x:v>1.2669</x:v>
      </x:c>
      <x:c r="X9" s="22" t="n">
        <x:v>0.02419</x:v>
      </x:c>
      <x:c r="Y9" s="22" t="n">
        <x:v>0.07803</x:v>
      </x:c>
      <x:c r="Z9" s="22" t="n">
        <x:v>0.03065</x:v>
      </x:c>
      <x:c r="AA9" s="22" t="n">
        <x:v>0.08726</x:v>
      </x:c>
      <x:c r="AB9" s="22" t="n">
        <x:f>ABS(F9-C9)</x:f>
        <x:v>0.0058300000000031105</x:v>
      </x:c>
    </x:row>
    <x:row r="10">
      <x:c r="A10" s="22" t="str">
        <x:v>GAIN_SWEEP</x:v>
      </x:c>
      <x:c r="B10" s="22" t="n">
        <x:v>3</x:v>
      </x:c>
      <x:c r="C10" s="22" t="n">
        <x:v>125</x:v>
      </x:c>
      <x:c r="D10" s="22" t="n">
        <x:v>12</x:v>
      </x:c>
      <x:c r="E10" s="22" t="n">
        <x:v>1</x:v>
      </x:c>
      <x:c r="F10" s="22" t="n">
        <x:v>125.00933</x:v>
      </x:c>
      <x:c r="G10" s="22" t="n">
        <x:v>0</x:v>
      </x:c>
      <x:c r="H10" s="22" t="n">
        <x:v>125.00708</x:v>
      </x:c>
      <x:c r="I10" s="22" t="n">
        <x:v>125.00811</x:v>
      </x:c>
      <x:c r="J10" s="22" t="n">
        <x:v>125.01953</x:v>
      </x:c>
      <x:c r="K10" s="22" t="n">
        <x:v>0.36782</x:v>
      </x:c>
      <x:c r="L10" s="22" t="n">
        <x:v>0</x:v>
      </x:c>
      <x:c r="M10" s="22" t="n">
        <x:v>1.13109</x:v>
      </x:c>
      <x:c r="N10" s="22" t="n">
        <x:v>0</x:v>
      </x:c>
      <x:c r="O10" s="22" t="n">
        <x:v>0.4202</x:v>
      </x:c>
      <x:c r="P10" s="22" t="n">
        <x:v>0</x:v>
      </x:c>
      <x:c r="Q10" s="22" t="n">
        <x:v>1.26153</x:v>
      </x:c>
      <x:c r="R10" s="22" t="n">
        <x:v>0</x:v>
      </x:c>
      <x:c r="S10" s="22" t="n">
        <x:v>0.2916</x:v>
      </x:c>
      <x:c r="T10" s="22" t="n">
        <x:v>0.8966</x:v>
      </x:c>
      <x:c r="U10" s="22" t="n">
        <x:v>0.3331</x:v>
      </x:c>
      <x:c r="V10" s="22" t="n">
        <x:v>3.0752</x:v>
      </x:c>
      <x:c r="W10" s="22" t="n">
        <x:v>1.1424</x:v>
      </x:c>
      <x:c r="X10" s="22" t="n">
        <x:v>0.03065</x:v>
      </x:c>
      <x:c r="Y10" s="22" t="n">
        <x:v>0.09426</x:v>
      </x:c>
      <x:c r="Z10" s="22" t="n">
        <x:v>0.03502</x:v>
      </x:c>
      <x:c r="AA10" s="22" t="n">
        <x:v>0.10513</x:v>
      </x:c>
      <x:c r="AB10" s="22" t="n">
        <x:f>ABS(F10-C10)</x:f>
        <x:v>0.009330000000005612</x:v>
      </x:c>
    </x:row>
    <x:row r="11">
      <x:c r="A11" s="22" t="str">
        <x:v>GAIN_SWEEP</x:v>
      </x:c>
      <x:c r="B11" s="22" t="n">
        <x:v>4</x:v>
      </x:c>
      <x:c r="C11" s="22" t="n">
        <x:v>125</x:v>
      </x:c>
      <x:c r="D11" s="22" t="n">
        <x:v>13</x:v>
      </x:c>
      <x:c r="E11" s="22" t="n">
        <x:v>1</x:v>
      </x:c>
      <x:c r="F11" s="22" t="n">
        <x:v>124.9989</x:v>
      </x:c>
      <x:c r="G11" s="22" t="n">
        <x:v>0</x:v>
      </x:c>
      <x:c r="H11" s="22" t="n">
        <x:v>124.9988</x:v>
      </x:c>
      <x:c r="I11" s="22" t="n">
        <x:v>124.99715</x:v>
      </x:c>
      <x:c r="J11" s="22" t="n">
        <x:v>125.01504</x:v>
      </x:c>
      <x:c r="K11" s="22" t="n">
        <x:v>0.50899</x:v>
      </x:c>
      <x:c r="L11" s="22" t="n">
        <x:v>0</x:v>
      </x:c>
      <x:c r="M11" s="22" t="n">
        <x:v>1.56406</x:v>
      </x:c>
      <x:c r="N11" s="22" t="n">
        <x:v>0</x:v>
      </x:c>
      <x:c r="O11" s="22" t="n">
        <x:v>0.50429</x:v>
      </x:c>
      <x:c r="P11" s="22" t="n">
        <x:v>0</x:v>
      </x:c>
      <x:c r="Q11" s="22" t="n">
        <x:v>1.72055</x:v>
      </x:c>
      <x:c r="R11" s="22" t="n">
        <x:v>0</x:v>
      </x:c>
      <x:c r="S11" s="22" t="n">
        <x:v>0.2958</x:v>
      </x:c>
      <x:c r="T11" s="22" t="n">
        <x:v>0.909</x:v>
      </x:c>
      <x:c r="U11" s="22" t="n">
        <x:v>0.2931</x:v>
      </x:c>
      <x:c r="V11" s="22" t="n">
        <x:v>3.0729</x:v>
      </x:c>
      <x:c r="W11" s="22" t="n">
        <x:v>0.9908</x:v>
      </x:c>
      <x:c r="X11" s="22" t="n">
        <x:v>0.03915</x:v>
      </x:c>
      <x:c r="Y11" s="22" t="n">
        <x:v>0.12031</x:v>
      </x:c>
      <x:c r="Z11" s="22" t="n">
        <x:v>0.03879</x:v>
      </x:c>
      <x:c r="AA11" s="22" t="n">
        <x:v>0.13235</x:v>
      </x:c>
      <x:c r="AB11" s="22" t="n">
        <x:f>ABS(F11-C11)</x:f>
        <x:v>0.0010999999999938836</x:v>
      </x:c>
    </x:row>
    <x:row r="12">
      <x:c r="A12" s="22" t="str">
        <x:v>GAIN_SWEEP</x:v>
      </x:c>
      <x:c r="B12" s="22" t="n">
        <x:v>5</x:v>
      </x:c>
      <x:c r="C12" s="22" t="n">
        <x:v>125</x:v>
      </x:c>
      <x:c r="D12" s="22" t="n">
        <x:v>14</x:v>
      </x:c>
      <x:c r="E12" s="22" t="n">
        <x:v>1</x:v>
      </x:c>
      <x:c r="F12" s="22" t="n">
        <x:v>125.00259</x:v>
      </x:c>
      <x:c r="G12" s="22" t="n">
        <x:v>0</x:v>
      </x:c>
      <x:c r="H12" s="22" t="n">
        <x:v>125.00224</x:v>
      </x:c>
      <x:c r="I12" s="22" t="n">
        <x:v>125.00176</x:v>
      </x:c>
      <x:c r="J12" s="22" t="n">
        <x:v>125.01179</x:v>
      </x:c>
      <x:c r="K12" s="22" t="n">
        <x:v>0.63429</x:v>
      </x:c>
      <x:c r="L12" s="22" t="n">
        <x:v>0</x:v>
      </x:c>
      <x:c r="M12" s="22" t="n">
        <x:v>1.87806</x:v>
      </x:c>
      <x:c r="N12" s="22" t="n">
        <x:v>0</x:v>
      </x:c>
      <x:c r="O12" s="22" t="n">
        <x:v>0.5902</x:v>
      </x:c>
      <x:c r="P12" s="22" t="n">
        <x:v>0</x:v>
      </x:c>
      <x:c r="Q12" s="22" t="n">
        <x:v>2.06833</x:v>
      </x:c>
      <x:c r="R12" s="22" t="n">
        <x:v>0</x:v>
      </x:c>
      <x:c r="S12" s="22" t="n">
        <x:v>0.3067</x:v>
      </x:c>
      <x:c r="T12" s="22" t="n">
        <x:v>0.908</x:v>
      </x:c>
      <x:c r="U12" s="22" t="n">
        <x:v>0.2854</x:v>
      </x:c>
      <x:c r="V12" s="22" t="n">
        <x:v>2.9609</x:v>
      </x:c>
      <x:c r="W12" s="22" t="n">
        <x:v>0.9305</x:v>
      </x:c>
      <x:c r="X12" s="22" t="n">
        <x:v>0.04531</x:v>
      </x:c>
      <x:c r="Y12" s="22" t="n">
        <x:v>0.13415</x:v>
      </x:c>
      <x:c r="Z12" s="22" t="n">
        <x:v>0.04216</x:v>
      </x:c>
      <x:c r="AA12" s="22" t="n">
        <x:v>0.14774</x:v>
      </x:c>
      <x:c r="AB12" s="22" t="n">
        <x:f>ABS(F12-C12)</x:f>
        <x:v>0.0025899999999978718</x:v>
      </x:c>
    </x:row>
    <x:row r="13">
      <x:c r="A13" s="22" t="str">
        <x:v>GAIN_SWEEP</x:v>
      </x:c>
      <x:c r="B13" s="22" t="n">
        <x:v>6</x:v>
      </x:c>
      <x:c r="C13" s="22" t="n">
        <x:v>125</x:v>
      </x:c>
      <x:c r="D13" s="22" t="n">
        <x:v>15</x:v>
      </x:c>
      <x:c r="E13" s="22" t="n">
        <x:v>1</x:v>
      </x:c>
      <x:c r="F13" s="22" t="n">
        <x:v>124.997</x:v>
      </x:c>
      <x:c r="G13" s="22" t="n">
        <x:v>0</x:v>
      </x:c>
      <x:c r="H13" s="22" t="n">
        <x:v>124.99581</x:v>
      </x:c>
      <x:c r="I13" s="22" t="n">
        <x:v>124.99794</x:v>
      </x:c>
      <x:c r="J13" s="22" t="n">
        <x:v>124.98869</x:v>
      </x:c>
      <x:c r="K13" s="22" t="n">
        <x:v>0.79395</x:v>
      </x:c>
      <x:c r="L13" s="22" t="n">
        <x:v>0</x:v>
      </x:c>
      <x:c r="M13" s="22" t="n">
        <x:v>2.26703</x:v>
      </x:c>
      <x:c r="N13" s="22" t="n">
        <x:v>0</x:v>
      </x:c>
      <x:c r="O13" s="22" t="n">
        <x:v>0.70313</x:v>
      </x:c>
      <x:c r="P13" s="22" t="n">
        <x:v>0</x:v>
      </x:c>
      <x:c r="Q13" s="22" t="n">
        <x:v>2.50293</x:v>
      </x:c>
      <x:c r="R13" s="22" t="n">
        <x:v>0</x:v>
      </x:c>
      <x:c r="S13" s="22" t="n">
        <x:v>0.3172</x:v>
      </x:c>
      <x:c r="T13" s="22" t="n">
        <x:v>0.9057</x:v>
      </x:c>
      <x:c r="U13" s="22" t="n">
        <x:v>0.2809</x:v>
      </x:c>
      <x:c r="V13" s="22" t="n">
        <x:v>2.8554</x:v>
      </x:c>
      <x:c r="W13" s="22" t="n">
        <x:v>0.8856</x:v>
      </x:c>
      <x:c r="X13" s="22" t="n">
        <x:v>0.05293</x:v>
      </x:c>
      <x:c r="Y13" s="22" t="n">
        <x:v>0.15114</x:v>
      </x:c>
      <x:c r="Z13" s="22" t="n">
        <x:v>0.04688</x:v>
      </x:c>
      <x:c r="AA13" s="22" t="n">
        <x:v>0.16686</x:v>
      </x:c>
      <x:c r="AB13" s="22" t="n">
        <x:f>ABS(F13-C13)</x:f>
        <x:v>0.0030000000000001137</x:v>
      </x:c>
    </x:row>
    <x:row r="14">
      <x:c r="A14" s="22" t="str">
        <x:v>GAIN_SWEEP</x:v>
      </x:c>
      <x:c r="B14" s="22" t="n">
        <x:v>1</x:v>
      </x:c>
      <x:c r="C14" s="22" t="n">
        <x:v>150</x:v>
      </x:c>
      <x:c r="D14" s="22" t="n">
        <x:v>10</x:v>
      </x:c>
      <x:c r="E14" s="22" t="n">
        <x:v>1</x:v>
      </x:c>
      <x:c r="F14" s="22" t="n">
        <x:v>150.00767</x:v>
      </x:c>
      <x:c r="G14" s="22" t="n">
        <x:v>0</x:v>
      </x:c>
      <x:c r="H14" s="22" t="n">
        <x:v>150.00126</x:v>
      </x:c>
      <x:c r="I14" s="22" t="n">
        <x:v>149.99279</x:v>
      </x:c>
      <x:c r="J14" s="22" t="n">
        <x:v>150.02011</x:v>
      </x:c>
      <x:c r="K14" s="22" t="n">
        <x:v>0.02435</x:v>
      </x:c>
      <x:c r="L14" s="22" t="n">
        <x:v>0</x:v>
      </x:c>
      <x:c r="M14" s="22" t="n">
        <x:v>0.10561</x:v>
      </x:c>
      <x:c r="N14" s="22" t="n">
        <x:v>0</x:v>
      </x:c>
      <x:c r="O14" s="22" t="n">
        <x:v>0.14192</x:v>
      </x:c>
      <x:c r="P14" s="22" t="n">
        <x:v>0</x:v>
      </x:c>
      <x:c r="Q14" s="22" t="n">
        <x:v>0.17939</x:v>
      </x:c>
      <x:c r="R14" s="22" t="n">
        <x:v>0</x:v>
      </x:c>
      <x:c r="S14" s="22" t="n">
        <x:v>0.1357</x:v>
      </x:c>
      <x:c r="T14" s="22" t="n">
        <x:v>0.5887</x:v>
      </x:c>
      <x:c r="U14" s="22" t="n">
        <x:v>0.7911</x:v>
      </x:c>
      <x:c r="V14" s="22" t="n">
        <x:v>4.3367</x:v>
      </x:c>
      <x:c r="W14" s="22" t="n">
        <x:v>5.8281</x:v>
      </x:c>
      <x:c r="X14" s="22" t="n">
        <x:v>0.00244</x:v>
      </x:c>
      <x:c r="Y14" s="22" t="n">
        <x:v>0.01056</x:v>
      </x:c>
      <x:c r="Z14" s="22" t="n">
        <x:v>0.01419</x:v>
      </x:c>
      <x:c r="AA14" s="22" t="n">
        <x:v>0.01794</x:v>
      </x:c>
      <x:c r="AB14" s="22" t="n">
        <x:f>ABS(F14-C14)</x:f>
        <x:v>0.007669999999990296</x:v>
      </x:c>
    </x:row>
    <x:row r="15">
      <x:c r="A15" s="22" t="str">
        <x:v>GAIN_SWEEP</x:v>
      </x:c>
      <x:c r="B15" s="22" t="n">
        <x:v>2</x:v>
      </x:c>
      <x:c r="C15" s="22" t="n">
        <x:v>150</x:v>
      </x:c>
      <x:c r="D15" s="22" t="n">
        <x:v>11</x:v>
      </x:c>
      <x:c r="E15" s="22" t="n">
        <x:v>1</x:v>
      </x:c>
      <x:c r="F15" s="22" t="n">
        <x:v>149.99303</x:v>
      </x:c>
      <x:c r="G15" s="22" t="n">
        <x:v>0</x:v>
      </x:c>
      <x:c r="H15" s="22" t="n">
        <x:v>149.92954</x:v>
      </x:c>
      <x:c r="I15" s="22" t="n">
        <x:v>150.02682</x:v>
      </x:c>
      <x:c r="J15" s="22" t="n">
        <x:v>149.97673</x:v>
      </x:c>
      <x:c r="K15" s="22" t="n">
        <x:v>0.02371</x:v>
      </x:c>
      <x:c r="L15" s="22" t="n">
        <x:v>0</x:v>
      </x:c>
      <x:c r="M15" s="22" t="n">
        <x:v>0.12261</x:v>
      </x:c>
      <x:c r="N15" s="22" t="n">
        <x:v>0</x:v>
      </x:c>
      <x:c r="O15" s="22" t="n">
        <x:v>0.16514</x:v>
      </x:c>
      <x:c r="P15" s="22" t="n">
        <x:v>0</x:v>
      </x:c>
      <x:c r="Q15" s="22" t="n">
        <x:v>0.20766</x:v>
      </x:c>
      <x:c r="R15" s="22" t="n">
        <x:v>0</x:v>
      </x:c>
      <x:c r="S15" s="22" t="n">
        <x:v>0.1142</x:v>
      </x:c>
      <x:c r="T15" s="22" t="n">
        <x:v>0.5905</x:v>
      </x:c>
      <x:c r="U15" s="22" t="n">
        <x:v>0.7952</x:v>
      </x:c>
      <x:c r="V15" s="22" t="n">
        <x:v>5.171</x:v>
      </x:c>
      <x:c r="W15" s="22" t="n">
        <x:v>6.9645</x:v>
      </x:c>
      <x:c r="X15" s="22" t="n">
        <x:v>0.00216</x:v>
      </x:c>
      <x:c r="Y15" s="22" t="n">
        <x:v>0.01115</x:v>
      </x:c>
      <x:c r="Z15" s="22" t="n">
        <x:v>0.01501</x:v>
      </x:c>
      <x:c r="AA15" s="22" t="n">
        <x:v>0.01888</x:v>
      </x:c>
      <x:c r="AB15" s="22" t="n">
        <x:f>ABS(F15-C15)</x:f>
        <x:v>0.00696999999999548</x:v>
      </x:c>
    </x:row>
    <x:row r="16">
      <x:c r="A16" s="22" t="str">
        <x:v>GAIN_SWEEP</x:v>
      </x:c>
      <x:c r="B16" s="22" t="n">
        <x:v>3</x:v>
      </x:c>
      <x:c r="C16" s="22" t="n">
        <x:v>150</x:v>
      </x:c>
      <x:c r="D16" s="22" t="n">
        <x:v>12</x:v>
      </x:c>
      <x:c r="E16" s="22" t="n">
        <x:v>1</x:v>
      </x:c>
      <x:c r="F16" s="22" t="n">
        <x:v>150.00252</x:v>
      </x:c>
      <x:c r="G16" s="22" t="n">
        <x:v>0</x:v>
      </x:c>
      <x:c r="H16" s="22" t="n">
        <x:v>154.76341</x:v>
      </x:c>
      <x:c r="I16" s="22" t="n">
        <x:v>150.00875</x:v>
      </x:c>
      <x:c r="J16" s="22" t="n">
        <x:v>150.00235</x:v>
      </x:c>
      <x:c r="K16" s="22" t="n">
        <x:v>0.03756</x:v>
      </x:c>
      <x:c r="L16" s="22" t="n">
        <x:v>0</x:v>
      </x:c>
      <x:c r="M16" s="22" t="n">
        <x:v>0.13965</x:v>
      </x:c>
      <x:c r="N16" s="22" t="n">
        <x:v>0</x:v>
      </x:c>
      <x:c r="O16" s="22" t="n">
        <x:v>0.18543</x:v>
      </x:c>
      <x:c r="P16" s="22" t="n">
        <x:v>0</x:v>
      </x:c>
      <x:c r="Q16" s="22" t="n">
        <x:v>0.23703</x:v>
      </x:c>
      <x:c r="R16" s="22" t="n">
        <x:v>0</x:v>
      </x:c>
      <x:c r="S16" s="22" t="n">
        <x:v>0.1585</x:v>
      </x:c>
      <x:c r="T16" s="22" t="n">
        <x:v>0.5892</x:v>
      </x:c>
      <x:c r="U16" s="22" t="n">
        <x:v>0.7823</x:v>
      </x:c>
      <x:c r="V16" s="22" t="n">
        <x:v>3.7182</x:v>
      </x:c>
      <x:c r="W16" s="22" t="n">
        <x:v>4.9369</x:v>
      </x:c>
      <x:c r="X16" s="22" t="n">
        <x:v>0.00313</x:v>
      </x:c>
      <x:c r="Y16" s="22" t="n">
        <x:v>0.01164</x:v>
      </x:c>
      <x:c r="Z16" s="22" t="n">
        <x:v>0.01545</x:v>
      </x:c>
      <x:c r="AA16" s="22" t="n">
        <x:v>0.01975</x:v>
      </x:c>
      <x:c r="AB16" s="22" t="n">
        <x:f>ABS(F16-C16)</x:f>
        <x:v>0.0025200000000040745</x:v>
      </x:c>
    </x:row>
    <x:row r="17">
      <x:c r="A17" s="22" t="str">
        <x:v>GAIN_SWEEP</x:v>
      </x:c>
      <x:c r="B17" s="22" t="n">
        <x:v>4</x:v>
      </x:c>
      <x:c r="C17" s="22" t="n">
        <x:v>150</x:v>
      </x:c>
      <x:c r="D17" s="22" t="n">
        <x:v>13</x:v>
      </x:c>
      <x:c r="E17" s="22" t="n">
        <x:v>1</x:v>
      </x:c>
      <x:c r="F17" s="22" t="n">
        <x:v>149.99353</x:v>
      </x:c>
      <x:c r="G17" s="22" t="n">
        <x:v>0</x:v>
      </x:c>
      <x:c r="H17" s="22" t="n">
        <x:v>149.9764</x:v>
      </x:c>
      <x:c r="I17" s="22" t="n">
        <x:v>149.99213</x:v>
      </x:c>
      <x:c r="J17" s="22" t="n">
        <x:v>149.99613</x:v>
      </x:c>
      <x:c r="K17" s="22" t="n">
        <x:v>0.15517</x:v>
      </x:c>
      <x:c r="L17" s="22" t="n">
        <x:v>0</x:v>
      </x:c>
      <x:c r="M17" s="22" t="n">
        <x:v>0.57488</x:v>
      </x:c>
      <x:c r="N17" s="22" t="n">
        <x:v>0</x:v>
      </x:c>
      <x:c r="O17" s="22" t="n">
        <x:v>0.58432</x:v>
      </x:c>
      <x:c r="P17" s="22" t="n">
        <x:v>0</x:v>
      </x:c>
      <x:c r="Q17" s="22" t="n">
        <x:v>0.83458</x:v>
      </x:c>
      <x:c r="R17" s="22" t="n">
        <x:v>0</x:v>
      </x:c>
      <x:c r="S17" s="22" t="n">
        <x:v>0.1859</x:v>
      </x:c>
      <x:c r="T17" s="22" t="n">
        <x:v>0.6888</x:v>
      </x:c>
      <x:c r="U17" s="22" t="n">
        <x:v>0.7001</x:v>
      </x:c>
      <x:c r="V17" s="22" t="n">
        <x:v>3.7048</x:v>
      </x:c>
      <x:c r="W17" s="22" t="n">
        <x:v>3.7656</x:v>
      </x:c>
      <x:c r="X17" s="22" t="n">
        <x:v>0.01194</x:v>
      </x:c>
      <x:c r="Y17" s="22" t="n">
        <x:v>0.04422</x:v>
      </x:c>
      <x:c r="Z17" s="22" t="n">
        <x:v>0.04495</x:v>
      </x:c>
      <x:c r="AA17" s="22" t="n">
        <x:v>0.0642</x:v>
      </x:c>
      <x:c r="AB17" s="22" t="n">
        <x:f>ABS(F17-C17)</x:f>
        <x:v>0.006470000000007303</x:v>
      </x:c>
    </x:row>
    <x:row r="18">
      <x:c r="A18" s="22" t="str">
        <x:v>GAIN_SWEEP</x:v>
      </x:c>
      <x:c r="B18" s="22" t="n">
        <x:v>5</x:v>
      </x:c>
      <x:c r="C18" s="22" t="n">
        <x:v>150</x:v>
      </x:c>
      <x:c r="D18" s="22" t="n">
        <x:v>14</x:v>
      </x:c>
      <x:c r="E18" s="22" t="n">
        <x:v>1</x:v>
      </x:c>
      <x:c r="F18" s="22" t="n">
        <x:v>150.00949</x:v>
      </x:c>
      <x:c r="G18" s="22" t="n">
        <x:v>0</x:v>
      </x:c>
      <x:c r="H18" s="22" t="n">
        <x:v>149.99226</x:v>
      </x:c>
      <x:c r="I18" s="22" t="n">
        <x:v>150.00513</x:v>
      </x:c>
      <x:c r="J18" s="22" t="n">
        <x:v>150.01628</x:v>
      </x:c>
      <x:c r="K18" s="22" t="n">
        <x:v>0.2403</x:v>
      </x:c>
      <x:c r="L18" s="22" t="n">
        <x:v>0</x:v>
      </x:c>
      <x:c r="M18" s="22" t="n">
        <x:v>0.76388</x:v>
      </x:c>
      <x:c r="N18" s="22" t="n">
        <x:v>0</x:v>
      </x:c>
      <x:c r="O18" s="22" t="n">
        <x:v>0.71499</x:v>
      </x:c>
      <x:c r="P18" s="22" t="n">
        <x:v>0</x:v>
      </x:c>
      <x:c r="Q18" s="22" t="n">
        <x:v>1.07367</x:v>
      </x:c>
      <x:c r="R18" s="22" t="n">
        <x:v>0</x:v>
      </x:c>
      <x:c r="S18" s="22" t="n">
        <x:v>0.2238</x:v>
      </x:c>
      <x:c r="T18" s="22" t="n">
        <x:v>0.7115</x:v>
      </x:c>
      <x:c r="U18" s="22" t="n">
        <x:v>0.6659</x:v>
      </x:c>
      <x:c r="V18" s="22" t="n">
        <x:v>3.1788</x:v>
      </x:c>
      <x:c r="W18" s="22" t="n">
        <x:v>2.9754</x:v>
      </x:c>
      <x:c r="X18" s="22" t="n">
        <x:v>0.01716</x:v>
      </x:c>
      <x:c r="Y18" s="22" t="n">
        <x:v>0.05456</x:v>
      </x:c>
      <x:c r="Z18" s="22" t="n">
        <x:v>0.05107</x:v>
      </x:c>
      <x:c r="AA18" s="22" t="n">
        <x:v>0.07669</x:v>
      </x:c>
      <x:c r="AB18" s="22" t="n">
        <x:f>ABS(F18-C18)</x:f>
        <x:v>0.009489999999999554</x:v>
      </x:c>
    </x:row>
    <x:row r="19">
      <x:c r="A19" s="22" t="str">
        <x:v>GAIN_SWEEP</x:v>
      </x:c>
      <x:c r="B19" s="22" t="n">
        <x:v>6</x:v>
      </x:c>
      <x:c r="C19" s="22" t="n">
        <x:v>150</x:v>
      </x:c>
      <x:c r="D19" s="22" t="n">
        <x:v>15</x:v>
      </x:c>
      <x:c r="E19" s="22" t="n">
        <x:v>1</x:v>
      </x:c>
      <x:c r="F19" s="22" t="n">
        <x:v>149.99944</x:v>
      </x:c>
      <x:c r="G19" s="22" t="n">
        <x:v>0</x:v>
      </x:c>
      <x:c r="H19" s="22" t="n">
        <x:v>150.01063</x:v>
      </x:c>
      <x:c r="I19" s="22" t="n">
        <x:v>149.9967</x:v>
      </x:c>
      <x:c r="J19" s="22" t="n">
        <x:v>150.00142</x:v>
      </x:c>
      <x:c r="K19" s="22" t="n">
        <x:v>0.30715</x:v>
      </x:c>
      <x:c r="L19" s="22" t="n">
        <x:v>0</x:v>
      </x:c>
      <x:c r="M19" s="22" t="n">
        <x:v>0.92824</x:v>
      </x:c>
      <x:c r="N19" s="22" t="n">
        <x:v>0</x:v>
      </x:c>
      <x:c r="O19" s="22" t="n">
        <x:v>0.80842</x:v>
      </x:c>
      <x:c r="P19" s="22" t="n">
        <x:v>0</x:v>
      </x:c>
      <x:c r="Q19" s="22" t="n">
        <x:v>1.26878</x:v>
      </x:c>
      <x:c r="R19" s="22" t="n">
        <x:v>0</x:v>
      </x:c>
      <x:c r="S19" s="22" t="n">
        <x:v>0.2421</x:v>
      </x:c>
      <x:c r="T19" s="22" t="n">
        <x:v>0.7316</x:v>
      </x:c>
      <x:c r="U19" s="22" t="n">
        <x:v>0.6372</x:v>
      </x:c>
      <x:c r="V19" s="22" t="n">
        <x:v>3.0221</x:v>
      </x:c>
      <x:c r="W19" s="22" t="n">
        <x:v>2.632</x:v>
      </x:c>
      <x:c r="X19" s="22" t="n">
        <x:v>0.02048</x:v>
      </x:c>
      <x:c r="Y19" s="22" t="n">
        <x:v>0.06188</x:v>
      </x:c>
      <x:c r="Z19" s="22" t="n">
        <x:v>0.05389</x:v>
      </x:c>
      <x:c r="AA19" s="22" t="n">
        <x:v>0.08459</x:v>
      </x:c>
      <x:c r="AB19" s="22" t="n">
        <x:f>ABS(F19-C19)</x:f>
        <x:v>0.0005600000000072214</x:v>
      </x:c>
    </x:row>
    <x:row r="20">
      <x:c r="A20" s="22" t="str">
        <x:v>GAIN_SWEEP</x:v>
      </x:c>
      <x:c r="B20" s="22" t="n">
        <x:v>1</x:v>
      </x:c>
      <x:c r="C20" s="22" t="n">
        <x:v>175</x:v>
      </x:c>
      <x:c r="D20" s="22" t="n">
        <x:v>10</x:v>
      </x:c>
      <x:c r="E20" s="22" t="n">
        <x:v>1</x:v>
      </x:c>
      <x:c r="F20" s="22" t="n">
        <x:v>175.01063</x:v>
      </x:c>
      <x:c r="G20" s="22" t="n">
        <x:v>0</x:v>
      </x:c>
      <x:c r="H20" s="22" t="n">
        <x:v>168.22711</x:v>
      </x:c>
      <x:c r="I20" s="22" t="n">
        <x:v>175.28491</x:v>
      </x:c>
      <x:c r="J20" s="22" t="n">
        <x:v>174.96994</x:v>
      </x:c>
      <x:c r="K20" s="22" t="n">
        <x:v>0.02837</x:v>
      </x:c>
      <x:c r="L20" s="22" t="n">
        <x:v>0</x:v>
      </x:c>
      <x:c r="M20" s="22" t="n">
        <x:v>0.09323</x:v>
      </x:c>
      <x:c r="N20" s="22" t="n">
        <x:v>0</x:v>
      </x:c>
      <x:c r="O20" s="22" t="n">
        <x:v>0.26175</x:v>
      </x:c>
      <x:c r="P20" s="22" t="n">
        <x:v>0</x:v>
      </x:c>
      <x:c r="Q20" s="22" t="n">
        <x:v>0.27953</x:v>
      </x:c>
      <x:c r="R20" s="22" t="n">
        <x:v>0</x:v>
      </x:c>
      <x:c r="S20" s="22" t="n">
        <x:v>0.1015</x:v>
      </x:c>
      <x:c r="T20" s="22" t="n">
        <x:v>0.3335</x:v>
      </x:c>
      <x:c r="U20" s="22" t="n">
        <x:v>0.9364</x:v>
      </x:c>
      <x:c r="V20" s="22" t="n">
        <x:v>3.2865</x:v>
      </x:c>
      <x:c r="W20" s="22" t="n">
        <x:v>9.2265</x:v>
      </x:c>
      <x:c r="X20" s="22" t="n">
        <x:v>0.00284</x:v>
      </x:c>
      <x:c r="Y20" s="22" t="n">
        <x:v>0.00932</x:v>
      </x:c>
      <x:c r="Z20" s="22" t="n">
        <x:v>0.02617</x:v>
      </x:c>
      <x:c r="AA20" s="22" t="n">
        <x:v>0.02795</x:v>
      </x:c>
      <x:c r="AB20" s="22" t="n">
        <x:f>ABS(F20-C20)</x:f>
        <x:v>0.010629999999991924</x:v>
      </x:c>
    </x:row>
    <x:row r="21">
      <x:c r="A21" s="22" t="str">
        <x:v>GAIN_SWEEP</x:v>
      </x:c>
      <x:c r="B21" s="22" t="n">
        <x:v>2</x:v>
      </x:c>
      <x:c r="C21" s="22" t="n">
        <x:v>175</x:v>
      </x:c>
      <x:c r="D21" s="22" t="n">
        <x:v>11</x:v>
      </x:c>
      <x:c r="E21" s="22" t="n">
        <x:v>1</x:v>
      </x:c>
      <x:c r="F21" s="22" t="n">
        <x:v>174.9817</x:v>
      </x:c>
      <x:c r="G21" s="22" t="n">
        <x:v>0</x:v>
      </x:c>
      <x:c r="H21" s="22" t="n">
        <x:v>168.30537</x:v>
      </x:c>
      <x:c r="I21" s="22" t="n">
        <x:v>174.97017</x:v>
      </x:c>
      <x:c r="J21" s="22" t="n">
        <x:v>174.98228</x:v>
      </x:c>
      <x:c r="K21" s="22" t="n">
        <x:v>0.01662</x:v>
      </x:c>
      <x:c r="L21" s="22" t="n">
        <x:v>0</x:v>
      </x:c>
      <x:c r="M21" s="22" t="n">
        <x:v>0.10453</x:v>
      </x:c>
      <x:c r="N21" s="22" t="n">
        <x:v>0</x:v>
      </x:c>
      <x:c r="O21" s="22" t="n">
        <x:v>0.30712</x:v>
      </x:c>
      <x:c r="P21" s="22" t="n">
        <x:v>0</x:v>
      </x:c>
      <x:c r="Q21" s="22" t="n">
        <x:v>0.32541</x:v>
      </x:c>
      <x:c r="R21" s="22" t="n">
        <x:v>0</x:v>
      </x:c>
      <x:c r="S21" s="22" t="n">
        <x:v>0.0511</x:v>
      </x:c>
      <x:c r="T21" s="22" t="n">
        <x:v>0.3212</x:v>
      </x:c>
      <x:c r="U21" s="22" t="n">
        <x:v>0.9438</x:v>
      </x:c>
      <x:c r="V21" s="22" t="n">
        <x:v>6.2887</x:v>
      </x:c>
      <x:c r="W21" s="22" t="n">
        <x:v>18.4765</x:v>
      </x:c>
      <x:c r="X21" s="22" t="n">
        <x:v>0.00151</x:v>
      </x:c>
      <x:c r="Y21" s="22" t="n">
        <x:v>0.0095</x:v>
      </x:c>
      <x:c r="Z21" s="22" t="n">
        <x:v>0.02792</x:v>
      </x:c>
      <x:c r="AA21" s="22" t="n">
        <x:v>0.02958</x:v>
      </x:c>
      <x:c r="AB21" s="22" t="n">
        <x:f>ABS(F21-C21)</x:f>
        <x:v>0.01830000000001064</x:v>
      </x:c>
    </x:row>
    <x:row r="22">
      <x:c r="A22" s="22" t="str">
        <x:v>GAIN_SWEEP</x:v>
      </x:c>
      <x:c r="B22" s="22" t="n">
        <x:v>3</x:v>
      </x:c>
      <x:c r="C22" s="22" t="n">
        <x:v>175</x:v>
      </x:c>
      <x:c r="D22" s="22" t="n">
        <x:v>12</x:v>
      </x:c>
      <x:c r="E22" s="22" t="n">
        <x:v>1</x:v>
      </x:c>
      <x:c r="F22" s="22" t="n">
        <x:v>174.99007</x:v>
      </x:c>
      <x:c r="G22" s="22" t="n">
        <x:v>0</x:v>
      </x:c>
      <x:c r="H22" s="22" t="n">
        <x:v>168.27783</x:v>
      </x:c>
      <x:c r="I22" s="22" t="n">
        <x:v>170.63272</x:v>
      </x:c>
      <x:c r="J22" s="22" t="n">
        <x:v>174.98665</x:v>
      </x:c>
      <x:c r="K22" s="22" t="n">
        <x:v>0.02519</x:v>
      </x:c>
      <x:c r="L22" s="22" t="n">
        <x:v>0</x:v>
      </x:c>
      <x:c r="M22" s="22" t="n">
        <x:v>0.12771</x:v>
      </x:c>
      <x:c r="N22" s="22" t="n">
        <x:v>0</x:v>
      </x:c>
      <x:c r="O22" s="22" t="n">
        <x:v>0.3308</x:v>
      </x:c>
      <x:c r="P22" s="22" t="n">
        <x:v>0</x:v>
      </x:c>
      <x:c r="Q22" s="22" t="n">
        <x:v>0.35621</x:v>
      </x:c>
      <x:c r="R22" s="22" t="n">
        <x:v>0</x:v>
      </x:c>
      <x:c r="S22" s="22" t="n">
        <x:v>0.0707</x:v>
      </x:c>
      <x:c r="T22" s="22" t="n">
        <x:v>0.3585</x:v>
      </x:c>
      <x:c r="U22" s="22" t="n">
        <x:v>0.9287</x:v>
      </x:c>
      <x:c r="V22" s="22" t="n">
        <x:v>5.0702</x:v>
      </x:c>
      <x:c r="W22" s="22" t="n">
        <x:v>13.1329</x:v>
      </x:c>
      <x:c r="X22" s="22" t="n">
        <x:v>0.0021</x:v>
      </x:c>
      <x:c r="Y22" s="22" t="n">
        <x:v>0.01064</x:v>
      </x:c>
      <x:c r="Z22" s="22" t="n">
        <x:v>0.02757</x:v>
      </x:c>
      <x:c r="AA22" s="22" t="n">
        <x:v>0.02968</x:v>
      </x:c>
      <x:c r="AB22" s="22" t="n">
        <x:f>ABS(F22-C22)</x:f>
        <x:v>0.009929999999997108</x:v>
      </x:c>
    </x:row>
    <x:row r="23">
      <x:c r="A23" s="22" t="str">
        <x:v>GAIN_SWEEP</x:v>
      </x:c>
      <x:c r="B23" s="22" t="n">
        <x:v>4</x:v>
      </x:c>
      <x:c r="C23" s="22" t="n">
        <x:v>175</x:v>
      </x:c>
      <x:c r="D23" s="22" t="n">
        <x:v>13</x:v>
      </x:c>
      <x:c r="E23" s="22" t="n">
        <x:v>1</x:v>
      </x:c>
      <x:c r="F23" s="22" t="n">
        <x:v>175.00635</x:v>
      </x:c>
      <x:c r="G23" s="22" t="n">
        <x:v>0</x:v>
      </x:c>
      <x:c r="H23" s="22" t="n">
        <x:v>167.91167</x:v>
      </x:c>
      <x:c r="I23" s="22" t="n">
        <x:v>170.96708</x:v>
      </x:c>
      <x:c r="J23" s="22" t="n">
        <x:v>175.00773</x:v>
      </x:c>
      <x:c r="K23" s="22" t="n">
        <x:v>0.02312</x:v>
      </x:c>
      <x:c r="L23" s="22" t="n">
        <x:v>0</x:v>
      </x:c>
      <x:c r="M23" s="22" t="n">
        <x:v>0.14219</x:v>
      </x:c>
      <x:c r="N23" s="22" t="n">
        <x:v>0</x:v>
      </x:c>
      <x:c r="O23" s="22" t="n">
        <x:v>0.36051</x:v>
      </x:c>
      <x:c r="P23" s="22" t="n">
        <x:v>0</x:v>
      </x:c>
      <x:c r="Q23" s="22" t="n">
        <x:v>0.39009</x:v>
      </x:c>
      <x:c r="R23" s="22" t="n">
        <x:v>0</x:v>
      </x:c>
      <x:c r="S23" s="22" t="n">
        <x:v>0.0593</x:v>
      </x:c>
      <x:c r="T23" s="22" t="n">
        <x:v>0.3645</x:v>
      </x:c>
      <x:c r="U23" s="22" t="n">
        <x:v>0.9242</x:v>
      </x:c>
      <x:c r="V23" s="22" t="n">
        <x:v>6.1498</x:v>
      </x:c>
      <x:c r="W23" s="22" t="n">
        <x:v>15.5919</x:v>
      </x:c>
      <x:c r="X23" s="22" t="n">
        <x:v>0.00178</x:v>
      </x:c>
      <x:c r="Y23" s="22" t="n">
        <x:v>0.01094</x:v>
      </x:c>
      <x:c r="Z23" s="22" t="n">
        <x:v>0.02773</x:v>
      </x:c>
      <x:c r="AA23" s="22" t="n">
        <x:v>0.03001</x:v>
      </x:c>
      <x:c r="AB23" s="22" t="n">
        <x:f>ABS(F23-C23)</x:f>
        <x:v>0.006349999999997635</x:v>
      </x:c>
    </x:row>
    <x:row r="24">
      <x:c r="A24" s="22" t="str">
        <x:v>GAIN_SWEEP</x:v>
      </x:c>
      <x:c r="B24" s="22" t="n">
        <x:v>5</x:v>
      </x:c>
      <x:c r="C24" s="22" t="n">
        <x:v>175</x:v>
      </x:c>
      <x:c r="D24" s="22" t="n">
        <x:v>14</x:v>
      </x:c>
      <x:c r="E24" s="22" t="n">
        <x:v>1</x:v>
      </x:c>
      <x:c r="F24" s="22" t="n">
        <x:v>175.00115</x:v>
      </x:c>
      <x:c r="G24" s="22" t="n">
        <x:v>0</x:v>
      </x:c>
      <x:c r="H24" s="22" t="n">
        <x:v>168.06588</x:v>
      </x:c>
      <x:c r="I24" s="22" t="n">
        <x:v>174.99525</x:v>
      </x:c>
      <x:c r="J24" s="22" t="n">
        <x:v>175.00234</x:v>
      </x:c>
      <x:c r="K24" s="22" t="n">
        <x:v>0.02677</x:v>
      </x:c>
      <x:c r="L24" s="22" t="n">
        <x:v>0</x:v>
      </x:c>
      <x:c r="M24" s="22" t="n">
        <x:v>0.15306</x:v>
      </x:c>
      <x:c r="N24" s="22" t="n">
        <x:v>0</x:v>
      </x:c>
      <x:c r="O24" s="22" t="n">
        <x:v>0.39136</x:v>
      </x:c>
      <x:c r="P24" s="22" t="n">
        <x:v>0</x:v>
      </x:c>
      <x:c r="Q24" s="22" t="n">
        <x:v>0.4223</x:v>
      </x:c>
      <x:c r="R24" s="22" t="n">
        <x:v>0</x:v>
      </x:c>
      <x:c r="S24" s="22" t="n">
        <x:v>0.0634</x:v>
      </x:c>
      <x:c r="T24" s="22" t="n">
        <x:v>0.3625</x:v>
      </x:c>
      <x:c r="U24" s="22" t="n">
        <x:v>0.9267</x:v>
      </x:c>
      <x:c r="V24" s="22" t="n">
        <x:v>5.7172</x:v>
      </x:c>
      <x:c r="W24" s="22" t="n">
        <x:v>14.6178</x:v>
      </x:c>
      <x:c r="X24" s="22" t="n">
        <x:v>0.00191</x:v>
      </x:c>
      <x:c r="Y24" s="22" t="n">
        <x:v>0.01093</x:v>
      </x:c>
      <x:c r="Z24" s="22" t="n">
        <x:v>0.02795</x:v>
      </x:c>
      <x:c r="AA24" s="22" t="n">
        <x:v>0.03016</x:v>
      </x:c>
      <x:c r="AB24" s="22" t="n">
        <x:f>ABS(F24-C24)</x:f>
        <x:v>0.0011499999999955435</x:v>
      </x:c>
    </x:row>
    <x:row r="25">
      <x:c r="A25" s="22" t="str">
        <x:v>GAIN_SWEEP</x:v>
      </x:c>
      <x:c r="B25" s="22" t="n">
        <x:v>6</x:v>
      </x:c>
      <x:c r="C25" s="22" t="n">
        <x:v>175</x:v>
      </x:c>
      <x:c r="D25" s="22" t="n">
        <x:v>15</x:v>
      </x:c>
      <x:c r="E25" s="22" t="n">
        <x:v>1</x:v>
      </x:c>
      <x:c r="F25" s="22" t="n">
        <x:v>175.01282</x:v>
      </x:c>
      <x:c r="G25" s="22" t="n">
        <x:v>0</x:v>
      </x:c>
      <x:c r="H25" s="22" t="n">
        <x:v>168.03608</x:v>
      </x:c>
      <x:c r="I25" s="22" t="n">
        <x:v>174.95968</x:v>
      </x:c>
      <x:c r="J25" s="22" t="n">
        <x:v>175.01961</x:v>
      </x:c>
      <x:c r="K25" s="22" t="n">
        <x:v>0.02367</x:v>
      </x:c>
      <x:c r="L25" s="22" t="n">
        <x:v>0</x:v>
      </x:c>
      <x:c r="M25" s="22" t="n">
        <x:v>0.19369</x:v>
      </x:c>
      <x:c r="N25" s="22" t="n">
        <x:v>0</x:v>
      </x:c>
      <x:c r="O25" s="22" t="n">
        <x:v>0.48801</x:v>
      </x:c>
      <x:c r="P25" s="22" t="n">
        <x:v>0</x:v>
      </x:c>
      <x:c r="Q25" s="22" t="n">
        <x:v>0.52734</x:v>
      </x:c>
      <x:c r="R25" s="22" t="n">
        <x:v>0</x:v>
      </x:c>
      <x:c r="S25" s="22" t="n">
        <x:v>0.0449</x:v>
      </x:c>
      <x:c r="T25" s="22" t="n">
        <x:v>0.3673</x:v>
      </x:c>
      <x:c r="U25" s="22" t="n">
        <x:v>0.9254</x:v>
      </x:c>
      <x:c r="V25" s="22" t="n">
        <x:v>8.1844</x:v>
      </x:c>
      <x:c r="W25" s="22" t="n">
        <x:v>20.6209</x:v>
      </x:c>
      <x:c r="X25" s="22" t="n">
        <x:v>0.00158</x:v>
      </x:c>
      <x:c r="Y25" s="22" t="n">
        <x:v>0.01291</x:v>
      </x:c>
      <x:c r="Z25" s="22" t="n">
        <x:v>0.03253</x:v>
      </x:c>
      <x:c r="AA25" s="22" t="n">
        <x:v>0.03516</x:v>
      </x:c>
      <x:c r="AB25" s="22" t="n">
        <x:f>ABS(F25-C25)</x:f>
        <x:v>0.012820000000004939</x:v>
      </x:c>
    </x:row>
    <x:row r="26">
      <x:c r="A26" s="22" t="str">
        <x:v>GAIN_SWEEP</x:v>
      </x:c>
      <x:c r="B26" s="22" t="n">
        <x:v>1</x:v>
      </x:c>
      <x:c r="C26" s="22" t="n">
        <x:v>200</x:v>
      </x:c>
      <x:c r="D26" s="22" t="n">
        <x:v>10</x:v>
      </x:c>
      <x:c r="E26" s="22" t="n">
        <x:v>1</x:v>
      </x:c>
      <x:c r="F26" s="22" t="n">
        <x:v>199.98802</x:v>
      </x:c>
      <x:c r="G26" s="22" t="n">
        <x:v>0</x:v>
      </x:c>
      <x:c r="H26" s="22" t="n">
        <x:v>200.00556</x:v>
      </x:c>
      <x:c r="I26" s="22" t="n">
        <x:v>200.03168</x:v>
      </x:c>
      <x:c r="J26" s="22" t="n">
        <x:v>199.98207</x:v>
      </x:c>
      <x:c r="K26" s="22" t="n">
        <x:v>0.03443</x:v>
      </x:c>
      <x:c r="L26" s="22" t="n">
        <x:v>0</x:v>
      </x:c>
      <x:c r="M26" s="22" t="n">
        <x:v>0.12198</x:v>
      </x:c>
      <x:c r="N26" s="22" t="n">
        <x:v>0</x:v>
      </x:c>
      <x:c r="O26" s="22" t="n">
        <x:v>0.35496</x:v>
      </x:c>
      <x:c r="P26" s="22" t="n">
        <x:v>0</x:v>
      </x:c>
      <x:c r="Q26" s="22" t="n">
        <x:v>0.37754</x:v>
      </x:c>
      <x:c r="R26" s="22" t="n">
        <x:v>0</x:v>
      </x:c>
      <x:c r="S26" s="22" t="n">
        <x:v>0.0912</x:v>
      </x:c>
      <x:c r="T26" s="22" t="n">
        <x:v>0.3231</x:v>
      </x:c>
      <x:c r="U26" s="22" t="n">
        <x:v>0.9402</x:v>
      </x:c>
      <x:c r="V26" s="22" t="n">
        <x:v>3.5424</x:v>
      </x:c>
      <x:c r="W26" s="22" t="n">
        <x:v>10.3088</x:v>
      </x:c>
      <x:c r="X26" s="22" t="n">
        <x:v>0.00344</x:v>
      </x:c>
      <x:c r="Y26" s="22" t="n">
        <x:v>0.0122</x:v>
      </x:c>
      <x:c r="Z26" s="22" t="n">
        <x:v>0.0355</x:v>
      </x:c>
      <x:c r="AA26" s="22" t="n">
        <x:v>0.03775</x:v>
      </x:c>
      <x:c r="AB26" s="22" t="n">
        <x:f>ABS(F26-C26)</x:f>
        <x:v>0.011979999999994106</x:v>
      </x:c>
    </x:row>
    <x:row r="27">
      <x:c r="A27" s="22" t="str">
        <x:v>GAIN_SWEEP</x:v>
      </x:c>
      <x:c r="B27" s="22" t="n">
        <x:v>2</x:v>
      </x:c>
      <x:c r="C27" s="22" t="n">
        <x:v>200</x:v>
      </x:c>
      <x:c r="D27" s="22" t="n">
        <x:v>11</x:v>
      </x:c>
      <x:c r="E27" s="22" t="n">
        <x:v>1</x:v>
      </x:c>
      <x:c r="F27" s="22" t="n">
        <x:v>199.98513</x:v>
      </x:c>
      <x:c r="G27" s="22" t="n">
        <x:v>0</x:v>
      </x:c>
      <x:c r="H27" s="22" t="n">
        <x:v>200.03883</x:v>
      </x:c>
      <x:c r="I27" s="22" t="n">
        <x:v>200.00914</x:v>
      </x:c>
      <x:c r="J27" s="22" t="n">
        <x:v>199.9819</x:v>
      </x:c>
      <x:c r="K27" s="22" t="n">
        <x:v>0.02802</x:v>
      </x:c>
      <x:c r="L27" s="22" t="n">
        <x:v>0</x:v>
      </x:c>
      <x:c r="M27" s="22" t="n">
        <x:v>0.14224</x:v>
      </x:c>
      <x:c r="N27" s="22" t="n">
        <x:v>0</x:v>
      </x:c>
      <x:c r="O27" s="22" t="n">
        <x:v>0.39975</x:v>
      </x:c>
      <x:c r="P27" s="22" t="n">
        <x:v>0</x:v>
      </x:c>
      <x:c r="Q27" s="22" t="n">
        <x:v>0.42565</x:v>
      </x:c>
      <x:c r="R27" s="22" t="n">
        <x:v>0</x:v>
      </x:c>
      <x:c r="S27" s="22" t="n">
        <x:v>0.0658</x:v>
      </x:c>
      <x:c r="T27" s="22" t="n">
        <x:v>0.3342</x:v>
      </x:c>
      <x:c r="U27" s="22" t="n">
        <x:v>0.9392</x:v>
      </x:c>
      <x:c r="V27" s="22" t="n">
        <x:v>5.076</x:v>
      </x:c>
      <x:c r="W27" s="22" t="n">
        <x:v>14.2658</x:v>
      </x:c>
      <x:c r="X27" s="22" t="n">
        <x:v>0.00255</x:v>
      </x:c>
      <x:c r="Y27" s="22" t="n">
        <x:v>0.01293</x:v>
      </x:c>
      <x:c r="Z27" s="22" t="n">
        <x:v>0.03634</x:v>
      </x:c>
      <x:c r="AA27" s="22" t="n">
        <x:v>0.0387</x:v>
      </x:c>
      <x:c r="AB27" s="22" t="n">
        <x:f>ABS(F27-C27)</x:f>
        <x:v>0.014870000000001937</x:v>
      </x:c>
    </x:row>
    <x:row r="28">
      <x:c r="A28" s="22" t="str">
        <x:v>GAIN_SWEEP</x:v>
      </x:c>
      <x:c r="B28" s="22" t="n">
        <x:v>3</x:v>
      </x:c>
      <x:c r="C28" s="22" t="n">
        <x:v>200</x:v>
      </x:c>
      <x:c r="D28" s="22" t="n">
        <x:v>12</x:v>
      </x:c>
      <x:c r="E28" s="22" t="n">
        <x:v>1</x:v>
      </x:c>
      <x:c r="F28" s="22" t="n">
        <x:v>200.00513</x:v>
      </x:c>
      <x:c r="G28" s="22" t="n">
        <x:v>0</x:v>
      </x:c>
      <x:c r="H28" s="22" t="n">
        <x:v>200.13558</x:v>
      </x:c>
      <x:c r="I28" s="22" t="n">
        <x:v>200.00838</x:v>
      </x:c>
      <x:c r="J28" s="22" t="n">
        <x:v>200.00425</x:v>
      </x:c>
      <x:c r="K28" s="22" t="n">
        <x:v>0.02202</x:v>
      </x:c>
      <x:c r="L28" s="22" t="n">
        <x:v>0</x:v>
      </x:c>
      <x:c r="M28" s="22" t="n">
        <x:v>0.14342</x:v>
      </x:c>
      <x:c r="N28" s="22" t="n">
        <x:v>0</x:v>
      </x:c>
      <x:c r="O28" s="22" t="n">
        <x:v>0.44218</x:v>
      </x:c>
      <x:c r="P28" s="22" t="n">
        <x:v>0</x:v>
      </x:c>
      <x:c r="Q28" s="22" t="n">
        <x:v>0.46547</x:v>
      </x:c>
      <x:c r="R28" s="22" t="n">
        <x:v>0</x:v>
      </x:c>
      <x:c r="S28" s="22" t="n">
        <x:v>0.0473</x:v>
      </x:c>
      <x:c r="T28" s="22" t="n">
        <x:v>0.3081</x:v>
      </x:c>
      <x:c r="U28" s="22" t="n">
        <x:v>0.95</x:v>
      </x:c>
      <x:c r="V28" s="22" t="n">
        <x:v>6.5147</x:v>
      </x:c>
      <x:c r="W28" s="22" t="n">
        <x:v>20.0852</x:v>
      </x:c>
      <x:c r="X28" s="22" t="n">
        <x:v>0.00183</x:v>
      </x:c>
      <x:c r="Y28" s="22" t="n">
        <x:v>0.01195</x:v>
      </x:c>
      <x:c r="Z28" s="22" t="n">
        <x:v>0.03685</x:v>
      </x:c>
      <x:c r="AA28" s="22" t="n">
        <x:v>0.03879</x:v>
      </x:c>
      <x:c r="AB28" s="22" t="n">
        <x:f>ABS(F28-C28)</x:f>
        <x:v>0.005130000000008295</x:v>
      </x:c>
    </x:row>
    <x:row r="29">
      <x:c r="A29" s="22" t="str">
        <x:v>GAIN_SWEEP</x:v>
      </x:c>
      <x:c r="B29" s="22" t="n">
        <x:v>4</x:v>
      </x:c>
      <x:c r="C29" s="22" t="n">
        <x:v>200</x:v>
      </x:c>
      <x:c r="D29" s="22" t="n">
        <x:v>13</x:v>
      </x:c>
      <x:c r="E29" s="22" t="n">
        <x:v>1</x:v>
      </x:c>
      <x:c r="F29" s="22" t="n">
        <x:v>200.01177</x:v>
      </x:c>
      <x:c r="G29" s="22" t="n">
        <x:v>0</x:v>
      </x:c>
      <x:c r="H29" s="22" t="n">
        <x:v>203.39813</x:v>
      </x:c>
      <x:c r="I29" s="22" t="n">
        <x:v>200.01333</x:v>
      </x:c>
      <x:c r="J29" s="22" t="n">
        <x:v>200.01136</x:v>
      </x:c>
      <x:c r="K29" s="22" t="n">
        <x:v>0.01348</x:v>
      </x:c>
      <x:c r="L29" s="22" t="n">
        <x:v>0</x:v>
      </x:c>
      <x:c r="M29" s="22" t="n">
        <x:v>0.17755</x:v>
      </x:c>
      <x:c r="N29" s="22" t="n">
        <x:v>0</x:v>
      </x:c>
      <x:c r="O29" s="22" t="n">
        <x:v>0.49018</x:v>
      </x:c>
      <x:c r="P29" s="22" t="n">
        <x:v>0</x:v>
      </x:c>
      <x:c r="Q29" s="22" t="n">
        <x:v>0.52193</x:v>
      </x:c>
      <x:c r="R29" s="22" t="n">
        <x:v>0</x:v>
      </x:c>
      <x:c r="S29" s="22" t="n">
        <x:v>0.0258</x:v>
      </x:c>
      <x:c r="T29" s="22" t="n">
        <x:v>0.3402</x:v>
      </x:c>
      <x:c r="U29" s="22" t="n">
        <x:v>0.9392</x:v>
      </x:c>
      <x:c r="V29" s="22" t="n">
        <x:v>13.1695</x:v>
      </x:c>
      <x:c r="W29" s="22" t="n">
        <x:v>36.3585</x:v>
      </x:c>
      <x:c r="X29" s="22" t="n">
        <x:v>0.00104</x:v>
      </x:c>
      <x:c r="Y29" s="22" t="n">
        <x:v>0.01366</x:v>
      </x:c>
      <x:c r="Z29" s="22" t="n">
        <x:v>0.03771</x:v>
      </x:c>
      <x:c r="AA29" s="22" t="n">
        <x:v>0.04015</x:v>
      </x:c>
      <x:c r="AB29" s="22" t="n">
        <x:f>ABS(F29-C29)</x:f>
        <x:v>0.011770000000012715</x:v>
      </x:c>
    </x:row>
    <x:row r="30">
      <x:c r="A30" s="22" t="str">
        <x:v>GAIN_SWEEP</x:v>
      </x:c>
      <x:c r="B30" s="22" t="n">
        <x:v>5</x:v>
      </x:c>
      <x:c r="C30" s="22" t="n">
        <x:v>200</x:v>
      </x:c>
      <x:c r="D30" s="22" t="n">
        <x:v>14</x:v>
      </x:c>
      <x:c r="E30" s="22" t="n">
        <x:v>1</x:v>
      </x:c>
      <x:c r="F30" s="22" t="n">
        <x:v>199.99815</x:v>
      </x:c>
      <x:c r="G30" s="22" t="n">
        <x:v>0</x:v>
      </x:c>
      <x:c r="H30" s="22" t="n">
        <x:v>204.59837</x:v>
      </x:c>
      <x:c r="I30" s="22" t="n">
        <x:v>200.00984</x:v>
      </x:c>
      <x:c r="J30" s="22" t="n">
        <x:v>199.99637</x:v>
      </x:c>
      <x:c r="K30" s="22" t="n">
        <x:v>0.01617</x:v>
      </x:c>
      <x:c r="L30" s="22" t="n">
        <x:v>0</x:v>
      </x:c>
      <x:c r="M30" s="22" t="n">
        <x:v>0.18289</x:v>
      </x:c>
      <x:c r="N30" s="22" t="n">
        <x:v>0</x:v>
      </x:c>
      <x:c r="O30" s="22" t="n">
        <x:v>0.5253</x:v>
      </x:c>
      <x:c r="P30" s="22" t="n">
        <x:v>0</x:v>
      </x:c>
      <x:c r="Q30" s="22" t="n">
        <x:v>0.55658</x:v>
      </x:c>
      <x:c r="R30" s="22" t="n">
        <x:v>0</x:v>
      </x:c>
      <x:c r="S30" s="22" t="n">
        <x:v>0.029</x:v>
      </x:c>
      <x:c r="T30" s="22" t="n">
        <x:v>0.3286</x:v>
      </x:c>
      <x:c r="U30" s="22" t="n">
        <x:v>0.9438</x:v>
      </x:c>
      <x:c r="V30" s="22" t="n">
        <x:v>11.3115</x:v>
      </x:c>
      <x:c r="W30" s="22" t="n">
        <x:v>32.49</x:v>
      </x:c>
      <x:c r="X30" s="22" t="n">
        <x:v>0.00115</x:v>
      </x:c>
      <x:c r="Y30" s="22" t="n">
        <x:v>0.01306</x:v>
      </x:c>
      <x:c r="Z30" s="22" t="n">
        <x:v>0.03752</x:v>
      </x:c>
      <x:c r="AA30" s="22" t="n">
        <x:v>0.03976</x:v>
      </x:c>
      <x:c r="AB30" s="22" t="n">
        <x:f>ABS(F30-C30)</x:f>
        <x:v>0.0018499999999903594</x:v>
      </x:c>
    </x:row>
    <x:row r="31">
      <x:c r="A31" s="22" t="str">
        <x:v>GAIN_SWEEP</x:v>
      </x:c>
      <x:c r="B31" s="22" t="n">
        <x:v>6</x:v>
      </x:c>
      <x:c r="C31" s="22" t="n">
        <x:v>200</x:v>
      </x:c>
      <x:c r="D31" s="22" t="n">
        <x:v>15</x:v>
      </x:c>
      <x:c r="E31" s="22" t="n">
        <x:v>1</x:v>
      </x:c>
      <x:c r="F31" s="22" t="n">
        <x:v>200.01438</x:v>
      </x:c>
      <x:c r="G31" s="22" t="n">
        <x:v>0</x:v>
      </x:c>
      <x:c r="H31" s="22" t="n">
        <x:v>200.17714</x:v>
      </x:c>
      <x:c r="I31" s="22" t="n">
        <x:v>200.01591</x:v>
      </x:c>
      <x:c r="J31" s="22" t="n">
        <x:v>200.0138</x:v>
      </x:c>
      <x:c r="K31" s="22" t="n">
        <x:v>0.02327</x:v>
      </x:c>
      <x:c r="L31" s="22" t="n">
        <x:v>0</x:v>
      </x:c>
      <x:c r="M31" s="22" t="n">
        <x:v>0.20091</x:v>
      </x:c>
      <x:c r="N31" s="22" t="n">
        <x:v>0</x:v>
      </x:c>
      <x:c r="O31" s="22" t="n">
        <x:v>0.58172</x:v>
      </x:c>
      <x:c r="P31" s="22" t="n">
        <x:v>0</x:v>
      </x:c>
      <x:c r="Q31" s="22" t="n">
        <x:v>0.61603</x:v>
      </x:c>
      <x:c r="R31" s="22" t="n">
        <x:v>0</x:v>
      </x:c>
      <x:c r="S31" s="22" t="n">
        <x:v>0.0378</x:v>
      </x:c>
      <x:c r="T31" s="22" t="n">
        <x:v>0.3261</x:v>
      </x:c>
      <x:c r="U31" s="22" t="n">
        <x:v>0.9443</x:v>
      </x:c>
      <x:c r="V31" s="22" t="n">
        <x:v>8.6341</x:v>
      </x:c>
      <x:c r="W31" s="22" t="n">
        <x:v>25</x:v>
      </x:c>
      <x:c r="X31" s="22" t="n">
        <x:v>0.00155</x:v>
      </x:c>
      <x:c r="Y31" s="22" t="n">
        <x:v>0.01339</x:v>
      </x:c>
      <x:c r="Z31" s="22" t="n">
        <x:v>0.03878</x:v>
      </x:c>
      <x:c r="AA31" s="22" t="n">
        <x:v>0.04107</x:v>
      </x:c>
      <x:c r="AB31" s="22" t="n">
        <x:f>ABS(F31-C31)</x:f>
        <x:v>0.014379999999988513</x:v>
      </x:c>
    </x:row>
    <x:row r="32">
      <x:c r="A32" s="22" t="str">
        <x:v>GAIN_SWEEP</x:v>
      </x:c>
      <x:c r="B32" s="22" t="n">
        <x:v>1</x:v>
      </x:c>
      <x:c r="C32" s="22" t="n">
        <x:v>225</x:v>
      </x:c>
      <x:c r="D32" s="22" t="n">
        <x:v>10</x:v>
      </x:c>
      <x:c r="E32" s="22" t="n">
        <x:v>1</x:v>
      </x:c>
      <x:c r="F32" s="22" t="n">
        <x:v>224.99563</x:v>
      </x:c>
      <x:c r="G32" s="22" t="n">
        <x:v>0</x:v>
      </x:c>
      <x:c r="H32" s="22" t="n">
        <x:v>218.02655</x:v>
      </x:c>
      <x:c r="I32" s="22" t="n">
        <x:v>224.99128</x:v>
      </x:c>
      <x:c r="J32" s="22" t="n">
        <x:v>224.99832</x:v>
      </x:c>
      <x:c r="K32" s="22" t="n">
        <x:v>0.02912</x:v>
      </x:c>
      <x:c r="L32" s="22" t="n">
        <x:v>0</x:v>
      </x:c>
      <x:c r="M32" s="22" t="n">
        <x:v>0.17226</x:v>
      </x:c>
      <x:c r="N32" s="22" t="n">
        <x:v>0</x:v>
      </x:c>
      <x:c r="O32" s="22" t="n">
        <x:v>0.25462</x:v>
      </x:c>
      <x:c r="P32" s="22" t="n">
        <x:v>0</x:v>
      </x:c>
      <x:c r="Q32" s="22" t="n">
        <x:v>0.30934</x:v>
      </x:c>
      <x:c r="R32" s="22" t="n">
        <x:v>0</x:v>
      </x:c>
      <x:c r="S32" s="22" t="n">
        <x:v>0.0941</x:v>
      </x:c>
      <x:c r="T32" s="22" t="n">
        <x:v>0.5569</x:v>
      </x:c>
      <x:c r="U32" s="22" t="n">
        <x:v>0.8231</x:v>
      </x:c>
      <x:c r="V32" s="22" t="n">
        <x:v>5.9159</x:v>
      </x:c>
      <x:c r="W32" s="22" t="n">
        <x:v>8.7446</x:v>
      </x:c>
      <x:c r="X32" s="22" t="n">
        <x:v>0.00291</x:v>
      </x:c>
      <x:c r="Y32" s="22" t="n">
        <x:v>0.01723</x:v>
      </x:c>
      <x:c r="Z32" s="22" t="n">
        <x:v>0.02546</x:v>
      </x:c>
      <x:c r="AA32" s="22" t="n">
        <x:v>0.03093</x:v>
      </x:c>
      <x:c r="AB32" s="22" t="n">
        <x:f>ABS(F32-C32)</x:f>
        <x:v>0.004369999999994434</x:v>
      </x:c>
    </x:row>
    <x:row r="33">
      <x:c r="A33" s="22" t="str">
        <x:v>GAIN_SWEEP</x:v>
      </x:c>
      <x:c r="B33" s="22" t="n">
        <x:v>2</x:v>
      </x:c>
      <x:c r="C33" s="22" t="n">
        <x:v>225</x:v>
      </x:c>
      <x:c r="D33" s="22" t="n">
        <x:v>11</x:v>
      </x:c>
      <x:c r="E33" s="22" t="n">
        <x:v>1</x:v>
      </x:c>
      <x:c r="F33" s="22" t="n">
        <x:v>224.99584</x:v>
      </x:c>
      <x:c r="G33" s="22" t="n">
        <x:v>0</x:v>
      </x:c>
      <x:c r="H33" s="22" t="n">
        <x:v>218.19462</x:v>
      </x:c>
      <x:c r="I33" s="22" t="n">
        <x:v>225.01946</x:v>
      </x:c>
      <x:c r="J33" s="22" t="n">
        <x:v>224.98489</x:v>
      </x:c>
      <x:c r="K33" s="22" t="n">
        <x:v>0.03431</x:v>
      </x:c>
      <x:c r="L33" s="22" t="n">
        <x:v>0</x:v>
      </x:c>
      <x:c r="M33" s="22" t="n">
        <x:v>0.21817</x:v>
      </x:c>
      <x:c r="N33" s="22" t="n">
        <x:v>0</x:v>
      </x:c>
      <x:c r="O33" s="22" t="n">
        <x:v>0.29637</x:v>
      </x:c>
      <x:c r="P33" s="22" t="n">
        <x:v>0</x:v>
      </x:c>
      <x:c r="Q33" s="22" t="n">
        <x:v>0.37023</x:v>
      </x:c>
      <x:c r="R33" s="22" t="n">
        <x:v>0</x:v>
      </x:c>
      <x:c r="S33" s="22" t="n">
        <x:v>0.0927</x:v>
      </x:c>
      <x:c r="T33" s="22" t="n">
        <x:v>0.5893</x:v>
      </x:c>
      <x:c r="U33" s="22" t="n">
        <x:v>0.8005</x:v>
      </x:c>
      <x:c r="V33" s="22" t="n">
        <x:v>6.3591</x:v>
      </x:c>
      <x:c r="W33" s="22" t="n">
        <x:v>8.6383</x:v>
      </x:c>
      <x:c r="X33" s="22" t="n">
        <x:v>0.00312</x:v>
      </x:c>
      <x:c r="Y33" s="22" t="n">
        <x:v>0.01983</x:v>
      </x:c>
      <x:c r="Z33" s="22" t="n">
        <x:v>0.02694</x:v>
      </x:c>
      <x:c r="AA33" s="22" t="n">
        <x:v>0.03366</x:v>
      </x:c>
      <x:c r="AB33" s="22" t="n">
        <x:f>ABS(F33-C33)</x:f>
        <x:v>0.004160000000013042</x:v>
      </x:c>
    </x:row>
    <x:row r="34">
      <x:c r="A34" s="22" t="str">
        <x:v>GAIN_SWEEP</x:v>
      </x:c>
      <x:c r="B34" s="22" t="n">
        <x:v>3</x:v>
      </x:c>
      <x:c r="C34" s="22" t="n">
        <x:v>225</x:v>
      </x:c>
      <x:c r="D34" s="22" t="n">
        <x:v>12</x:v>
      </x:c>
      <x:c r="E34" s="22" t="n">
        <x:v>1</x:v>
      </x:c>
      <x:c r="F34" s="22" t="n">
        <x:v>224.99715</x:v>
      </x:c>
      <x:c r="G34" s="22" t="n">
        <x:v>0</x:v>
      </x:c>
      <x:c r="H34" s="22" t="n">
        <x:v>217.863</x:v>
      </x:c>
      <x:c r="I34" s="22" t="n">
        <x:v>225.00716</x:v>
      </x:c>
      <x:c r="J34" s="22" t="n">
        <x:v>224.99115</x:v>
      </x:c>
      <x:c r="K34" s="22" t="n">
        <x:v>0.03503</x:v>
      </x:c>
      <x:c r="L34" s="22" t="n">
        <x:v>0</x:v>
      </x:c>
      <x:c r="M34" s="22" t="n">
        <x:v>0.21998</x:v>
      </x:c>
      <x:c r="N34" s="22" t="n">
        <x:v>0</x:v>
      </x:c>
      <x:c r="O34" s="22" t="n">
        <x:v>0.33806</x:v>
      </x:c>
      <x:c r="P34" s="22" t="n">
        <x:v>0</x:v>
      </x:c>
      <x:c r="Q34" s="22" t="n">
        <x:v>0.40602</x:v>
      </x:c>
      <x:c r="R34" s="22" t="n">
        <x:v>0</x:v>
      </x:c>
      <x:c r="S34" s="22" t="n">
        <x:v>0.0863</x:v>
      </x:c>
      <x:c r="T34" s="22" t="n">
        <x:v>0.5418</x:v>
      </x:c>
      <x:c r="U34" s="22" t="n">
        <x:v>0.8326</x:v>
      </x:c>
      <x:c r="V34" s="22" t="n">
        <x:v>6.2793</x:v>
      </x:c>
      <x:c r="W34" s="22" t="n">
        <x:v>9.6497</x:v>
      </x:c>
      <x:c r="X34" s="22" t="n">
        <x:v>0.00292</x:v>
      </x:c>
      <x:c r="Y34" s="22" t="n">
        <x:v>0.01833</x:v>
      </x:c>
      <x:c r="Z34" s="22" t="n">
        <x:v>0.02817</x:v>
      </x:c>
      <x:c r="AA34" s="22" t="n">
        <x:v>0.03383</x:v>
      </x:c>
      <x:c r="AB34" s="22" t="n">
        <x:f>ABS(F34-C34)</x:f>
        <x:v>0.002849999999995134</x:v>
      </x:c>
    </x:row>
    <x:row r="35">
      <x:c r="A35" s="22" t="str">
        <x:v>GAIN_SWEEP</x:v>
      </x:c>
      <x:c r="B35" s="22" t="n">
        <x:v>4</x:v>
      </x:c>
      <x:c r="C35" s="22" t="n">
        <x:v>225</x:v>
      </x:c>
      <x:c r="D35" s="22" t="n">
        <x:v>13</x:v>
      </x:c>
      <x:c r="E35" s="22" t="n">
        <x:v>1</x:v>
      </x:c>
      <x:c r="F35" s="22" t="n">
        <x:v>225.01591</x:v>
      </x:c>
      <x:c r="G35" s="22" t="n">
        <x:v>0</x:v>
      </x:c>
      <x:c r="H35" s="22" t="n">
        <x:v>217.75862</x:v>
      </x:c>
      <x:c r="I35" s="22" t="n">
        <x:v>225.01237</x:v>
      </x:c>
      <x:c r="J35" s="22" t="n">
        <x:v>225.01706</x:v>
      </x:c>
      <x:c r="K35" s="22" t="n">
        <x:v>0.03017</x:v>
      </x:c>
      <x:c r="L35" s="22" t="n">
        <x:v>0</x:v>
      </x:c>
      <x:c r="M35" s="22" t="n">
        <x:v>0.24237</x:v>
      </x:c>
      <x:c r="N35" s="22" t="n">
        <x:v>0</x:v>
      </x:c>
      <x:c r="O35" s="22" t="n">
        <x:v>0.36402</x:v>
      </x:c>
      <x:c r="P35" s="22" t="n">
        <x:v>0</x:v>
      </x:c>
      <x:c r="Q35" s="22" t="n">
        <x:v>0.43918</x:v>
      </x:c>
      <x:c r="R35" s="22" t="n">
        <x:v>0</x:v>
      </x:c>
      <x:c r="S35" s="22" t="n">
        <x:v>0.0687</x:v>
      </x:c>
      <x:c r="T35" s="22" t="n">
        <x:v>0.5519</x:v>
      </x:c>
      <x:c r="U35" s="22" t="n">
        <x:v>0.8289</x:v>
      </x:c>
      <x:c r="V35" s="22" t="n">
        <x:v>8.0321</x:v>
      </x:c>
      <x:c r="W35" s="22" t="n">
        <x:v>12.0637</x:v>
      </x:c>
      <x:c r="X35" s="22" t="n">
        <x:v>0.00232</x:v>
      </x:c>
      <x:c r="Y35" s="22" t="n">
        <x:v>0.01864</x:v>
      </x:c>
      <x:c r="Z35" s="22" t="n">
        <x:v>0.028</x:v>
      </x:c>
      <x:c r="AA35" s="22" t="n">
        <x:v>0.03378</x:v>
      </x:c>
      <x:c r="AB35" s="22" t="n">
        <x:f>ABS(F35-C35)</x:f>
        <x:v>0.015909999999990987</x:v>
      </x:c>
    </x:row>
    <x:row r="36">
      <x:c r="A36" s="22" t="str">
        <x:v>GAIN_SWEEP</x:v>
      </x:c>
      <x:c r="B36" s="22" t="n">
        <x:v>5</x:v>
      </x:c>
      <x:c r="C36" s="22" t="n">
        <x:v>225</x:v>
      </x:c>
      <x:c r="D36" s="22" t="n">
        <x:v>14</x:v>
      </x:c>
      <x:c r="E36" s="22" t="n">
        <x:v>1</x:v>
      </x:c>
      <x:c r="F36" s="22" t="n">
        <x:v>224.96636</x:v>
      </x:c>
      <x:c r="G36" s="22" t="n">
        <x:v>0</x:v>
      </x:c>
      <x:c r="H36" s="22" t="n">
        <x:v>217.94544</x:v>
      </x:c>
      <x:c r="I36" s="22" t="n">
        <x:v>224.95165</x:v>
      </x:c>
      <x:c r="J36" s="22" t="n">
        <x:v>224.97173</x:v>
      </x:c>
      <x:c r="K36" s="22" t="n">
        <x:v>0.03888</x:v>
      </x:c>
      <x:c r="L36" s="22" t="n">
        <x:v>0</x:v>
      </x:c>
      <x:c r="M36" s="22" t="n">
        <x:v>0.27116</x:v>
      </x:c>
      <x:c r="N36" s="22" t="n">
        <x:v>0</x:v>
      </x:c>
      <x:c r="O36" s="22" t="n">
        <x:v>0.39951</x:v>
      </x:c>
      <x:c r="P36" s="22" t="n">
        <x:v>0</x:v>
      </x:c>
      <x:c r="Q36" s="22" t="n">
        <x:v>0.48479</x:v>
      </x:c>
      <x:c r="R36" s="22" t="n">
        <x:v>0</x:v>
      </x:c>
      <x:c r="S36" s="22" t="n">
        <x:v>0.0802</x:v>
      </x:c>
      <x:c r="T36" s="22" t="n">
        <x:v>0.5593</x:v>
      </x:c>
      <x:c r="U36" s="22" t="n">
        <x:v>0.8241</x:v>
      </x:c>
      <x:c r="V36" s="22" t="n">
        <x:v>6.974</x:v>
      </x:c>
      <x:c r="W36" s="22" t="n">
        <x:v>10.275</x:v>
      </x:c>
      <x:c r="X36" s="22" t="n">
        <x:v>0.00278</x:v>
      </x:c>
      <x:c r="Y36" s="22" t="n">
        <x:v>0.01937</x:v>
      </x:c>
      <x:c r="Z36" s="22" t="n">
        <x:v>0.02854</x:v>
      </x:c>
      <x:c r="AA36" s="22" t="n">
        <x:v>0.03463</x:v>
      </x:c>
      <x:c r="AB36" s="22" t="n">
        <x:f>ABS(F36-C36)</x:f>
        <x:v>0.03363999999999123</x:v>
      </x:c>
    </x:row>
    <x:row r="37">
      <x:c r="A37" s="22" t="str">
        <x:v>GAIN_SWEEP</x:v>
      </x:c>
      <x:c r="B37" s="22" t="n">
        <x:v>6</x:v>
      </x:c>
      <x:c r="C37" s="22" t="n">
        <x:v>225</x:v>
      </x:c>
      <x:c r="D37" s="22" t="n">
        <x:v>15</x:v>
      </x:c>
      <x:c r="E37" s="22" t="n">
        <x:v>1</x:v>
      </x:c>
      <x:c r="F37" s="22" t="n">
        <x:v>225.01735</x:v>
      </x:c>
      <x:c r="G37" s="22" t="n">
        <x:v>0</x:v>
      </x:c>
      <x:c r="H37" s="22" t="n">
        <x:v>218.16852</x:v>
      </x:c>
      <x:c r="I37" s="22" t="n">
        <x:v>225.04429</x:v>
      </x:c>
      <x:c r="J37" s="22" t="n">
        <x:v>225.00477</x:v>
      </x:c>
      <x:c r="K37" s="22" t="n">
        <x:v>0.03635</x:v>
      </x:c>
      <x:c r="L37" s="22" t="n">
        <x:v>0</x:v>
      </x:c>
      <x:c r="M37" s="22" t="n">
        <x:v>0.28218</x:v>
      </x:c>
      <x:c r="N37" s="22" t="n">
        <x:v>0</x:v>
      </x:c>
      <x:c r="O37" s="22" t="n">
        <x:v>0.43474</x:v>
      </x:c>
      <x:c r="P37" s="22" t="n">
        <x:v>0</x:v>
      </x:c>
      <x:c r="Q37" s="22" t="n">
        <x:v>0.51993</x:v>
      </x:c>
      <x:c r="R37" s="22" t="n">
        <x:v>0</x:v>
      </x:c>
      <x:c r="S37" s="22" t="n">
        <x:v>0.0699</x:v>
      </x:c>
      <x:c r="T37" s="22" t="n">
        <x:v>0.5427</x:v>
      </x:c>
      <x:c r="U37" s="22" t="n">
        <x:v>0.8362</x:v>
      </x:c>
      <x:c r="V37" s="22" t="n">
        <x:v>7.7635</x:v>
      </x:c>
      <x:c r="W37" s="22" t="n">
        <x:v>11.9609</x:v>
      </x:c>
      <x:c r="X37" s="22" t="n">
        <x:v>0.00242</x:v>
      </x:c>
      <x:c r="Y37" s="22" t="n">
        <x:v>0.01881</x:v>
      </x:c>
      <x:c r="Z37" s="22" t="n">
        <x:v>0.02898</x:v>
      </x:c>
      <x:c r="AA37" s="22" t="n">
        <x:v>0.03466</x:v>
      </x:c>
      <x:c r="AB37" s="22" t="n">
        <x:f>ABS(F37-C37)</x:f>
        <x:v>0.017349999999993315</x:v>
      </x:c>
    </x:row>
    <x:row r="38">
      <x:c r="A38" s="22" t="str">
        <x:v>GAIN_SWEEP</x:v>
      </x:c>
      <x:c r="B38" s="22" t="n">
        <x:v>1</x:v>
      </x:c>
      <x:c r="C38" s="22" t="n">
        <x:v>250</x:v>
      </x:c>
      <x:c r="D38" s="22" t="n">
        <x:v>10</x:v>
      </x:c>
      <x:c r="E38" s="22" t="n">
        <x:v>1</x:v>
      </x:c>
      <x:c r="F38" s="22" t="n">
        <x:v>249.98779</x:v>
      </x:c>
      <x:c r="G38" s="22" t="n">
        <x:v>0</x:v>
      </x:c>
      <x:c r="H38" s="22" t="n">
        <x:v>246.63471</x:v>
      </x:c>
      <x:c r="I38" s="22" t="n">
        <x:v>246.61231</x:v>
      </x:c>
      <x:c r="J38" s="22" t="n">
        <x:v>249.98241</x:v>
      </x:c>
      <x:c r="K38" s="22" t="n">
        <x:v>0.04737</x:v>
      </x:c>
      <x:c r="L38" s="22" t="n">
        <x:v>0</x:v>
      </x:c>
      <x:c r="M38" s="22" t="n">
        <x:v>0.26909</x:v>
      </x:c>
      <x:c r="N38" s="22" t="n">
        <x:v>0</x:v>
      </x:c>
      <x:c r="O38" s="22" t="n">
        <x:v>0.53948</x:v>
      </x:c>
      <x:c r="P38" s="22" t="n">
        <x:v>0</x:v>
      </x:c>
      <x:c r="Q38" s="22" t="n">
        <x:v>0.60838</x:v>
      </x:c>
      <x:c r="R38" s="22" t="n">
        <x:v>0</x:v>
      </x:c>
      <x:c r="S38" s="22" t="n">
        <x:v>0.0779</x:v>
      </x:c>
      <x:c r="T38" s="22" t="n">
        <x:v>0.4423</x:v>
      </x:c>
      <x:c r="U38" s="22" t="n">
        <x:v>0.8868</x:v>
      </x:c>
      <x:c r="V38" s="22" t="n">
        <x:v>5.68</x:v>
      </x:c>
      <x:c r="W38" s="22" t="n">
        <x:v>11.3876</x:v>
      </x:c>
      <x:c r="X38" s="22" t="n">
        <x:v>0.00474</x:v>
      </x:c>
      <x:c r="Y38" s="22" t="n">
        <x:v>0.02691</x:v>
      </x:c>
      <x:c r="Z38" s="22" t="n">
        <x:v>0.05395</x:v>
      </x:c>
      <x:c r="AA38" s="22" t="n">
        <x:v>0.06084</x:v>
      </x:c>
      <x:c r="AB38" s="22" t="n">
        <x:f>ABS(F38-C38)</x:f>
        <x:v>0.012210000000010268</x:v>
      </x:c>
    </x:row>
    <x:row r="39">
      <x:c r="A39" s="22" t="str">
        <x:v>GAIN_SWEEP</x:v>
      </x:c>
      <x:c r="B39" s="22" t="n">
        <x:v>2</x:v>
      </x:c>
      <x:c r="C39" s="22" t="n">
        <x:v>250</x:v>
      </x:c>
      <x:c r="D39" s="22" t="n">
        <x:v>11</x:v>
      </x:c>
      <x:c r="E39" s="22" t="n">
        <x:v>1</x:v>
      </x:c>
      <x:c r="F39" s="22" t="n">
        <x:v>250.00866</x:v>
      </x:c>
      <x:c r="G39" s="22" t="n">
        <x:v>0</x:v>
      </x:c>
      <x:c r="H39" s="22" t="n">
        <x:v>249.97829</x:v>
      </x:c>
      <x:c r="I39" s="22" t="n">
        <x:v>250.02973</x:v>
      </x:c>
      <x:c r="J39" s="22" t="n">
        <x:v>250.00495</x:v>
      </x:c>
      <x:c r="K39" s="22" t="n">
        <x:v>0.07181</x:v>
      </x:c>
      <x:c r="L39" s="22" t="n">
        <x:v>0</x:v>
      </x:c>
      <x:c r="M39" s="22" t="n">
        <x:v>0.26745</x:v>
      </x:c>
      <x:c r="N39" s="22" t="n">
        <x:v>0</x:v>
      </x:c>
      <x:c r="O39" s="22" t="n">
        <x:v>0.59796</x:v>
      </x:c>
      <x:c r="P39" s="22" t="n">
        <x:v>0</x:v>
      </x:c>
      <x:c r="Q39" s="22" t="n">
        <x:v>0.66363</x:v>
      </x:c>
      <x:c r="R39" s="22" t="n">
        <x:v>0</x:v>
      </x:c>
      <x:c r="S39" s="22" t="n">
        <x:v>0.1082</x:v>
      </x:c>
      <x:c r="T39" s="22" t="n">
        <x:v>0.403</x:v>
      </x:c>
      <x:c r="U39" s="22" t="n">
        <x:v>0.901</x:v>
      </x:c>
      <x:c r="V39" s="22" t="n">
        <x:v>3.7245</x:v>
      </x:c>
      <x:c r="W39" s="22" t="n">
        <x:v>8.3273</x:v>
      </x:c>
      <x:c r="X39" s="22" t="n">
        <x:v>0.00653</x:v>
      </x:c>
      <x:c r="Y39" s="22" t="n">
        <x:v>0.02431</x:v>
      </x:c>
      <x:c r="Z39" s="22" t="n">
        <x:v>0.05436</x:v>
      </x:c>
      <x:c r="AA39" s="22" t="n">
        <x:v>0.06033</x:v>
      </x:c>
      <x:c r="AB39" s="22" t="n">
        <x:f>ABS(F39-C39)</x:f>
        <x:v>0.008659999999991896</x:v>
      </x:c>
    </x:row>
    <x:row r="40">
      <x:c r="A40" s="22" t="str">
        <x:v>GAIN_SWEEP</x:v>
      </x:c>
      <x:c r="B40" s="22" t="n">
        <x:v>3</x:v>
      </x:c>
      <x:c r="C40" s="22" t="n">
        <x:v>250</x:v>
      </x:c>
      <x:c r="D40" s="22" t="n">
        <x:v>12</x:v>
      </x:c>
      <x:c r="E40" s="22" t="n">
        <x:v>1</x:v>
      </x:c>
      <x:c r="F40" s="22" t="n">
        <x:v>249.9867</x:v>
      </x:c>
      <x:c r="G40" s="22" t="n">
        <x:v>0</x:v>
      </x:c>
      <x:c r="H40" s="22" t="n">
        <x:v>250.00151</x:v>
      </x:c>
      <x:c r="I40" s="22" t="n">
        <x:v>249.98944</x:v>
      </x:c>
      <x:c r="J40" s="22" t="n">
        <x:v>249.98593</x:v>
      </x:c>
      <x:c r="K40" s="22" t="n">
        <x:v>0.08014</x:v>
      </x:c>
      <x:c r="L40" s="22" t="n">
        <x:v>0</x:v>
      </x:c>
      <x:c r="M40" s="22" t="n">
        <x:v>0.29112</x:v>
      </x:c>
      <x:c r="N40" s="22" t="n">
        <x:v>0</x:v>
      </x:c>
      <x:c r="O40" s="22" t="n">
        <x:v>0.65061</x:v>
      </x:c>
      <x:c r="P40" s="22" t="n">
        <x:v>0</x:v>
      </x:c>
      <x:c r="Q40" s="22" t="n">
        <x:v>0.72237</x:v>
      </x:c>
      <x:c r="R40" s="22" t="n">
        <x:v>0</x:v>
      </x:c>
      <x:c r="S40" s="22" t="n">
        <x:v>0.1109</x:v>
      </x:c>
      <x:c r="T40" s="22" t="n">
        <x:v>0.403</x:v>
      </x:c>
      <x:c r="U40" s="22" t="n">
        <x:v>0.9007</x:v>
      </x:c>
      <x:c r="V40" s="22" t="n">
        <x:v>3.6325</x:v>
      </x:c>
      <x:c r="W40" s="22" t="n">
        <x:v>8.118</x:v>
      </x:c>
      <x:c r="X40" s="22" t="n">
        <x:v>0.00668</x:v>
      </x:c>
      <x:c r="Y40" s="22" t="n">
        <x:v>0.02426</x:v>
      </x:c>
      <x:c r="Z40" s="22" t="n">
        <x:v>0.05422</x:v>
      </x:c>
      <x:c r="AA40" s="22" t="n">
        <x:v>0.0602</x:v>
      </x:c>
      <x:c r="AB40" s="22" t="n">
        <x:f>ABS(F40-C40)</x:f>
        <x:v>0.013299999999986767</x:v>
      </x:c>
    </x:row>
    <x:row r="41">
      <x:c r="A41" s="22" t="str">
        <x:v>GAIN_SWEEP</x:v>
      </x:c>
      <x:c r="B41" s="22" t="n">
        <x:v>4</x:v>
      </x:c>
      <x:c r="C41" s="22" t="n">
        <x:v>250</x:v>
      </x:c>
      <x:c r="D41" s="22" t="n">
        <x:v>13</x:v>
      </x:c>
      <x:c r="E41" s="22" t="n">
        <x:v>1</x:v>
      </x:c>
      <x:c r="F41" s="22" t="n">
        <x:v>249.98056</x:v>
      </x:c>
      <x:c r="G41" s="22" t="n">
        <x:v>0</x:v>
      </x:c>
      <x:c r="H41" s="22" t="n">
        <x:v>250.05694</x:v>
      </x:c>
      <x:c r="I41" s="22" t="n">
        <x:v>249.90292</x:v>
      </x:c>
      <x:c r="J41" s="22" t="n">
        <x:v>249.99875</x:v>
      </x:c>
      <x:c r="K41" s="22" t="n">
        <x:v>0.07325</x:v>
      </x:c>
      <x:c r="L41" s="22" t="n">
        <x:v>0</x:v>
      </x:c>
      <x:c r="M41" s="22" t="n">
        <x:v>0.37631</x:v>
      </x:c>
      <x:c r="N41" s="22" t="n">
        <x:v>0</x:v>
      </x:c>
      <x:c r="O41" s="22" t="n">
        <x:v>0.69531</x:v>
      </x:c>
      <x:c r="P41" s="22" t="n">
        <x:v>0</x:v>
      </x:c>
      <x:c r="Q41" s="22" t="n">
        <x:v>0.79558</x:v>
      </x:c>
      <x:c r="R41" s="22" t="n">
        <x:v>0</x:v>
      </x:c>
      <x:c r="S41" s="22" t="n">
        <x:v>0.0921</x:v>
      </x:c>
      <x:c r="T41" s="22" t="n">
        <x:v>0.473</x:v>
      </x:c>
      <x:c r="U41" s="22" t="n">
        <x:v>0.874</x:v>
      </x:c>
      <x:c r="V41" s="22" t="n">
        <x:v>5.1376</x:v>
      </x:c>
      <x:c r="W41" s="22" t="n">
        <x:v>9.4927</x:v>
      </x:c>
      <x:c r="X41" s="22" t="n">
        <x:v>0.00563</x:v>
      </x:c>
      <x:c r="Y41" s="22" t="n">
        <x:v>0.02895</x:v>
      </x:c>
      <x:c r="Z41" s="22" t="n">
        <x:v>0.05349</x:v>
      </x:c>
      <x:c r="AA41" s="22" t="n">
        <x:v>0.0612</x:v>
      </x:c>
      <x:c r="AB41" s="22" t="n">
        <x:f>ABS(F41-C41)</x:f>
        <x:v>0.01944000000000301</x:v>
      </x:c>
    </x:row>
    <x:row r="42">
      <x:c r="A42" s="22" t="str">
        <x:v>GAIN_SWEEP</x:v>
      </x:c>
      <x:c r="B42" s="22" t="n">
        <x:v>5</x:v>
      </x:c>
      <x:c r="C42" s="22" t="n">
        <x:v>250</x:v>
      </x:c>
      <x:c r="D42" s="22" t="n">
        <x:v>14</x:v>
      </x:c>
      <x:c r="E42" s="22" t="n">
        <x:v>1</x:v>
      </x:c>
      <x:c r="F42" s="22" t="n">
        <x:v>250.00374</x:v>
      </x:c>
      <x:c r="G42" s="22" t="n">
        <x:v>0</x:v>
      </x:c>
      <x:c r="H42" s="22" t="n">
        <x:v>250.14033</x:v>
      </x:c>
      <x:c r="I42" s="22" t="n">
        <x:v>250.05301</x:v>
      </x:c>
      <x:c r="J42" s="22" t="n">
        <x:v>249.9905</x:v>
      </x:c>
      <x:c r="K42" s="22" t="n">
        <x:v>0.08008</x:v>
      </x:c>
      <x:c r="L42" s="22" t="n">
        <x:v>0</x:v>
      </x:c>
      <x:c r="M42" s="22" t="n">
        <x:v>0.37511</x:v>
      </x:c>
      <x:c r="N42" s="22" t="n">
        <x:v>0</x:v>
      </x:c>
      <x:c r="O42" s="22" t="n">
        <x:v>0.75536</x:v>
      </x:c>
      <x:c r="P42" s="22" t="n">
        <x:v>0</x:v>
      </x:c>
      <x:c r="Q42" s="22" t="n">
        <x:v>0.85091</x:v>
      </x:c>
      <x:c r="R42" s="22" t="n">
        <x:v>0</x:v>
      </x:c>
      <x:c r="S42" s="22" t="n">
        <x:v>0.0941</x:v>
      </x:c>
      <x:c r="T42" s="22" t="n">
        <x:v>0.4408</x:v>
      </x:c>
      <x:c r="U42" s="22" t="n">
        <x:v>0.8877</x:v>
      </x:c>
      <x:c r="V42" s="22" t="n">
        <x:v>4.6842</x:v>
      </x:c>
      <x:c r="W42" s="22" t="n">
        <x:v>9.4327</x:v>
      </x:c>
      <x:c r="X42" s="22" t="n">
        <x:v>0.00572</x:v>
      </x:c>
      <x:c r="Y42" s="22" t="n">
        <x:v>0.02679</x:v>
      </x:c>
      <x:c r="Z42" s="22" t="n">
        <x:v>0.05395</x:v>
      </x:c>
      <x:c r="AA42" s="22" t="n">
        <x:v>0.06078</x:v>
      </x:c>
      <x:c r="AB42" s="22" t="n">
        <x:f>ABS(F42-C42)</x:f>
        <x:v>0.0037399999999934153</x:v>
      </x:c>
    </x:row>
    <x:row r="43">
      <x:c r="A43" s="22" t="str">
        <x:v>GAIN_SWEEP</x:v>
      </x:c>
      <x:c r="B43" s="22" t="n">
        <x:v>6</x:v>
      </x:c>
      <x:c r="C43" s="22" t="n">
        <x:v>250</x:v>
      </x:c>
      <x:c r="D43" s="22" t="n">
        <x:v>15</x:v>
      </x:c>
      <x:c r="E43" s="22" t="n">
        <x:v>1</x:v>
      </x:c>
      <x:c r="F43" s="22" t="n">
        <x:v>249.98487</x:v>
      </x:c>
      <x:c r="G43" s="22" t="n">
        <x:v>0</x:v>
      </x:c>
      <x:c r="H43" s="22" t="n">
        <x:v>249.98142</x:v>
      </x:c>
      <x:c r="I43" s="22" t="n">
        <x:v>249.9232</x:v>
      </x:c>
      <x:c r="J43" s="22" t="n">
        <x:v>250.00126</x:v>
      </x:c>
      <x:c r="K43" s="22" t="n">
        <x:v>0.0975</x:v>
      </x:c>
      <x:c r="L43" s="22" t="n">
        <x:v>0</x:v>
      </x:c>
      <x:c r="M43" s="22" t="n">
        <x:v>0.40939</x:v>
      </x:c>
      <x:c r="N43" s="22" t="n">
        <x:v>0</x:v>
      </x:c>
      <x:c r="O43" s="22" t="n">
        <x:v>0.7997</x:v>
      </x:c>
      <x:c r="P43" s="22" t="n">
        <x:v>0</x:v>
      </x:c>
      <x:c r="Q43" s="22" t="n">
        <x:v>0.90656</x:v>
      </x:c>
      <x:c r="R43" s="22" t="n">
        <x:v>0</x:v>
      </x:c>
      <x:c r="S43" s="22" t="n">
        <x:v>0.1076</x:v>
      </x:c>
      <x:c r="T43" s="22" t="n">
        <x:v>0.4516</x:v>
      </x:c>
      <x:c r="U43" s="22" t="n">
        <x:v>0.8821</x:v>
      </x:c>
      <x:c r="V43" s="22" t="n">
        <x:v>4.1987</x:v>
      </x:c>
      <x:c r="W43" s="22" t="n">
        <x:v>8.2019</x:v>
      </x:c>
      <x:c r="X43" s="22" t="n">
        <x:v>0.0065</x:v>
      </x:c>
      <x:c r="Y43" s="22" t="n">
        <x:v>0.02729</x:v>
      </x:c>
      <x:c r="Z43" s="22" t="n">
        <x:v>0.05331</x:v>
      </x:c>
      <x:c r="AA43" s="22" t="n">
        <x:v>0.06044</x:v>
      </x:c>
      <x:c r="AB43" s="22" t="n">
        <x:f>ABS(F43-C43)</x:f>
        <x:v>0.0151299999999992</x:v>
      </x:c>
    </x:row>
    <x:row r="44">
      <x:c r="A44" s="22" t="str">
        <x:v>GAIN_SWEEP</x:v>
      </x:c>
      <x:c r="B44" s="22" t="n">
        <x:v>1</x:v>
      </x:c>
      <x:c r="C44" s="22" t="n">
        <x:v>275</x:v>
      </x:c>
      <x:c r="D44" s="22" t="n">
        <x:v>10</x:v>
      </x:c>
      <x:c r="E44" s="22" t="n">
        <x:v>1</x:v>
      </x:c>
      <x:c r="F44" s="22" t="n">
        <x:v>274.98412</x:v>
      </x:c>
      <x:c r="G44" s="22" t="n">
        <x:v>0</x:v>
      </x:c>
      <x:c r="H44" s="22" t="n">
        <x:v>274.983</x:v>
      </x:c>
      <x:c r="I44" s="22" t="n">
        <x:v>274.93546</x:v>
      </x:c>
      <x:c r="J44" s="22" t="n">
        <x:v>274.99333</x:v>
      </x:c>
      <x:c r="K44" s="22" t="n">
        <x:v>0.11984</x:v>
      </x:c>
      <x:c r="L44" s="22" t="n">
        <x:v>0</x:v>
      </x:c>
      <x:c r="M44" s="22" t="n">
        <x:v>0.28688</x:v>
      </x:c>
      <x:c r="N44" s="22" t="n">
        <x:v>0</x:v>
      </x:c>
      <x:c r="O44" s="22" t="n">
        <x:v>0.67702</x:v>
      </x:c>
      <x:c r="P44" s="22" t="n">
        <x:v>0</x:v>
      </x:c>
      <x:c r="Q44" s="22" t="n">
        <x:v>0.74558</x:v>
      </x:c>
      <x:c r="R44" s="22" t="n">
        <x:v>0</x:v>
      </x:c>
      <x:c r="S44" s="22" t="n">
        <x:v>0.1607</x:v>
      </x:c>
      <x:c r="T44" s="22" t="n">
        <x:v>0.3848</x:v>
      </x:c>
      <x:c r="U44" s="22" t="n">
        <x:v>0.908</x:v>
      </x:c>
      <x:c r="V44" s="22" t="n">
        <x:v>2.3939</x:v>
      </x:c>
      <x:c r="W44" s="22" t="n">
        <x:v>5.6494</x:v>
      </x:c>
      <x:c r="X44" s="22" t="n">
        <x:v>0.01198</x:v>
      </x:c>
      <x:c r="Y44" s="22" t="n">
        <x:v>0.02869</x:v>
      </x:c>
      <x:c r="Z44" s="22" t="n">
        <x:v>0.0677</x:v>
      </x:c>
      <x:c r="AA44" s="22" t="n">
        <x:v>0.07456</x:v>
      </x:c>
      <x:c r="AB44" s="22" t="n">
        <x:f>ABS(F44-C44)</x:f>
        <x:v>0.015879999999981464</x:v>
      </x:c>
    </x:row>
    <x:row r="45">
      <x:c r="A45" s="22" t="str">
        <x:v>GAIN_SWEEP</x:v>
      </x:c>
      <x:c r="B45" s="22" t="n">
        <x:v>2</x:v>
      </x:c>
      <x:c r="C45" s="22" t="n">
        <x:v>275</x:v>
      </x:c>
      <x:c r="D45" s="22" t="n">
        <x:v>11</x:v>
      </x:c>
      <x:c r="E45" s="22" t="n">
        <x:v>1</x:v>
      </x:c>
      <x:c r="F45" s="22" t="n">
        <x:v>275.00429</x:v>
      </x:c>
      <x:c r="G45" s="22" t="n">
        <x:v>0</x:v>
      </x:c>
      <x:c r="H45" s="22" t="n">
        <x:v>275.01232</x:v>
      </x:c>
      <x:c r="I45" s="22" t="n">
        <x:v>275.00236</x:v>
      </x:c>
      <x:c r="J45" s="22" t="n">
        <x:v>275.00443</x:v>
      </x:c>
      <x:c r="K45" s="22" t="n">
        <x:v>0.12748</x:v>
      </x:c>
      <x:c r="L45" s="22" t="n">
        <x:v>0</x:v>
      </x:c>
      <x:c r="M45" s="22" t="n">
        <x:v>0.3248</x:v>
      </x:c>
      <x:c r="N45" s="22" t="n">
        <x:v>0</x:v>
      </x:c>
      <x:c r="O45" s="22" t="n">
        <x:v>0.7784</x:v>
      </x:c>
      <x:c r="P45" s="22" t="n">
        <x:v>0</x:v>
      </x:c>
      <x:c r="Q45" s="22" t="n">
        <x:v>0.8532</x:v>
      </x:c>
      <x:c r="R45" s="22" t="n">
        <x:v>0</x:v>
      </x:c>
      <x:c r="S45" s="22" t="n">
        <x:v>0.1494</x:v>
      </x:c>
      <x:c r="T45" s="22" t="n">
        <x:v>0.3807</x:v>
      </x:c>
      <x:c r="U45" s="22" t="n">
        <x:v>0.9123</x:v>
      </x:c>
      <x:c r="V45" s="22" t="n">
        <x:v>2.5479</x:v>
      </x:c>
      <x:c r="W45" s="22" t="n">
        <x:v>6.1062</x:v>
      </x:c>
      <x:c r="X45" s="22" t="n">
        <x:v>0.01159</x:v>
      </x:c>
      <x:c r="Y45" s="22" t="n">
        <x:v>0.02953</x:v>
      </x:c>
      <x:c r="Z45" s="22" t="n">
        <x:v>0.07076</x:v>
      </x:c>
      <x:c r="AA45" s="22" t="n">
        <x:v>0.07756</x:v>
      </x:c>
      <x:c r="AB45" s="22" t="n">
        <x:f>ABS(F45-C45)</x:f>
        <x:v>0.004290000000025884</x:v>
      </x:c>
    </x:row>
    <x:row r="46">
      <x:c r="A46" s="22" t="str">
        <x:v>GAIN_SWEEP</x:v>
      </x:c>
      <x:c r="B46" s="22" t="n">
        <x:v>3</x:v>
      </x:c>
      <x:c r="C46" s="22" t="n">
        <x:v>275</x:v>
      </x:c>
      <x:c r="D46" s="22" t="n">
        <x:v>12</x:v>
      </x:c>
      <x:c r="E46" s="22" t="n">
        <x:v>1</x:v>
      </x:c>
      <x:c r="F46" s="22" t="n">
        <x:v>274.9969</x:v>
      </x:c>
      <x:c r="G46" s="22" t="n">
        <x:v>0</x:v>
      </x:c>
      <x:c r="H46" s="22" t="n">
        <x:v>275.0001</x:v>
      </x:c>
      <x:c r="I46" s="22" t="n">
        <x:v>274.98872</x:v>
      </x:c>
      <x:c r="J46" s="22" t="n">
        <x:v>274.99846</x:v>
      </x:c>
      <x:c r="K46" s="22" t="n">
        <x:v>0.15274</x:v>
      </x:c>
      <x:c r="L46" s="22" t="n">
        <x:v>0</x:v>
      </x:c>
      <x:c r="M46" s="22" t="n">
        <x:v>0.3539</x:v>
      </x:c>
      <x:c r="N46" s="22" t="n">
        <x:v>0</x:v>
      </x:c>
      <x:c r="O46" s="22" t="n">
        <x:v>0.83416</x:v>
      </x:c>
      <x:c r="P46" s="22" t="n">
        <x:v>0</x:v>
      </x:c>
      <x:c r="Q46" s="22" t="n">
        <x:v>0.91966</x:v>
      </x:c>
      <x:c r="R46" s="22" t="n">
        <x:v>0</x:v>
      </x:c>
      <x:c r="S46" s="22" t="n">
        <x:v>0.1661</x:v>
      </x:c>
      <x:c r="T46" s="22" t="n">
        <x:v>0.3848</x:v>
      </x:c>
      <x:c r="U46" s="22" t="n">
        <x:v>0.907</x:v>
      </x:c>
      <x:c r="V46" s="22" t="n">
        <x:v>2.3171</x:v>
      </x:c>
      <x:c r="W46" s="22" t="n">
        <x:v>5.4615</x:v>
      </x:c>
      <x:c r="X46" s="22" t="n">
        <x:v>0.01273</x:v>
      </x:c>
      <x:c r="Y46" s="22" t="n">
        <x:v>0.02949</x:v>
      </x:c>
      <x:c r="Z46" s="22" t="n">
        <x:v>0.06951</x:v>
      </x:c>
      <x:c r="AA46" s="22" t="n">
        <x:v>0.07664</x:v>
      </x:c>
      <x:c r="AB46" s="22" t="n">
        <x:f>ABS(F46-C46)</x:f>
        <x:v>0.003100000000017644</x:v>
      </x:c>
    </x:row>
    <x:row r="47">
      <x:c r="A47" s="22" t="str">
        <x:v>GAIN_SWEEP</x:v>
      </x:c>
      <x:c r="B47" s="22" t="n">
        <x:v>4</x:v>
      </x:c>
      <x:c r="C47" s="22" t="n">
        <x:v>275</x:v>
      </x:c>
      <x:c r="D47" s="22" t="n">
        <x:v>13</x:v>
      </x:c>
      <x:c r="E47" s="22" t="n">
        <x:v>1</x:v>
      </x:c>
      <x:c r="F47" s="22" t="n">
        <x:v>274.99952</x:v>
      </x:c>
      <x:c r="G47" s="22" t="n">
        <x:v>0</x:v>
      </x:c>
      <x:c r="H47" s="22" t="n">
        <x:v>275.01518</x:v>
      </x:c>
      <x:c r="I47" s="22" t="n">
        <x:v>275.01887</x:v>
      </x:c>
      <x:c r="J47" s="22" t="n">
        <x:v>274.99504</x:v>
      </x:c>
      <x:c r="K47" s="22" t="n">
        <x:v>0.15189</x:v>
      </x:c>
      <x:c r="L47" s="22" t="n">
        <x:v>0</x:v>
      </x:c>
      <x:c r="M47" s="22" t="n">
        <x:v>0.41263</x:v>
      </x:c>
      <x:c r="N47" s="22" t="n">
        <x:v>0</x:v>
      </x:c>
      <x:c r="O47" s="22" t="n">
        <x:v>0.9097</x:v>
      </x:c>
      <x:c r="P47" s="22" t="n">
        <x:v>0</x:v>
      </x:c>
      <x:c r="Q47" s="22" t="n">
        <x:v>1.01068</x:v>
      </x:c>
      <x:c r="R47" s="22" t="n">
        <x:v>0</x:v>
      </x:c>
      <x:c r="S47" s="22" t="n">
        <x:v>0.1503</x:v>
      </x:c>
      <x:c r="T47" s="22" t="n">
        <x:v>0.4083</x:v>
      </x:c>
      <x:c r="U47" s="22" t="n">
        <x:v>0.9001</x:v>
      </x:c>
      <x:c r="V47" s="22" t="n">
        <x:v>2.7166</x:v>
      </x:c>
      <x:c r="W47" s="22" t="n">
        <x:v>5.9891</x:v>
      </x:c>
      <x:c r="X47" s="22" t="n">
        <x:v>0.01168</x:v>
      </x:c>
      <x:c r="Y47" s="22" t="n">
        <x:v>0.03174</x:v>
      </x:c>
      <x:c r="Z47" s="22" t="n">
        <x:v>0.06998</x:v>
      </x:c>
      <x:c r="AA47" s="22" t="n">
        <x:v>0.07774</x:v>
      </x:c>
      <x:c r="AB47" s="22" t="n">
        <x:f>ABS(F47-C47)</x:f>
        <x:v>0.0004799999999818283</x:v>
      </x:c>
    </x:row>
    <x:row r="48">
      <x:c r="A48" s="22" t="str">
        <x:v>GAIN_SWEEP</x:v>
      </x:c>
      <x:c r="B48" s="22" t="n">
        <x:v>5</x:v>
      </x:c>
      <x:c r="C48" s="22" t="n">
        <x:v>275</x:v>
      </x:c>
      <x:c r="D48" s="22" t="n">
        <x:v>14</x:v>
      </x:c>
      <x:c r="E48" s="22" t="n">
        <x:v>1</x:v>
      </x:c>
      <x:c r="F48" s="22" t="n">
        <x:v>275.00454</x:v>
      </x:c>
      <x:c r="G48" s="22" t="n">
        <x:v>0</x:v>
      </x:c>
      <x:c r="H48" s="22" t="n">
        <x:v>274.97188</x:v>
      </x:c>
      <x:c r="I48" s="22" t="n">
        <x:v>275.01532</x:v>
      </x:c>
      <x:c r="J48" s="22" t="n">
        <x:v>275.0034</x:v>
      </x:c>
      <x:c r="K48" s="22" t="n">
        <x:v>0.17025</x:v>
      </x:c>
      <x:c r="L48" s="22" t="n">
        <x:v>0</x:v>
      </x:c>
      <x:c r="M48" s="22" t="n">
        <x:v>0.43518</x:v>
      </x:c>
      <x:c r="N48" s="22" t="n">
        <x:v>0</x:v>
      </x:c>
      <x:c r="O48" s="22" t="n">
        <x:v>0.99126</x:v>
      </x:c>
      <x:c r="P48" s="22" t="n">
        <x:v>0</x:v>
      </x:c>
      <x:c r="Q48" s="22" t="n">
        <x:v>1.09613</x:v>
      </x:c>
      <x:c r="R48" s="22" t="n">
        <x:v>0</x:v>
      </x:c>
      <x:c r="S48" s="22" t="n">
        <x:v>0.1553</x:v>
      </x:c>
      <x:c r="T48" s="22" t="n">
        <x:v>0.397</x:v>
      </x:c>
      <x:c r="U48" s="22" t="n">
        <x:v>0.9043</x:v>
      </x:c>
      <x:c r="V48" s="22" t="n">
        <x:v>2.5562</x:v>
      </x:c>
      <x:c r="W48" s="22" t="n">
        <x:v>5.8225</x:v>
      </x:c>
      <x:c r="X48" s="22" t="n">
        <x:v>0.01216</x:v>
      </x:c>
      <x:c r="Y48" s="22" t="n">
        <x:v>0.03108</x:v>
      </x:c>
      <x:c r="Z48" s="22" t="n">
        <x:v>0.0708</x:v>
      </x:c>
      <x:c r="AA48" s="22" t="n">
        <x:v>0.0783</x:v>
      </x:c>
      <x:c r="AB48" s="22" t="n">
        <x:f>ABS(F48-C48)</x:f>
        <x:v>0.0045400000000199725</x:v>
      </x:c>
    </x:row>
    <x:row r="49">
      <x:c r="A49" s="22" t="str">
        <x:v>GAIN_SWEEP</x:v>
      </x:c>
      <x:c r="B49" s="22" t="n">
        <x:v>6</x:v>
      </x:c>
      <x:c r="C49" s="22" t="n">
        <x:v>275</x:v>
      </x:c>
      <x:c r="D49" s="22" t="n">
        <x:v>15</x:v>
      </x:c>
      <x:c r="E49" s="22" t="n">
        <x:v>1</x:v>
      </x:c>
      <x:c r="F49" s="22" t="n">
        <x:v>274.99763</x:v>
      </x:c>
      <x:c r="G49" s="22" t="n">
        <x:v>0</x:v>
      </x:c>
      <x:c r="H49" s="22" t="n">
        <x:v>275.00668</x:v>
      </x:c>
      <x:c r="I49" s="22" t="n">
        <x:v>274.9702</x:v>
      </x:c>
      <x:c r="J49" s="22" t="n">
        <x:v>275.00285</x:v>
      </x:c>
      <x:c r="K49" s="22" t="n">
        <x:v>0.1935</x:v>
      </x:c>
      <x:c r="L49" s="22" t="n">
        <x:v>0</x:v>
      </x:c>
      <x:c r="M49" s="22" t="n">
        <x:v>0.50459</x:v>
      </x:c>
      <x:c r="N49" s="22" t="n">
        <x:v>0</x:v>
      </x:c>
      <x:c r="O49" s="22" t="n">
        <x:v>1.0661</x:v>
      </x:c>
      <x:c r="P49" s="22" t="n">
        <x:v>0</x:v>
      </x:c>
      <x:c r="Q49" s="22" t="n">
        <x:v>1.19635</x:v>
      </x:c>
      <x:c r="R49" s="22" t="n">
        <x:v>0</x:v>
      </x:c>
      <x:c r="S49" s="22" t="n">
        <x:v>0.1617</x:v>
      </x:c>
      <x:c r="T49" s="22" t="n">
        <x:v>0.4218</x:v>
      </x:c>
      <x:c r="U49" s="22" t="n">
        <x:v>0.8911</x:v>
      </x:c>
      <x:c r="V49" s="22" t="n">
        <x:v>2.6077</x:v>
      </x:c>
      <x:c r="W49" s="22" t="n">
        <x:v>5.5095</x:v>
      </x:c>
      <x:c r="X49" s="22" t="n">
        <x:v>0.0129</x:v>
      </x:c>
      <x:c r="Y49" s="22" t="n">
        <x:v>0.03364</x:v>
      </x:c>
      <x:c r="Z49" s="22" t="n">
        <x:v>0.07107</x:v>
      </x:c>
      <x:c r="AA49" s="22" t="n">
        <x:v>0.07976</x:v>
      </x:c>
      <x:c r="AB49" s="22" t="n">
        <x:f>ABS(F49-C49)</x:f>
        <x:v>0.002369999999984884</x:v>
      </x:c>
    </x:row>
    <x:row r="50">
      <x:c r="A50" s="22" t="str">
        <x:v>GAIN_SWEEP</x:v>
      </x:c>
      <x:c r="B50" s="22" t="n">
        <x:v>1</x:v>
      </x:c>
      <x:c r="C50" s="22" t="n">
        <x:v>300</x:v>
      </x:c>
      <x:c r="D50" s="22" t="n">
        <x:v>10</x:v>
      </x:c>
      <x:c r="E50" s="22" t="n">
        <x:v>1</x:v>
      </x:c>
      <x:c r="F50" s="22" t="n">
        <x:v>300.01084</x:v>
      </x:c>
      <x:c r="G50" s="22" t="n">
        <x:v>0</x:v>
      </x:c>
      <x:c r="H50" s="22" t="n">
        <x:v>299.98395</x:v>
      </x:c>
      <x:c r="I50" s="22" t="n">
        <x:v>300.03091</x:v>
      </x:c>
      <x:c r="J50" s="22" t="n">
        <x:v>300.00609</x:v>
      </x:c>
      <x:c r="K50" s="22" t="n">
        <x:v>0.23242</x:v>
      </x:c>
      <x:c r="L50" s="22" t="n">
        <x:v>0</x:v>
      </x:c>
      <x:c r="M50" s="22" t="n">
        <x:v>0.3742</x:v>
      </x:c>
      <x:c r="N50" s="22" t="n">
        <x:v>0</x:v>
      </x:c>
      <x:c r="O50" s="22" t="n">
        <x:v>0.62642</x:v>
      </x:c>
      <x:c r="P50" s="22" t="n">
        <x:v>0</x:v>
      </x:c>
      <x:c r="Q50" s="22" t="n">
        <x:v>0.76602</x:v>
      </x:c>
      <x:c r="R50" s="22" t="n">
        <x:v>0</x:v>
      </x:c>
      <x:c r="S50" s="22" t="n">
        <x:v>0.3034</x:v>
      </x:c>
      <x:c r="T50" s="22" t="n">
        <x:v>0.4885</x:v>
      </x:c>
      <x:c r="U50" s="22" t="n">
        <x:v>0.8178</x:v>
      </x:c>
      <x:c r="V50" s="22" t="n">
        <x:v>1.61</x:v>
      </x:c>
      <x:c r="W50" s="22" t="n">
        <x:v>2.6952</x:v>
      </x:c>
      <x:c r="X50" s="22" t="n">
        <x:v>0.02324</x:v>
      </x:c>
      <x:c r="Y50" s="22" t="n">
        <x:v>0.03742</x:v>
      </x:c>
      <x:c r="Z50" s="22" t="n">
        <x:v>0.06264</x:v>
      </x:c>
      <x:c r="AA50" s="22" t="n">
        <x:v>0.0766</x:v>
      </x:c>
      <x:c r="AB50" s="22" t="n">
        <x:f>ABS(F50-C50)</x:f>
        <x:v>0.010839999999973315</x:v>
      </x:c>
    </x:row>
    <x:row r="51">
      <x:c r="A51" s="22" t="str">
        <x:v>GAIN_SWEEP</x:v>
      </x:c>
      <x:c r="B51" s="22" t="n">
        <x:v>2</x:v>
      </x:c>
      <x:c r="C51" s="22" t="n">
        <x:v>300</x:v>
      </x:c>
      <x:c r="D51" s="22" t="n">
        <x:v>11</x:v>
      </x:c>
      <x:c r="E51" s="22" t="n">
        <x:v>1</x:v>
      </x:c>
      <x:c r="F51" s="22" t="n">
        <x:v>300.00336</x:v>
      </x:c>
      <x:c r="G51" s="22" t="n">
        <x:v>0</x:v>
      </x:c>
      <x:c r="H51" s="22" t="n">
        <x:v>300.02582</x:v>
      </x:c>
      <x:c r="I51" s="22" t="n">
        <x:v>299.98136</x:v>
      </x:c>
      <x:c r="J51" s="22" t="n">
        <x:v>300.00901</x:v>
      </x:c>
      <x:c r="K51" s="22" t="n">
        <x:v>0.2517</x:v>
      </x:c>
      <x:c r="L51" s="22" t="n">
        <x:v>0</x:v>
      </x:c>
      <x:c r="M51" s="22" t="n">
        <x:v>0.43632</x:v>
      </x:c>
      <x:c r="N51" s="22" t="n">
        <x:v>0</x:v>
      </x:c>
      <x:c r="O51" s="22" t="n">
        <x:v>0.67708</x:v>
      </x:c>
      <x:c r="P51" s="22" t="n">
        <x:v>0</x:v>
      </x:c>
      <x:c r="Q51" s="22" t="n">
        <x:v>0.84422</x:v>
      </x:c>
      <x:c r="R51" s="22" t="n">
        <x:v>0</x:v>
      </x:c>
      <x:c r="S51" s="22" t="n">
        <x:v>0.2981</x:v>
      </x:c>
      <x:c r="T51" s="22" t="n">
        <x:v>0.5168</x:v>
      </x:c>
      <x:c r="U51" s="22" t="n">
        <x:v>0.802</x:v>
      </x:c>
      <x:c r="V51" s="22" t="n">
        <x:v>1.7335</x:v>
      </x:c>
      <x:c r="W51" s="22" t="n">
        <x:v>2.69</x:v>
      </x:c>
      <x:c r="X51" s="22" t="n">
        <x:v>0.02288</x:v>
      </x:c>
      <x:c r="Y51" s="22" t="n">
        <x:v>0.03967</x:v>
      </x:c>
      <x:c r="Z51" s="22" t="n">
        <x:v>0.06155</x:v>
      </x:c>
      <x:c r="AA51" s="22" t="n">
        <x:v>0.07675</x:v>
      </x:c>
      <x:c r="AB51" s="22" t="n">
        <x:f>ABS(F51-C51)</x:f>
        <x:v>0.003359999999986485</x:v>
      </x:c>
    </x:row>
    <x:row r="52">
      <x:c r="A52" s="22" t="str">
        <x:v>GAIN_SWEEP</x:v>
      </x:c>
      <x:c r="B52" s="22" t="n">
        <x:v>3</x:v>
      </x:c>
      <x:c r="C52" s="22" t="n">
        <x:v>300</x:v>
      </x:c>
      <x:c r="D52" s="22" t="n">
        <x:v>12</x:v>
      </x:c>
      <x:c r="E52" s="22" t="n">
        <x:v>1</x:v>
      </x:c>
      <x:c r="F52" s="22" t="n">
        <x:v>300.0069</x:v>
      </x:c>
      <x:c r="G52" s="22" t="n">
        <x:v>0</x:v>
      </x:c>
      <x:c r="H52" s="22" t="n">
        <x:v>299.98409</x:v>
      </x:c>
      <x:c r="I52" s="22" t="n">
        <x:v>299.9892</x:v>
      </x:c>
      <x:c r="J52" s="22" t="n">
        <x:v>300.01805</x:v>
      </x:c>
      <x:c r="K52" s="22" t="n">
        <x:v>0.28444</x:v>
      </x:c>
      <x:c r="L52" s="22" t="n">
        <x:v>0</x:v>
      </x:c>
      <x:c r="M52" s="22" t="n">
        <x:v>0.48143</x:v>
      </x:c>
      <x:c r="N52" s="22" t="n">
        <x:v>0</x:v>
      </x:c>
      <x:c r="O52" s="22" t="n">
        <x:v>0.73669</x:v>
      </x:c>
      <x:c r="P52" s="22" t="n">
        <x:v>0</x:v>
      </x:c>
      <x:c r="Q52" s="22" t="n">
        <x:v>0.92513</x:v>
      </x:c>
      <x:c r="R52" s="22" t="n">
        <x:v>0</x:v>
      </x:c>
      <x:c r="S52" s="22" t="n">
        <x:v>0.3075</x:v>
      </x:c>
      <x:c r="T52" s="22" t="n">
        <x:v>0.5204</x:v>
      </x:c>
      <x:c r="U52" s="22" t="n">
        <x:v>0.7963</x:v>
      </x:c>
      <x:c r="V52" s="22" t="n">
        <x:v>1.6926</x:v>
      </x:c>
      <x:c r="W52" s="22" t="n">
        <x:v>2.59</x:v>
      </x:c>
      <x:c r="X52" s="22" t="n">
        <x:v>0.0237</x:v>
      </x:c>
      <x:c r="Y52" s="22" t="n">
        <x:v>0.04012</x:v>
      </x:c>
      <x:c r="Z52" s="22" t="n">
        <x:v>0.06139</x:v>
      </x:c>
      <x:c r="AA52" s="22" t="n">
        <x:v>0.07709</x:v>
      </x:c>
      <x:c r="AB52" s="22" t="n">
        <x:f>ABS(F52-C52)</x:f>
        <x:v>0.006899999999973261</x:v>
      </x:c>
    </x:row>
    <x:row r="53">
      <x:c r="A53" s="22" t="str">
        <x:v>GAIN_SWEEP</x:v>
      </x:c>
      <x:c r="B53" s="22" t="n">
        <x:v>4</x:v>
      </x:c>
      <x:c r="C53" s="22" t="n">
        <x:v>300</x:v>
      </x:c>
      <x:c r="D53" s="22" t="n">
        <x:v>13</x:v>
      </x:c>
      <x:c r="E53" s="22" t="n">
        <x:v>1</x:v>
      </x:c>
      <x:c r="F53" s="22" t="n">
        <x:v>300.00284</x:v>
      </x:c>
      <x:c r="G53" s="22" t="n">
        <x:v>0</x:v>
      </x:c>
      <x:c r="H53" s="22" t="n">
        <x:v>299.99859</x:v>
      </x:c>
      <x:c r="I53" s="22" t="n">
        <x:v>300.00932</x:v>
      </x:c>
      <x:c r="J53" s="22" t="n">
        <x:v>300.00041</x:v>
      </x:c>
      <x:c r="K53" s="22" t="n">
        <x:v>0.31419</x:v>
      </x:c>
      <x:c r="L53" s="22" t="n">
        <x:v>0</x:v>
      </x:c>
      <x:c r="M53" s="22" t="n">
        <x:v>0.52991</x:v>
      </x:c>
      <x:c r="N53" s="22" t="n">
        <x:v>0</x:v>
      </x:c>
      <x:c r="O53" s="22" t="n">
        <x:v>0.77607</x:v>
      </x:c>
      <x:c r="P53" s="22" t="n">
        <x:v>0</x:v>
      </x:c>
      <x:c r="Q53" s="22" t="n">
        <x:v>0.99104</x:v>
      </x:c>
      <x:c r="R53" s="22" t="n">
        <x:v>0</x:v>
      </x:c>
      <x:c r="S53" s="22" t="n">
        <x:v>0.317</x:v>
      </x:c>
      <x:c r="T53" s="22" t="n">
        <x:v>0.5347</x:v>
      </x:c>
      <x:c r="U53" s="22" t="n">
        <x:v>0.7831</x:v>
      </x:c>
      <x:c r="V53" s="22" t="n">
        <x:v>1.6866</x:v>
      </x:c>
      <x:c r="W53" s="22" t="n">
        <x:v>2.4701</x:v>
      </x:c>
      <x:c r="X53" s="22" t="n">
        <x:v>0.02417</x:v>
      </x:c>
      <x:c r="Y53" s="22" t="n">
        <x:v>0.04076</x:v>
      </x:c>
      <x:c r="Z53" s="22" t="n">
        <x:v>0.0597</x:v>
      </x:c>
      <x:c r="AA53" s="22" t="n">
        <x:v>0.07623</x:v>
      </x:c>
      <x:c r="AB53" s="22" t="n">
        <x:f>ABS(F53-C53)</x:f>
        <x:v>0.00283999999999196</x:v>
      </x:c>
    </x:row>
    <x:row r="54">
      <x:c r="A54" s="22" t="str">
        <x:v>GAIN_SWEEP</x:v>
      </x:c>
      <x:c r="B54" s="22" t="n">
        <x:v>5</x:v>
      </x:c>
      <x:c r="C54" s="22" t="n">
        <x:v>300</x:v>
      </x:c>
      <x:c r="D54" s="22" t="n">
        <x:v>14</x:v>
      </x:c>
      <x:c r="E54" s="22" t="n">
        <x:v>1</x:v>
      </x:c>
      <x:c r="F54" s="22" t="n">
        <x:v>299.99646</x:v>
      </x:c>
      <x:c r="G54" s="22" t="n">
        <x:v>0</x:v>
      </x:c>
      <x:c r="H54" s="22" t="n">
        <x:v>300.0028</x:v>
      </x:c>
      <x:c r="I54" s="22" t="n">
        <x:v>299.99544</x:v>
      </x:c>
      <x:c r="J54" s="22" t="n">
        <x:v>299.99582</x:v>
      </x:c>
      <x:c r="K54" s="22" t="n">
        <x:v>0.35319</x:v>
      </x:c>
      <x:c r="L54" s="22" t="n">
        <x:v>0</x:v>
      </x:c>
      <x:c r="M54" s="22" t="n">
        <x:v>0.56732</x:v>
      </x:c>
      <x:c r="N54" s="22" t="n">
        <x:v>0</x:v>
      </x:c>
      <x:c r="O54" s="22" t="n">
        <x:v>0.83853</x:v>
      </x:c>
      <x:c r="P54" s="22" t="n">
        <x:v>0</x:v>
      </x:c>
      <x:c r="Q54" s="22" t="n">
        <x:v>1.07281</x:v>
      </x:c>
      <x:c r="R54" s="22" t="n">
        <x:v>0</x:v>
      </x:c>
      <x:c r="S54" s="22" t="n">
        <x:v>0.3292</x:v>
      </x:c>
      <x:c r="T54" s="22" t="n">
        <x:v>0.5288</x:v>
      </x:c>
      <x:c r="U54" s="22" t="n">
        <x:v>0.7816</x:v>
      </x:c>
      <x:c r="V54" s="22" t="n">
        <x:v>1.6063</x:v>
      </x:c>
      <x:c r="W54" s="22" t="n">
        <x:v>2.3742</x:v>
      </x:c>
      <x:c r="X54" s="22" t="n">
        <x:v>0.02523</x:v>
      </x:c>
      <x:c r="Y54" s="22" t="n">
        <x:v>0.04052</x:v>
      </x:c>
      <x:c r="Z54" s="22" t="n">
        <x:v>0.05989</x:v>
      </x:c>
      <x:c r="AA54" s="22" t="n">
        <x:v>0.07663</x:v>
      </x:c>
      <x:c r="AB54" s="22" t="n">
        <x:f>ABS(F54-C54)</x:f>
        <x:v>0.003539999999986776</x:v>
      </x:c>
    </x:row>
    <x:row r="55">
      <x:c r="A55" s="22" t="str">
        <x:v>GAIN_SWEEP</x:v>
      </x:c>
      <x:c r="B55" s="22" t="n">
        <x:v>6</x:v>
      </x:c>
      <x:c r="C55" s="22" t="n">
        <x:v>300</x:v>
      </x:c>
      <x:c r="D55" s="22" t="n">
        <x:v>15</x:v>
      </x:c>
      <x:c r="E55" s="22" t="n">
        <x:v>1</x:v>
      </x:c>
      <x:c r="F55" s="22" t="n">
        <x:v>300.00472</x:v>
      </x:c>
      <x:c r="G55" s="22" t="n">
        <x:v>0</x:v>
      </x:c>
      <x:c r="H55" s="22" t="n">
        <x:v>300.00934</x:v>
      </x:c>
      <x:c r="I55" s="22" t="n">
        <x:v>300.00651</x:v>
      </x:c>
      <x:c r="J55" s="22" t="n">
        <x:v>300.00303</x:v>
      </x:c>
      <x:c r="K55" s="22" t="n">
        <x:v>0.37804</x:v>
      </x:c>
      <x:c r="L55" s="22" t="n">
        <x:v>0</x:v>
      </x:c>
      <x:c r="M55" s="22" t="n">
        <x:v>0.63158</x:v>
      </x:c>
      <x:c r="N55" s="22" t="n">
        <x:v>0</x:v>
      </x:c>
      <x:c r="O55" s="22" t="n">
        <x:v>0.87515</x:v>
      </x:c>
      <x:c r="P55" s="22" t="n">
        <x:v>0</x:v>
      </x:c>
      <x:c r="Q55" s="22" t="n">
        <x:v>1.1439</x:v>
      </x:c>
      <x:c r="R55" s="22" t="n">
        <x:v>0</x:v>
      </x:c>
      <x:c r="S55" s="22" t="n">
        <x:v>0.3305</x:v>
      </x:c>
      <x:c r="T55" s="22" t="n">
        <x:v>0.5521</x:v>
      </x:c>
      <x:c r="U55" s="22" t="n">
        <x:v>0.7651</x:v>
      </x:c>
      <x:c r="V55" s="22" t="n">
        <x:v>1.6707</x:v>
      </x:c>
      <x:c r="W55" s="22" t="n">
        <x:v>2.315</x:v>
      </x:c>
      <x:c r="X55" s="22" t="n">
        <x:v>0.0252</x:v>
      </x:c>
      <x:c r="Y55" s="22" t="n">
        <x:v>0.04211</x:v>
      </x:c>
      <x:c r="Z55" s="22" t="n">
        <x:v>0.05834</x:v>
      </x:c>
      <x:c r="AA55" s="22" t="n">
        <x:v>0.07626</x:v>
      </x:c>
      <x:c r="AB55" s="22" t="n">
        <x:f>ABS(F55-C55)</x:f>
        <x:v>0.0047200000000202635</x:v>
      </x:c>
    </x:row>
    <x:row r="56">
      <x:c r="A56" s="22" t="str">
        <x:v>GAIN_SWEEP</x:v>
      </x:c>
      <x:c r="B56" s="22" t="n">
        <x:v>1</x:v>
      </x:c>
      <x:c r="C56" s="22" t="n">
        <x:v>325</x:v>
      </x:c>
      <x:c r="D56" s="22" t="n">
        <x:v>10</x:v>
      </x:c>
      <x:c r="E56" s="22" t="n">
        <x:v>1</x:v>
      </x:c>
      <x:c r="F56" s="22" t="n">
        <x:v>324.98574</x:v>
      </x:c>
      <x:c r="G56" s="22" t="n">
        <x:v>0</x:v>
      </x:c>
      <x:c r="H56" s="22" t="n">
        <x:v>324.98172</x:v>
      </x:c>
      <x:c r="I56" s="22" t="n">
        <x:v>324.98626</x:v>
      </x:c>
      <x:c r="J56" s="22" t="n">
        <x:v>325.01361</x:v>
      </x:c>
      <x:c r="K56" s="22" t="n">
        <x:v>0.28951</x:v>
      </x:c>
      <x:c r="L56" s="22" t="n">
        <x:v>0</x:v>
      </x:c>
      <x:c r="M56" s="22" t="n">
        <x:v>0.46616</x:v>
      </x:c>
      <x:c r="N56" s="22" t="n">
        <x:v>0</x:v>
      </x:c>
      <x:c r="O56" s="22" t="n">
        <x:v>0.09583</x:v>
      </x:c>
      <x:c r="P56" s="22" t="n">
        <x:v>0</x:v>
      </x:c>
      <x:c r="Q56" s="22" t="n">
        <x:v>0.55811</x:v>
      </x:c>
      <x:c r="R56" s="22" t="n">
        <x:v>0</x:v>
      </x:c>
      <x:c r="S56" s="22" t="n">
        <x:v>0.5187</x:v>
      </x:c>
      <x:c r="T56" s="22" t="n">
        <x:v>0.8353</x:v>
      </x:c>
      <x:c r="U56" s="22" t="n">
        <x:v>0.1717</x:v>
      </x:c>
      <x:c r="V56" s="22" t="n">
        <x:v>1.6102</x:v>
      </x:c>
      <x:c r="W56" s="22" t="n">
        <x:v>0.331</x:v>
      </x:c>
      <x:c r="X56" s="22" t="n">
        <x:v>0.02895</x:v>
      </x:c>
      <x:c r="Y56" s="22" t="n">
        <x:v>0.04662</x:v>
      </x:c>
      <x:c r="Z56" s="22" t="n">
        <x:v>0.00958</x:v>
      </x:c>
      <x:c r="AA56" s="22" t="n">
        <x:v>0.05581</x:v>
      </x:c>
      <x:c r="AB56" s="22" t="n">
        <x:f>ABS(F56-C56)</x:f>
        <x:v>0.014259999999978845</x:v>
      </x:c>
    </x:row>
    <x:row r="57">
      <x:c r="A57" s="22" t="str">
        <x:v>GAIN_SWEEP</x:v>
      </x:c>
      <x:c r="B57" s="22" t="n">
        <x:v>2</x:v>
      </x:c>
      <x:c r="C57" s="22" t="n">
        <x:v>325</x:v>
      </x:c>
      <x:c r="D57" s="22" t="n">
        <x:v>11</x:v>
      </x:c>
      <x:c r="E57" s="22" t="n">
        <x:v>1</x:v>
      </x:c>
      <x:c r="F57" s="22" t="n">
        <x:v>325.00635</x:v>
      </x:c>
      <x:c r="G57" s="22" t="n">
        <x:v>0</x:v>
      </x:c>
      <x:c r="H57" s="22" t="n">
        <x:v>325.01899</x:v>
      </x:c>
      <x:c r="I57" s="22" t="n">
        <x:v>325.00492</x:v>
      </x:c>
      <x:c r="J57" s="22" t="n">
        <x:v>324.91645</x:v>
      </x:c>
      <x:c r="K57" s="22" t="n">
        <x:v>0.32115</x:v>
      </x:c>
      <x:c r="L57" s="22" t="n">
        <x:v>0</x:v>
      </x:c>
      <x:c r="M57" s="22" t="n">
        <x:v>0.51531</x:v>
      </x:c>
      <x:c r="N57" s="22" t="n">
        <x:v>0</x:v>
      </x:c>
      <x:c r="O57" s="22" t="n">
        <x:v>0.11418</x:v>
      </x:c>
      <x:c r="P57" s="22" t="n">
        <x:v>0</x:v>
      </x:c>
      <x:c r="Q57" s="22" t="n">
        <x:v>0.61822</x:v>
      </x:c>
      <x:c r="R57" s="22" t="n">
        <x:v>0</x:v>
      </x:c>
      <x:c r="S57" s="22" t="n">
        <x:v>0.5195</x:v>
      </x:c>
      <x:c r="T57" s="22" t="n">
        <x:v>0.8335</x:v>
      </x:c>
      <x:c r="U57" s="22" t="n">
        <x:v>0.1847</x:v>
      </x:c>
      <x:c r="V57" s="22" t="n">
        <x:v>1.6046</x:v>
      </x:c>
      <x:c r="W57" s="22" t="n">
        <x:v>0.3556</x:v>
      </x:c>
      <x:c r="X57" s="22" t="n">
        <x:v>0.0292</x:v>
      </x:c>
      <x:c r="Y57" s="22" t="n">
        <x:v>0.04685</x:v>
      </x:c>
      <x:c r="Z57" s="22" t="n">
        <x:v>0.01038</x:v>
      </x:c>
      <x:c r="AA57" s="22" t="n">
        <x:v>0.0562</x:v>
      </x:c>
      <x:c r="AB57" s="22" t="n">
        <x:f>ABS(F57-C57)</x:f>
        <x:v>0.006349999999997635</x:v>
      </x:c>
    </x:row>
    <x:row r="58">
      <x:c r="A58" s="22" t="str">
        <x:v>GAIN_SWEEP</x:v>
      </x:c>
      <x:c r="B58" s="22" t="n">
        <x:v>3</x:v>
      </x:c>
      <x:c r="C58" s="22" t="n">
        <x:v>325</x:v>
      </x:c>
      <x:c r="D58" s="22" t="n">
        <x:v>12</x:v>
      </x:c>
      <x:c r="E58" s="22" t="n">
        <x:v>1</x:v>
      </x:c>
      <x:c r="F58" s="22" t="n">
        <x:v>325.0008</x:v>
      </x:c>
      <x:c r="G58" s="22" t="n">
        <x:v>0</x:v>
      </x:c>
      <x:c r="H58" s="22" t="n">
        <x:v>324.99254</x:v>
      </x:c>
      <x:c r="I58" s="22" t="n">
        <x:v>325.00881</x:v>
      </x:c>
      <x:c r="J58" s="22" t="n">
        <x:v>324.935</x:v>
      </x:c>
      <x:c r="K58" s="22" t="n">
        <x:v>0.34656</x:v>
      </x:c>
      <x:c r="L58" s="22" t="n">
        <x:v>0</x:v>
      </x:c>
      <x:c r="M58" s="22" t="n">
        <x:v>0.56162</x:v>
      </x:c>
      <x:c r="N58" s="22" t="n">
        <x:v>0</x:v>
      </x:c>
      <x:c r="O58" s="22" t="n">
        <x:v>0.14941</x:v>
      </x:c>
      <x:c r="P58" s="22" t="n">
        <x:v>0</x:v>
      </x:c>
      <x:c r="Q58" s="22" t="n">
        <x:v>0.67751</x:v>
      </x:c>
      <x:c r="R58" s="22" t="n">
        <x:v>0</x:v>
      </x:c>
      <x:c r="S58" s="22" t="n">
        <x:v>0.5115</x:v>
      </x:c>
      <x:c r="T58" s="22" t="n">
        <x:v>0.8289</x:v>
      </x:c>
      <x:c r="U58" s="22" t="n">
        <x:v>0.2205</x:v>
      </x:c>
      <x:c r="V58" s="22" t="n">
        <x:v>1.6206</x:v>
      </x:c>
      <x:c r="W58" s="22" t="n">
        <x:v>0.4311</x:v>
      </x:c>
      <x:c r="X58" s="22" t="n">
        <x:v>0.02888</x:v>
      </x:c>
      <x:c r="Y58" s="22" t="n">
        <x:v>0.0468</x:v>
      </x:c>
      <x:c r="Z58" s="22" t="n">
        <x:v>0.01245</x:v>
      </x:c>
      <x:c r="AA58" s="22" t="n">
        <x:v>0.05646</x:v>
      </x:c>
      <x:c r="AB58" s="22" t="n">
        <x:f>ABS(F58-C58)</x:f>
        <x:v>0.0008000000000265572</x:v>
      </x:c>
    </x:row>
    <x:row r="59">
      <x:c r="A59" s="22" t="str">
        <x:v>GAIN_SWEEP</x:v>
      </x:c>
      <x:c r="B59" s="22" t="n">
        <x:v>4</x:v>
      </x:c>
      <x:c r="C59" s="22" t="n">
        <x:v>325</x:v>
      </x:c>
      <x:c r="D59" s="22" t="n">
        <x:v>13</x:v>
      </x:c>
      <x:c r="E59" s="22" t="n">
        <x:v>1</x:v>
      </x:c>
      <x:c r="F59" s="22" t="n">
        <x:v>324.98976</x:v>
      </x:c>
      <x:c r="G59" s="22" t="n">
        <x:v>0</x:v>
      </x:c>
      <x:c r="H59" s="22" t="n">
        <x:v>324.9819</x:v>
      </x:c>
      <x:c r="I59" s="22" t="n">
        <x:v>324.99194</x:v>
      </x:c>
      <x:c r="J59" s="22" t="n">
        <x:v>325.00149</x:v>
      </x:c>
      <x:c r="K59" s="22" t="n">
        <x:v>0.37704</x:v>
      </x:c>
      <x:c r="L59" s="22" t="n">
        <x:v>0</x:v>
      </x:c>
      <x:c r="M59" s="22" t="n">
        <x:v>0.6031</x:v>
      </x:c>
      <x:c r="N59" s="22" t="n">
        <x:v>0</x:v>
      </x:c>
      <x:c r="O59" s="22" t="n">
        <x:v>0.15681</x:v>
      </x:c>
      <x:c r="P59" s="22" t="n">
        <x:v>0</x:v>
      </x:c>
      <x:c r="Q59" s="22" t="n">
        <x:v>0.72866</x:v>
      </x:c>
      <x:c r="R59" s="22" t="n">
        <x:v>0</x:v>
      </x:c>
      <x:c r="S59" s="22" t="n">
        <x:v>0.5174</x:v>
      </x:c>
      <x:c r="T59" s="22" t="n">
        <x:v>0.8277</x:v>
      </x:c>
      <x:c r="U59" s="22" t="n">
        <x:v>0.2152</x:v>
      </x:c>
      <x:c r="V59" s="22" t="n">
        <x:v>1.5996</x:v>
      </x:c>
      <x:c r="W59" s="22" t="n">
        <x:v>0.4159</x:v>
      </x:c>
      <x:c r="X59" s="22" t="n">
        <x:v>0.029</x:v>
      </x:c>
      <x:c r="Y59" s="22" t="n">
        <x:v>0.04639</x:v>
      </x:c>
      <x:c r="Z59" s="22" t="n">
        <x:v>0.01206</x:v>
      </x:c>
      <x:c r="AA59" s="22" t="n">
        <x:v>0.05605</x:v>
      </x:c>
      <x:c r="AB59" s="22" t="n">
        <x:f>ABS(F59-C59)</x:f>
        <x:v>0.010240000000010241</x:v>
      </x:c>
    </x:row>
    <x:row r="60">
      <x:c r="A60" s="22" t="str">
        <x:v>GAIN_SWEEP</x:v>
      </x:c>
      <x:c r="B60" s="22" t="n">
        <x:v>5</x:v>
      </x:c>
      <x:c r="C60" s="22" t="n">
        <x:v>325</x:v>
      </x:c>
      <x:c r="D60" s="22" t="n">
        <x:v>14</x:v>
      </x:c>
      <x:c r="E60" s="22" t="n">
        <x:v>1</x:v>
      </x:c>
      <x:c r="F60" s="22" t="n">
        <x:v>325.00549</x:v>
      </x:c>
      <x:c r="G60" s="22" t="n">
        <x:v>0</x:v>
      </x:c>
      <x:c r="H60" s="22" t="n">
        <x:v>325.00291</x:v>
      </x:c>
      <x:c r="I60" s="22" t="n">
        <x:v>325.00554</x:v>
      </x:c>
      <x:c r="J60" s="22" t="n">
        <x:v>325.01913</x:v>
      </x:c>
      <x:c r="K60" s="22" t="n">
        <x:v>0.42152</x:v>
      </x:c>
      <x:c r="L60" s="22" t="n">
        <x:v>0</x:v>
      </x:c>
      <x:c r="M60" s="22" t="n">
        <x:v>0.65547</x:v>
      </x:c>
      <x:c r="N60" s="22" t="n">
        <x:v>0</x:v>
      </x:c>
      <x:c r="O60" s="22" t="n">
        <x:v>0.1914</x:v>
      </x:c>
      <x:c r="P60" s="22" t="n">
        <x:v>0</x:v>
      </x:c>
      <x:c r="Q60" s="22" t="n">
        <x:v>0.80305</x:v>
      </x:c>
      <x:c r="R60" s="22" t="n">
        <x:v>0</x:v>
      </x:c>
      <x:c r="S60" s="22" t="n">
        <x:v>0.5249</x:v>
      </x:c>
      <x:c r="T60" s="22" t="n">
        <x:v>0.8162</x:v>
      </x:c>
      <x:c r="U60" s="22" t="n">
        <x:v>0.2383</x:v>
      </x:c>
      <x:c r="V60" s="22" t="n">
        <x:v>1.555</x:v>
      </x:c>
      <x:c r="W60" s="22" t="n">
        <x:v>0.4541</x:v>
      </x:c>
      <x:c r="X60" s="22" t="n">
        <x:v>0.03011</x:v>
      </x:c>
      <x:c r="Y60" s="22" t="n">
        <x:v>0.04682</x:v>
      </x:c>
      <x:c r="Z60" s="22" t="n">
        <x:v>0.01367</x:v>
      </x:c>
      <x:c r="AA60" s="22" t="n">
        <x:v>0.05736</x:v>
      </x:c>
      <x:c r="AB60" s="22" t="n">
        <x:f>ABS(F60-C60)</x:f>
        <x:v>0.005490000000008877</x:v>
      </x:c>
    </x:row>
    <x:row r="61">
      <x:c r="A61" s="22" t="str">
        <x:v>GAIN_SWEEP</x:v>
      </x:c>
      <x:c r="B61" s="22" t="n">
        <x:v>6</x:v>
      </x:c>
      <x:c r="C61" s="22" t="n">
        <x:v>325</x:v>
      </x:c>
      <x:c r="D61" s="22" t="n">
        <x:v>15</x:v>
      </x:c>
      <x:c r="E61" s="22" t="n">
        <x:v>1</x:v>
      </x:c>
      <x:c r="F61" s="22" t="n">
        <x:v>324.99462</x:v>
      </x:c>
      <x:c r="G61" s="22" t="n">
        <x:v>0</x:v>
      </x:c>
      <x:c r="H61" s="22" t="n">
        <x:v>324.99038</x:v>
      </x:c>
      <x:c r="I61" s="22" t="n">
        <x:v>324.99459</x:v>
      </x:c>
      <x:c r="J61" s="22" t="n">
        <x:v>325.01338</x:v>
      </x:c>
      <x:c r="K61" s="22" t="n">
        <x:v>0.4409</x:v>
      </x:c>
      <x:c r="L61" s="22" t="n">
        <x:v>0</x:v>
      </x:c>
      <x:c r="M61" s="22" t="n">
        <x:v>0.7119</x:v>
      </x:c>
      <x:c r="N61" s="22" t="n">
        <x:v>0</x:v>
      </x:c>
      <x:c r="O61" s="22" t="n">
        <x:v>0.21045</x:v>
      </x:c>
      <x:c r="P61" s="22" t="n">
        <x:v>0</x:v>
      </x:c>
      <x:c r="Q61" s="22" t="n">
        <x:v>0.86391</x:v>
      </x:c>
      <x:c r="R61" s="22" t="n">
        <x:v>0</x:v>
      </x:c>
      <x:c r="S61" s="22" t="n">
        <x:v>0.5104</x:v>
      </x:c>
      <x:c r="T61" s="22" t="n">
        <x:v>0.8241</x:v>
      </x:c>
      <x:c r="U61" s="22" t="n">
        <x:v>0.2436</x:v>
      </x:c>
      <x:c r="V61" s="22" t="n">
        <x:v>1.6147</x:v>
      </x:c>
      <x:c r="W61" s="22" t="n">
        <x:v>0.4773</x:v>
      </x:c>
      <x:c r="X61" s="22" t="n">
        <x:v>0.02939</x:v>
      </x:c>
      <x:c r="Y61" s="22" t="n">
        <x:v>0.04746</x:v>
      </x:c>
      <x:c r="Z61" s="22" t="n">
        <x:v>0.01403</x:v>
      </x:c>
      <x:c r="AA61" s="22" t="n">
        <x:v>0.05759</x:v>
      </x:c>
      <x:c r="AB61" s="22" t="n">
        <x:f>ABS(F61-C61)</x:f>
        <x:v>0.005380000000002383</x:v>
      </x:c>
    </x:row>
    <x:row r="62">
      <x:c r="A62" s="22" t="str">
        <x:v>GAIN_SWEEP</x:v>
      </x:c>
      <x:c r="B62" s="22" t="n">
        <x:v>1</x:v>
      </x:c>
      <x:c r="C62" s="22" t="n">
        <x:v>350</x:v>
      </x:c>
      <x:c r="D62" s="22" t="n">
        <x:v>10</x:v>
      </x:c>
      <x:c r="E62" s="22" t="n">
        <x:v>1</x:v>
      </x:c>
      <x:c r="F62" s="22" t="n">
        <x:v>349.96977</x:v>
      </x:c>
      <x:c r="G62" s="22" t="n">
        <x:v>0</x:v>
      </x:c>
      <x:c r="H62" s="22" t="n">
        <x:v>349.93633</x:v>
      </x:c>
      <x:c r="I62" s="22" t="n">
        <x:v>349.97195</x:v>
      </x:c>
      <x:c r="J62" s="22" t="n">
        <x:v>349.9705</x:v>
      </x:c>
      <x:c r="K62" s="22" t="n">
        <x:v>0.1478</x:v>
      </x:c>
      <x:c r="L62" s="22" t="n">
        <x:v>0</x:v>
      </x:c>
      <x:c r="M62" s="22" t="n">
        <x:v>0.3752</x:v>
      </x:c>
      <x:c r="N62" s="22" t="n">
        <x:v>0</x:v>
      </x:c>
      <x:c r="O62" s="22" t="n">
        <x:v>0.63898</x:v>
      </x:c>
      <x:c r="P62" s="22" t="n">
        <x:v>0</x:v>
      </x:c>
      <x:c r="Q62" s="22" t="n">
        <x:v>0.75772</x:v>
      </x:c>
      <x:c r="R62" s="22" t="n">
        <x:v>0</x:v>
      </x:c>
      <x:c r="S62" s="22" t="n">
        <x:v>0.1951</x:v>
      </x:c>
      <x:c r="T62" s="22" t="n">
        <x:v>0.4952</x:v>
      </x:c>
      <x:c r="U62" s="22" t="n">
        <x:v>0.8433</x:v>
      </x:c>
      <x:c r="V62" s="22" t="n">
        <x:v>2.5385</x:v>
      </x:c>
      <x:c r="W62" s="22" t="n">
        <x:v>4.3233</x:v>
      </x:c>
      <x:c r="X62" s="22" t="n">
        <x:v>0.01478</x:v>
      </x:c>
      <x:c r="Y62" s="22" t="n">
        <x:v>0.03752</x:v>
      </x:c>
      <x:c r="Z62" s="22" t="n">
        <x:v>0.0639</x:v>
      </x:c>
      <x:c r="AA62" s="22" t="n">
        <x:v>0.07577</x:v>
      </x:c>
      <x:c r="AB62" s="22" t="n">
        <x:f>ABS(F62-C62)</x:f>
        <x:v>0.0302300000000173</x:v>
      </x:c>
    </x:row>
    <x:row r="63">
      <x:c r="A63" s="22" t="str">
        <x:v>GAIN_SWEEP</x:v>
      </x:c>
      <x:c r="B63" s="22" t="n">
        <x:v>2</x:v>
      </x:c>
      <x:c r="C63" s="22" t="n">
        <x:v>350</x:v>
      </x:c>
      <x:c r="D63" s="22" t="n">
        <x:v>11</x:v>
      </x:c>
      <x:c r="E63" s="22" t="n">
        <x:v>1</x:v>
      </x:c>
      <x:c r="F63" s="22" t="n">
        <x:v>349.99395</x:v>
      </x:c>
      <x:c r="G63" s="22" t="n">
        <x:v>0</x:v>
      </x:c>
      <x:c r="H63" s="22" t="n">
        <x:v>349.99244</x:v>
      </x:c>
      <x:c r="I63" s="22" t="n">
        <x:v>350.02058</x:v>
      </x:c>
      <x:c r="J63" s="22" t="n">
        <x:v>349.98283</x:v>
      </x:c>
      <x:c r="K63" s="22" t="n">
        <x:v>0.15733</x:v>
      </x:c>
      <x:c r="L63" s="22" t="n">
        <x:v>0</x:v>
      </x:c>
      <x:c r="M63" s="22" t="n">
        <x:v>0.45961</x:v>
      </x:c>
      <x:c r="N63" s="22" t="n">
        <x:v>0</x:v>
      </x:c>
      <x:c r="O63" s="22" t="n">
        <x:v>0.67689</x:v>
      </x:c>
      <x:c r="P63" s="22" t="n">
        <x:v>0</x:v>
      </x:c>
      <x:c r="Q63" s="22" t="n">
        <x:v>0.83414</x:v>
      </x:c>
      <x:c r="R63" s="22" t="n">
        <x:v>0</x:v>
      </x:c>
      <x:c r="S63" s="22" t="n">
        <x:v>0.1886</x:v>
      </x:c>
      <x:c r="T63" s="22" t="n">
        <x:v>0.551</x:v>
      </x:c>
      <x:c r="U63" s="22" t="n">
        <x:v>0.8115</x:v>
      </x:c>
      <x:c r="V63" s="22" t="n">
        <x:v>2.9213</x:v>
      </x:c>
      <x:c r="W63" s="22" t="n">
        <x:v>4.3023</x:v>
      </x:c>
      <x:c r="X63" s="22" t="n">
        <x:v>0.0143</x:v>
      </x:c>
      <x:c r="Y63" s="22" t="n">
        <x:v>0.04178</x:v>
      </x:c>
      <x:c r="Z63" s="22" t="n">
        <x:v>0.06154</x:v>
      </x:c>
      <x:c r="AA63" s="22" t="n">
        <x:v>0.07583</x:v>
      </x:c>
      <x:c r="AB63" s="22" t="n">
        <x:f>ABS(F63-C63)</x:f>
        <x:v>0.006050000000016098</x:v>
      </x:c>
    </x:row>
    <x:row r="64">
      <x:c r="A64" s="22" t="str">
        <x:v>GAIN_SWEEP</x:v>
      </x:c>
      <x:c r="B64" s="22" t="n">
        <x:v>3</x:v>
      </x:c>
      <x:c r="C64" s="22" t="n">
        <x:v>350</x:v>
      </x:c>
      <x:c r="D64" s="22" t="n">
        <x:v>12</x:v>
      </x:c>
      <x:c r="E64" s="22" t="n">
        <x:v>1</x:v>
      </x:c>
      <x:c r="F64" s="22" t="n">
        <x:v>350.00663</x:v>
      </x:c>
      <x:c r="G64" s="22" t="n">
        <x:v>0</x:v>
      </x:c>
      <x:c r="H64" s="22" t="n">
        <x:v>350.01896</x:v>
      </x:c>
      <x:c r="I64" s="22" t="n">
        <x:v>350.01153</x:v>
      </x:c>
      <x:c r="J64" s="22" t="n">
        <x:v>350.00297</x:v>
      </x:c>
      <x:c r="K64" s="22" t="n">
        <x:v>0.19555</x:v>
      </x:c>
      <x:c r="L64" s="22" t="n">
        <x:v>0</x:v>
      </x:c>
      <x:c r="M64" s="22" t="n">
        <x:v>0.52219</x:v>
      </x:c>
      <x:c r="N64" s="22" t="n">
        <x:v>0</x:v>
      </x:c>
      <x:c r="O64" s="22" t="n">
        <x:v>0.70081</x:v>
      </x:c>
      <x:c r="P64" s="22" t="n">
        <x:v>0</x:v>
      </x:c>
      <x:c r="Q64" s="22" t="n">
        <x:v>0.89607</x:v>
      </x:c>
      <x:c r="R64" s="22" t="n">
        <x:v>0</x:v>
      </x:c>
      <x:c r="S64" s="22" t="n">
        <x:v>0.2182</x:v>
      </x:c>
      <x:c r="T64" s="22" t="n">
        <x:v>0.5828</x:v>
      </x:c>
      <x:c r="U64" s="22" t="n">
        <x:v>0.7821</x:v>
      </x:c>
      <x:c r="V64" s="22" t="n">
        <x:v>2.6703</x:v>
      </x:c>
      <x:c r="W64" s="22" t="n">
        <x:v>3.5837</x:v>
      </x:c>
      <x:c r="X64" s="22" t="n">
        <x:v>0.0163</x:v>
      </x:c>
      <x:c r="Y64" s="22" t="n">
        <x:v>0.04352</x:v>
      </x:c>
      <x:c r="Z64" s="22" t="n">
        <x:v>0.0584</x:v>
      </x:c>
      <x:c r="AA64" s="22" t="n">
        <x:v>0.07467</x:v>
      </x:c>
      <x:c r="AB64" s="22" t="n">
        <x:f>ABS(F64-C64)</x:f>
        <x:v>0.006629999999972824</x:v>
      </x:c>
    </x:row>
    <x:row r="65">
      <x:c r="A65" s="22" t="str">
        <x:v>GAIN_SWEEP</x:v>
      </x:c>
      <x:c r="B65" s="22" t="n">
        <x:v>4</x:v>
      </x:c>
      <x:c r="C65" s="22" t="n">
        <x:v>350</x:v>
      </x:c>
      <x:c r="D65" s="22" t="n">
        <x:v>13</x:v>
      </x:c>
      <x:c r="E65" s="22" t="n">
        <x:v>1</x:v>
      </x:c>
      <x:c r="F65" s="22" t="n">
        <x:v>349.99296</x:v>
      </x:c>
      <x:c r="G65" s="22" t="n">
        <x:v>0</x:v>
      </x:c>
      <x:c r="H65" s="22" t="n">
        <x:v>350.00748</x:v>
      </x:c>
      <x:c r="I65" s="22" t="n">
        <x:v>349.99145</x:v>
      </x:c>
      <x:c r="J65" s="22" t="n">
        <x:v>349.99284</x:v>
      </x:c>
      <x:c r="K65" s="22" t="n">
        <x:v>0.20276</x:v>
      </x:c>
      <x:c r="L65" s="22" t="n">
        <x:v>0</x:v>
      </x:c>
      <x:c r="M65" s="22" t="n">
        <x:v>0.5775</x:v>
      </x:c>
      <x:c r="N65" s="22" t="n">
        <x:v>0</x:v>
      </x:c>
      <x:c r="O65" s="22" t="n">
        <x:v>0.74143</x:v>
      </x:c>
      <x:c r="P65" s="22" t="n">
        <x:v>0</x:v>
      </x:c>
      <x:c r="Q65" s="22" t="n">
        <x:v>0.96182</x:v>
      </x:c>
      <x:c r="R65" s="22" t="n">
        <x:v>0</x:v>
      </x:c>
      <x:c r="S65" s="22" t="n">
        <x:v>0.2108</x:v>
      </x:c>
      <x:c r="T65" s="22" t="n">
        <x:v>0.6004</x:v>
      </x:c>
      <x:c r="U65" s="22" t="n">
        <x:v>0.7709</x:v>
      </x:c>
      <x:c r="V65" s="22" t="n">
        <x:v>2.8482</x:v>
      </x:c>
      <x:c r="W65" s="22" t="n">
        <x:v>3.6567</x:v>
      </x:c>
      <x:c r="X65" s="22" t="n">
        <x:v>0.0156</x:v>
      </x:c>
      <x:c r="Y65" s="22" t="n">
        <x:v>0.04442</x:v>
      </x:c>
      <x:c r="Z65" s="22" t="n">
        <x:v>0.05703</x:v>
      </x:c>
      <x:c r="AA65" s="22" t="n">
        <x:v>0.07399</x:v>
      </x:c>
      <x:c r="AB65" s="22" t="n">
        <x:f>ABS(F65-C65)</x:f>
        <x:v>0.007040000000017699</x:v>
      </x:c>
    </x:row>
    <x:row r="66">
      <x:c r="A66" s="22" t="str">
        <x:v>GAIN_SWEEP</x:v>
      </x:c>
      <x:c r="B66" s="22" t="n">
        <x:v>5</x:v>
      </x:c>
      <x:c r="C66" s="22" t="n">
        <x:v>350</x:v>
      </x:c>
      <x:c r="D66" s="22" t="n">
        <x:v>14</x:v>
      </x:c>
      <x:c r="E66" s="22" t="n">
        <x:v>1</x:v>
      </x:c>
      <x:c r="F66" s="22" t="n">
        <x:v>349.99642</x:v>
      </x:c>
      <x:c r="G66" s="22" t="n">
        <x:v>0</x:v>
      </x:c>
      <x:c r="H66" s="22" t="n">
        <x:v>349.99807</x:v>
      </x:c>
      <x:c r="I66" s="22" t="n">
        <x:v>349.98877</x:v>
      </x:c>
      <x:c r="J66" s="22" t="n">
        <x:v>350.00126</x:v>
      </x:c>
      <x:c r="K66" s="22" t="n">
        <x:v>0.23705</x:v>
      </x:c>
      <x:c r="L66" s="22" t="n">
        <x:v>0</x:v>
      </x:c>
      <x:c r="M66" s="22" t="n">
        <x:v>0.64742</x:v>
      </x:c>
      <x:c r="N66" s="22" t="n">
        <x:v>0</x:v>
      </x:c>
      <x:c r="O66" s="22" t="n">
        <x:v>0.78994</x:v>
      </x:c>
      <x:c r="P66" s="22" t="n">
        <x:v>0</x:v>
      </x:c>
      <x:c r="Q66" s="22" t="n">
        <x:v>1.04924</x:v>
      </x:c>
      <x:c r="R66" s="22" t="n">
        <x:v>0</x:v>
      </x:c>
      <x:c r="S66" s="22" t="n">
        <x:v>0.2259</x:v>
      </x:c>
      <x:c r="T66" s="22" t="n">
        <x:v>0.617</x:v>
      </x:c>
      <x:c r="U66" s="22" t="n">
        <x:v>0.7529</x:v>
      </x:c>
      <x:c r="V66" s="22" t="n">
        <x:v>2.7311</x:v>
      </x:c>
      <x:c r="W66" s="22" t="n">
        <x:v>3.3323</x:v>
      </x:c>
      <x:c r="X66" s="22" t="n">
        <x:v>0.01693</x:v>
      </x:c>
      <x:c r="Y66" s="22" t="n">
        <x:v>0.04624</x:v>
      </x:c>
      <x:c r="Z66" s="22" t="n">
        <x:v>0.05642</x:v>
      </x:c>
      <x:c r="AA66" s="22" t="n">
        <x:v>0.07495</x:v>
      </x:c>
      <x:c r="AB66" s="22" t="n">
        <x:f>ABS(F66-C66)</x:f>
        <x:v>0.0035799999999994725</x:v>
      </x:c>
    </x:row>
    <x:row r="67">
      <x:c r="A67" s="22" t="str">
        <x:v>GAIN_SWEEP</x:v>
      </x:c>
      <x:c r="B67" s="22" t="n">
        <x:v>6</x:v>
      </x:c>
      <x:c r="C67" s="22" t="n">
        <x:v>350</x:v>
      </x:c>
      <x:c r="D67" s="22" t="n">
        <x:v>15</x:v>
      </x:c>
      <x:c r="E67" s="22" t="n">
        <x:v>1</x:v>
      </x:c>
      <x:c r="F67" s="22" t="n">
        <x:v>350.00171</x:v>
      </x:c>
      <x:c r="G67" s="22" t="n">
        <x:v>0</x:v>
      </x:c>
      <x:c r="H67" s="22" t="n">
        <x:v>349.98918</x:v>
      </x:c>
      <x:c r="I67" s="22" t="n">
        <x:v>349.9998</x:v>
      </x:c>
      <x:c r="J67" s="22" t="n">
        <x:v>350.00417</x:v>
      </x:c>
      <x:c r="K67" s="22" t="n">
        <x:v>0.26629</x:v>
      </x:c>
      <x:c r="L67" s="22" t="n">
        <x:v>0</x:v>
      </x:c>
      <x:c r="M67" s="22" t="n">
        <x:v>0.71421</x:v>
      </x:c>
      <x:c r="N67" s="22" t="n">
        <x:v>0</x:v>
      </x:c>
      <x:c r="O67" s="22" t="n">
        <x:v>0.85805</x:v>
      </x:c>
      <x:c r="P67" s="22" t="n">
        <x:v>0</x:v>
      </x:c>
      <x:c r="Q67" s="22" t="n">
        <x:v>1.14839</x:v>
      </x:c>
      <x:c r="R67" s="22" t="n">
        <x:v>0</x:v>
      </x:c>
      <x:c r="S67" s="22" t="n">
        <x:v>0.2319</x:v>
      </x:c>
      <x:c r="T67" s="22" t="n">
        <x:v>0.6219</x:v>
      </x:c>
      <x:c r="U67" s="22" t="n">
        <x:v>0.7472</x:v>
      </x:c>
      <x:c r="V67" s="22" t="n">
        <x:v>2.6821</x:v>
      </x:c>
      <x:c r="W67" s="22" t="n">
        <x:v>3.2223</x:v>
      </x:c>
      <x:c r="X67" s="22" t="n">
        <x:v>0.01775</x:v>
      </x:c>
      <x:c r="Y67" s="22" t="n">
        <x:v>0.04761</x:v>
      </x:c>
      <x:c r="Z67" s="22" t="n">
        <x:v>0.0572</x:v>
      </x:c>
      <x:c r="AA67" s="22" t="n">
        <x:v>0.07656</x:v>
      </x:c>
      <x:c r="AB67" s="22" t="n">
        <x:f>ABS(F67-C67)</x:f>
        <x:v>0.0017100000000027649</x:v>
      </x:c>
    </x:row>
  </x:sheetData>
  <x:pageMargins left="0.7" right="0.7" top="0.75" bottom="0.75" header="0.3" footer="0.3"/>
  <x:tableParts count="1">
    <x:tablePart xmlns:r="http://schemas.openxmlformats.org/officeDocument/2006/relationships" r:id="Rf901a92b7e684490"/>
  </x:tableParts>
</x:worksheet>
</file>

<file path=xl/worksheets/sheet4.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2"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34" hidden="0" customWidth="1"/>
  </x:cols>
  <x:sheetData>
    <x:row r="1">
      <x:c r="A1" s="45" t="str">
        <x:v>Frequency_Hz</x:v>
      </x:c>
      <x:c r="B1" s="45" t="str">
        <x:v>Dominant @ DAC10</x:v>
      </x:c>
      <x:c r="C1" s="45" t="str">
        <x:v>Dominant @ DAC15</x:v>
      </x:c>
      <x:c r="D1" s="45" t="str">
        <x:v>Directional regime</x:v>
      </x:c>
      <x:c r="E1" s="45" t="str">
        <x:v>X @ DAC10</x:v>
      </x:c>
      <x:c r="F1" s="45" t="str">
        <x:v>Y @ DAC10</x:v>
      </x:c>
      <x:c r="G1" s="45" t="str">
        <x:v>Z @ DAC10</x:v>
      </x:c>
      <x:c r="H1" s="45" t="str">
        <x:v>Total @ DAC10</x:v>
      </x:c>
      <x:c r="I1" s="45" t="str">
        <x:v>X @ DAC15</x:v>
      </x:c>
      <x:c r="J1" s="45" t="str">
        <x:v>Y @ DAC15</x:v>
      </x:c>
      <x:c r="K1" s="45" t="str">
        <x:v>Z @ DAC15</x:v>
      </x:c>
      <x:c r="L1" s="45" t="str">
        <x:v>Total @ DAC15</x:v>
      </x:c>
      <x:c r="M1" s="45" t="str">
        <x:v>Total ratio 15/10</x:v>
      </x:c>
      <x:c r="N1" s="45" t="str">
        <x:v>Mean Total/DAC</x:v>
      </x:c>
      <x:c r="O1" s="45" t="str">
        <x:v>CV Total/DAC %</x:v>
      </x:c>
      <x:c r="P1" s="45" t="str">
        <x:v>Slope Total vs DAC</x:v>
      </x:c>
      <x:c r="Q1" s="45" t="str">
        <x:v>Intercept</x:v>
      </x:c>
      <x:c r="R1" s="45" t="str">
        <x:v>R² Total vs DAC</x:v>
      </x:c>
      <x:c r="S1" s="45" t="str">
        <x:v>Max |Freq error| Hz</x:v>
      </x:c>
      <x:c r="T1" s="45" t="str">
        <x:v>Avg within-record Total CV %</x:v>
      </x:c>
      <x:c r="U1" s="45" t="str">
        <x:v>Dominant phase @ DAC15 deg</x:v>
      </x:c>
      <x:c r="V1" s="45" t="str">
        <x:v>Dominant sync @ DAC15</x:v>
      </x:c>
      <x:c r="W1" s="45" t="str">
        <x:v>Interpretation class</x:v>
      </x:c>
    </x:row>
    <x:row r="2">
      <x:c r="A2" s="63" t="n">
        <x:v>100</x:v>
      </x:c>
      <x:c r="B2" s="64" t="str">
        <x:f>IF(MAX(E2:G2)=E2,"X",IF(MAX(E2:G2)=F2,"Y","Z"))</x:f>
        <x:v>Z</x:v>
      </x:c>
      <x:c r="C2" s="64" t="str">
        <x:f>IF(MAX(I2:K2)=I2,"X",IF(MAX(I2:K2)=J2,"Y","Z"))</x:f>
        <x:v>X</x:v>
      </x:c>
      <x:c r="D2" s="64" t="str">
        <x:f>IF(B2=C2,"Stable "&amp;C2&amp;"-dominant",B2&amp;"→"&amp;C2&amp;" transition")</x:f>
        <x:v>Z→X transition</x:v>
      </x:c>
      <x:c r="E2" s="65" t="n">
        <x:f>'Point Summary'!K2</x:f>
        <x:v>0.20592</x:v>
      </x:c>
      <x:c r="F2" s="65" t="n">
        <x:f>'Point Summary'!M2</x:f>
        <x:v>0.11588</x:v>
      </x:c>
      <x:c r="G2" s="65" t="n">
        <x:f>'Point Summary'!O2</x:f>
        <x:v>0.36369</x:v>
      </x:c>
      <x:c r="H2" s="65" t="n">
        <x:f>'Point Summary'!Q2</x:f>
        <x:v>0.434</x:v>
      </x:c>
      <x:c r="I2" s="65" t="n">
        <x:f>'Point Summary'!K7</x:f>
        <x:v>2.31402</x:v>
      </x:c>
      <x:c r="J2" s="65" t="n">
        <x:f>'Point Summary'!M7</x:f>
        <x:v>2.05378</x:v>
      </x:c>
      <x:c r="K2" s="65" t="n">
        <x:f>'Point Summary'!O7</x:f>
        <x:v>1.57215</x:v>
      </x:c>
      <x:c r="L2" s="65" t="n">
        <x:f>'Point Summary'!Q7</x:f>
        <x:v>3.47061</x:v>
      </x:c>
      <x:c r="M2" s="65" t="n">
        <x:f>L2/H2</x:f>
        <x:v>7.996797235023042</x:v>
      </x:c>
      <x:c r="N2" s="65" t="n">
        <x:f>AVERAGE('Point Summary'!AA2:AA7)</x:f>
        <x:v>0.14622</x:v>
      </x:c>
      <x:c r="O2" s="66" t="n">
        <x:f>STDEV.S('Point Summary'!AA2:AA7)/AVERAGE('Point Summary'!AA2:AA7)*100</x:f>
        <x:v>54.7973743534022</x:v>
      </x:c>
      <x:c r="P2" s="65" t="n">
        <x:f>SLOPE('Point Summary'!Q2:Q7,'Point Summary'!D2:D7)</x:f>
        <x:v>0.6581134285714286</x:v>
      </x:c>
      <x:c r="Q2" s="65" t="n">
        <x:f>INTERCEPT('Point Summary'!Q2:Q7,'Point Summary'!D2:D7)</x:f>
        <x:v>-6.277582857142858</x:v>
      </x:c>
      <x:c r="R2" s="67" t="n">
        <x:f>RSQ('Point Summary'!Q2:Q7,'Point Summary'!D2:D7)</x:f>
        <x:v>0.9700502902541963</x:v>
      </x:c>
      <x:c r="S2" s="68" t="n">
        <x:f>MAX('Point Summary'!AB2:AB7)</x:f>
        <x:v>0.020640000000000214</x:v>
      </x:c>
      <x:c r="T2" s="68" t="n">
        <x:f>AVERAGE('Raw DATA'!AP2:AP7)</x:f>
        <x:v>6.32</x:v>
      </x:c>
      <x:c r="U2" s="68" t="n">
        <x:f>IF(C2="X",'Raw DATA'!AD7,IF(C2="Y",'Raw DATA'!AH7,'Raw DATA'!AL7))</x:f>
        <x:v>-70.1</x:v>
      </x:c>
      <x:c r="V2" s="68" t="n">
        <x:f>IF(C2="X",'Raw DATA'!AE7,IF(C2="Y",'Raw DATA'!AI7,'Raw DATA'!AM7))</x:f>
        <x:v>0.606</x:v>
      </x:c>
      <x:c r="W2" s="64" t="str">
        <x:f>IF(O2&gt;20,"Strongly amplitude-dependent / nonlinear",IF(O2&gt;7,"Moderate amplitude dependence",IF(O2&lt;=3,"Approximately proportional","Good proportionality")))</x:f>
        <x:v>Strongly amplitude-dependent / nonlinear</x:v>
      </x:c>
    </x:row>
    <x:row r="3">
      <x:c r="A3" s="63" t="n">
        <x:v>125</x:v>
      </x:c>
      <x:c r="B3" s="64" t="str">
        <x:f>IF(MAX(E3:G3)=E3,"X",IF(MAX(E3:G3)=F3,"Y","Z"))</x:f>
        <x:v>Y</x:v>
      </x:c>
      <x:c r="C3" s="64" t="str">
        <x:f>IF(MAX(I3:K3)=I3,"X",IF(MAX(I3:K3)=J3,"Y","Z"))</x:f>
        <x:v>Y</x:v>
      </x:c>
      <x:c r="D3" s="64" t="str">
        <x:f>IF(B3=C3,"Stable "&amp;C3&amp;"-dominant",B3&amp;"→"&amp;C3&amp;" transition")</x:f>
        <x:v>Stable Y-dominant</x:v>
      </x:c>
      <x:c r="E3" s="65" t="n">
        <x:f>'Point Summary'!K8</x:f>
        <x:v>0.09842</x:v>
      </x:c>
      <x:c r="F3" s="65" t="n">
        <x:f>'Point Summary'!M8</x:f>
        <x:v>0.43396</x:v>
      </x:c>
      <x:c r="G3" s="65" t="n">
        <x:f>'Point Summary'!O8</x:f>
        <x:v>0.20861</x:v>
      </x:c>
      <x:c r="H3" s="65" t="n">
        <x:f>'Point Summary'!Q8</x:f>
        <x:v>0.49177</x:v>
      </x:c>
      <x:c r="I3" s="65" t="n">
        <x:f>'Point Summary'!K13</x:f>
        <x:v>0.79395</x:v>
      </x:c>
      <x:c r="J3" s="65" t="n">
        <x:f>'Point Summary'!M13</x:f>
        <x:v>2.26703</x:v>
      </x:c>
      <x:c r="K3" s="65" t="n">
        <x:f>'Point Summary'!O13</x:f>
        <x:v>0.70313</x:v>
      </x:c>
      <x:c r="L3" s="65" t="n">
        <x:f>'Point Summary'!Q13</x:f>
        <x:v>2.50293</x:v>
      </x:c>
      <x:c r="M3" s="65" t="n">
        <x:f>L3/H3</x:f>
        <x:v>5.089635398661977</x:v>
      </x:c>
      <x:c r="N3" s="65" t="n">
        <x:f>AVERAGE('Point Summary'!AA8:AA13)</x:f>
        <x:v>0.11475333333333333</x:v>
      </x:c>
      <x:c r="O3" s="66" t="n">
        <x:f>STDEV.S('Point Summary'!AA8:AA13)/AVERAGE('Point Summary'!AA8:AA13)*100</x:f>
        <x:v>37.504538397589876</x:v>
      </x:c>
      <x:c r="P3" s="65" t="n">
        <x:f>SLOPE('Point Summary'!Q8:Q13,'Point Summary'!D8:D13)</x:f>
        <x:v>0.3954342857142857</x:v>
      </x:c>
      <x:c r="Q3" s="65" t="n">
        <x:f>INTERCEPT('Point Summary'!Q8:Q13,'Point Summary'!D8:D13)</x:f>
        <x:v>-3.442098571428571</x:v>
      </x:c>
      <x:c r="R3" s="67" t="n">
        <x:f>RSQ('Point Summary'!Q8:Q13,'Point Summary'!D8:D13)</x:f>
        <x:v>0.9977404876740913</x:v>
      </x:c>
      <x:c r="S3" s="68" t="n">
        <x:f>MAX('Point Summary'!AB8:AB13)</x:f>
        <x:v>0.017420000000001323</x:v>
      </x:c>
      <x:c r="T3" s="68" t="n">
        <x:f>AVERAGE('Raw DATA'!AP8:AP13)</x:f>
        <x:v>3.5799999999999996</x:v>
      </x:c>
      <x:c r="U3" s="68" t="n">
        <x:f>IF(C3="X",'Raw DATA'!AD13,IF(C3="Y",'Raw DATA'!AH13,'Raw DATA'!AL13))</x:f>
        <x:v>-139.3</x:v>
      </x:c>
      <x:c r="V3" s="68" t="n">
        <x:f>IF(C3="X",'Raw DATA'!AE13,IF(C3="Y",'Raw DATA'!AI13,'Raw DATA'!AM13))</x:f>
        <x:v>0.771</x:v>
      </x:c>
      <x:c r="W3" s="64" t="str">
        <x:f>IF(O3&gt;20,"Strongly amplitude-dependent / nonlinear",IF(O3&gt;7,"Moderate amplitude dependence",IF(O3&lt;=3,"Approximately proportional","Good proportionality")))</x:f>
        <x:v>Strongly amplitude-dependent / nonlinear</x:v>
      </x:c>
    </x:row>
    <x:row r="4">
      <x:c r="A4" s="63" t="n">
        <x:v>150</x:v>
      </x:c>
      <x:c r="B4" s="64" t="str">
        <x:f>IF(MAX(E4:G4)=E4,"X",IF(MAX(E4:G4)=F4,"Y","Z"))</x:f>
        <x:v>Z</x:v>
      </x:c>
      <x:c r="C4" s="64" t="str">
        <x:f>IF(MAX(I4:K4)=I4,"X",IF(MAX(I4:K4)=J4,"Y","Z"))</x:f>
        <x:v>Y</x:v>
      </x:c>
      <x:c r="D4" s="64" t="str">
        <x:f>IF(B4=C4,"Stable "&amp;C4&amp;"-dominant",B4&amp;"→"&amp;C4&amp;" transition")</x:f>
        <x:v>Z→Y transition</x:v>
      </x:c>
      <x:c r="E4" s="65" t="n">
        <x:f>'Point Summary'!K14</x:f>
        <x:v>0.02435</x:v>
      </x:c>
      <x:c r="F4" s="65" t="n">
        <x:f>'Point Summary'!M14</x:f>
        <x:v>0.10561</x:v>
      </x:c>
      <x:c r="G4" s="65" t="n">
        <x:f>'Point Summary'!O14</x:f>
        <x:v>0.14192</x:v>
      </x:c>
      <x:c r="H4" s="65" t="n">
        <x:f>'Point Summary'!Q14</x:f>
        <x:v>0.17939</x:v>
      </x:c>
      <x:c r="I4" s="65" t="n">
        <x:f>'Point Summary'!K19</x:f>
        <x:v>0.30715</x:v>
      </x:c>
      <x:c r="J4" s="65" t="n">
        <x:f>'Point Summary'!M19</x:f>
        <x:v>0.92824</x:v>
      </x:c>
      <x:c r="K4" s="65" t="n">
        <x:f>'Point Summary'!O19</x:f>
        <x:v>0.80842</x:v>
      </x:c>
      <x:c r="L4" s="65" t="n">
        <x:f>'Point Summary'!Q19</x:f>
        <x:v>1.26878</x:v>
      </x:c>
      <x:c r="M4" s="65" t="n">
        <x:f>L4/H4</x:f>
        <x:v>7.072746529906907</x:v>
      </x:c>
      <x:c r="N4" s="65" t="n">
        <x:f>AVERAGE('Point Summary'!AA14:AA19)</x:f>
        <x:v>0.04700833333333334</x:v>
      </x:c>
      <x:c r="O4" s="66" t="n">
        <x:f>STDEV.S('Point Summary'!AA14:AA19)/AVERAGE('Point Summary'!AA14:AA19)*100</x:f>
        <x:v>67.05580336980724</x:v>
      </x:c>
      <x:c r="P4" s="65" t="n">
        <x:f>SLOPE('Point Summary'!Q14:Q19,'Point Summary'!D14:D19)</x:f>
        <x:v>0.2469294285714286</x:v>
      </x:c>
      <x:c r="Q4" s="65" t="n">
        <x:f>INTERCEPT('Point Summary'!Q14:Q19,'Point Summary'!D14:D19)</x:f>
        <x:v>-2.453099523809524</x:v>
      </x:c>
      <x:c r="R4" s="67" t="n">
        <x:f>RSQ('Point Summary'!Q14:Q19,'Point Summary'!D14:D19)</x:f>
        <x:v>0.9023600018006195</x:v>
      </x:c>
      <x:c r="S4" s="68" t="n">
        <x:f>MAX('Point Summary'!AB14:AB19)</x:f>
        <x:v>0.009489999999999554</x:v>
      </x:c>
      <x:c r="T4" s="68" t="n">
        <x:f>AVERAGE('Raw DATA'!AP14:AP19)</x:f>
        <x:v>4.111666666666666</x:v>
      </x:c>
      <x:c r="U4" s="68" t="n">
        <x:f>IF(C4="X",'Raw DATA'!AD19,IF(C4="Y",'Raw DATA'!AH19,'Raw DATA'!AL19))</x:f>
        <x:v>-154.24</x:v>
      </x:c>
      <x:c r="V4" s="68" t="n">
        <x:f>IF(C4="X",'Raw DATA'!AE19,IF(C4="Y",'Raw DATA'!AI19,'Raw DATA'!AM19))</x:f>
        <x:v>0.652</x:v>
      </x:c>
      <x:c r="W4" s="64" t="str">
        <x:f>IF(O4&gt;20,"Strongly amplitude-dependent / nonlinear",IF(O4&gt;7,"Moderate amplitude dependence",IF(O4&lt;=3,"Approximately proportional","Good proportionality")))</x:f>
        <x:v>Strongly amplitude-dependent / nonlinear</x:v>
      </x:c>
    </x:row>
    <x:row r="5">
      <x:c r="A5" s="63" t="n">
        <x:v>175</x:v>
      </x:c>
      <x:c r="B5" s="64" t="str">
        <x:f>IF(MAX(E5:G5)=E5,"X",IF(MAX(E5:G5)=F5,"Y","Z"))</x:f>
        <x:v>Z</x:v>
      </x:c>
      <x:c r="C5" s="64" t="str">
        <x:f>IF(MAX(I5:K5)=I5,"X",IF(MAX(I5:K5)=J5,"Y","Z"))</x:f>
        <x:v>Z</x:v>
      </x:c>
      <x:c r="D5" s="64" t="str">
        <x:f>IF(B5=C5,"Stable "&amp;C5&amp;"-dominant",B5&amp;"→"&amp;C5&amp;" transition")</x:f>
        <x:v>Stable Z-dominant</x:v>
      </x:c>
      <x:c r="E5" s="65" t="n">
        <x:f>'Point Summary'!K20</x:f>
        <x:v>0.02837</x:v>
      </x:c>
      <x:c r="F5" s="65" t="n">
        <x:f>'Point Summary'!M20</x:f>
        <x:v>0.09323</x:v>
      </x:c>
      <x:c r="G5" s="65" t="n">
        <x:f>'Point Summary'!O20</x:f>
        <x:v>0.26175</x:v>
      </x:c>
      <x:c r="H5" s="65" t="n">
        <x:f>'Point Summary'!Q20</x:f>
        <x:v>0.27953</x:v>
      </x:c>
      <x:c r="I5" s="65" t="n">
        <x:f>'Point Summary'!K25</x:f>
        <x:v>0.02367</x:v>
      </x:c>
      <x:c r="J5" s="65" t="n">
        <x:f>'Point Summary'!M25</x:f>
        <x:v>0.19369</x:v>
      </x:c>
      <x:c r="K5" s="65" t="n">
        <x:f>'Point Summary'!O25</x:f>
        <x:v>0.48801</x:v>
      </x:c>
      <x:c r="L5" s="65" t="n">
        <x:f>'Point Summary'!Q25</x:f>
        <x:v>0.52734</x:v>
      </x:c>
      <x:c r="M5" s="65" t="n">
        <x:f>L5/H5</x:f>
        <x:v>1.8865238078202697</x:v>
      </x:c>
      <x:c r="N5" s="65" t="n">
        <x:f>AVERAGE('Point Summary'!AA20:AA25)</x:f>
        <x:v>0.03042333333333333</x:v>
      </x:c>
      <x:c r="O5" s="66" t="n">
        <x:f>STDEV.S('Point Summary'!AA20:AA25)/AVERAGE('Point Summary'!AA20:AA25)*100</x:f>
        <x:v>8.059042124743886</x:v>
      </x:c>
      <x:c r="P5" s="65" t="n">
        <x:f>SLOPE('Point Summary'!Q20:Q25,'Point Summary'!D20:D25)</x:f>
        <x:v>0.044674285714285715</x:v>
      </x:c>
      <x:c r="Q5" s="65" t="n">
        <x:f>INTERCEPT('Point Summary'!Q20:Q25,'Point Summary'!D20:D25)</x:f>
        <x:v>-0.1749485714285714</x:v>
      </x:c>
      <x:c r="R5" s="67" t="n">
        <x:f>RSQ('Point Summary'!Q20:Q25,'Point Summary'!D20:D25)</x:f>
        <x:v>0.9396948440468634</x:v>
      </x:c>
      <x:c r="S5" s="68" t="n">
        <x:f>MAX('Point Summary'!AB20:AB25)</x:f>
        <x:v>0.01830000000001064</x:v>
      </x:c>
      <x:c r="T5" s="68" t="n">
        <x:f>AVERAGE('Raw DATA'!AP20:AP25)</x:f>
        <x:v>4.451666666666667</x:v>
      </x:c>
      <x:c r="U5" s="68" t="n">
        <x:f>IF(C5="X",'Raw DATA'!AD25,IF(C5="Y",'Raw DATA'!AH25,'Raw DATA'!AL25))</x:f>
        <x:v>-161.87</x:v>
      </x:c>
      <x:c r="V5" s="68" t="n">
        <x:f>IF(C5="X",'Raw DATA'!AE25,IF(C5="Y",'Raw DATA'!AI25,'Raw DATA'!AM25))</x:f>
        <x:v>0.729</x:v>
      </x:c>
      <x:c r="W5" s="64" t="str">
        <x:f>IF(O5&gt;20,"Strongly amplitude-dependent / nonlinear",IF(O5&gt;7,"Moderate amplitude dependence",IF(O5&lt;=3,"Approximately proportional","Good proportionality")))</x:f>
        <x:v>Moderate amplitude dependence</x:v>
      </x:c>
    </x:row>
    <x:row r="6">
      <x:c r="A6" s="63" t="n">
        <x:v>200</x:v>
      </x:c>
      <x:c r="B6" s="64" t="str">
        <x:f>IF(MAX(E6:G6)=E6,"X",IF(MAX(E6:G6)=F6,"Y","Z"))</x:f>
        <x:v>Z</x:v>
      </x:c>
      <x:c r="C6" s="64" t="str">
        <x:f>IF(MAX(I6:K6)=I6,"X",IF(MAX(I6:K6)=J6,"Y","Z"))</x:f>
        <x:v>Z</x:v>
      </x:c>
      <x:c r="D6" s="64" t="str">
        <x:f>IF(B6=C6,"Stable "&amp;C6&amp;"-dominant",B6&amp;"→"&amp;C6&amp;" transition")</x:f>
        <x:v>Stable Z-dominant</x:v>
      </x:c>
      <x:c r="E6" s="65" t="n">
        <x:f>'Point Summary'!K26</x:f>
        <x:v>0.03443</x:v>
      </x:c>
      <x:c r="F6" s="65" t="n">
        <x:f>'Point Summary'!M26</x:f>
        <x:v>0.12198</x:v>
      </x:c>
      <x:c r="G6" s="65" t="n">
        <x:f>'Point Summary'!O26</x:f>
        <x:v>0.35496</x:v>
      </x:c>
      <x:c r="H6" s="65" t="n">
        <x:f>'Point Summary'!Q26</x:f>
        <x:v>0.37754</x:v>
      </x:c>
      <x:c r="I6" s="65" t="n">
        <x:f>'Point Summary'!K31</x:f>
        <x:v>0.02327</x:v>
      </x:c>
      <x:c r="J6" s="65" t="n">
        <x:f>'Point Summary'!M31</x:f>
        <x:v>0.20091</x:v>
      </x:c>
      <x:c r="K6" s="65" t="n">
        <x:f>'Point Summary'!O31</x:f>
        <x:v>0.58172</x:v>
      </x:c>
      <x:c r="L6" s="65" t="n">
        <x:f>'Point Summary'!Q31</x:f>
        <x:v>0.61603</x:v>
      </x:c>
      <x:c r="M6" s="65" t="n">
        <x:f>L6/H6</x:f>
        <x:v>1.631694654871007</x:v>
      </x:c>
      <x:c r="N6" s="65" t="n">
        <x:f>AVERAGE('Point Summary'!AA26:AA31)</x:f>
        <x:v>0.039369999999999995</x:v>
      </x:c>
      <x:c r="O6" s="66" t="n">
        <x:f>STDEV.S('Point Summary'!AA26:AA31)/AVERAGE('Point Summary'!AA26:AA31)*100</x:f>
        <x:v>3.0182699852363095</x:v>
      </x:c>
      <x:c r="P6" s="65" t="n">
        <x:f>SLOPE('Point Summary'!Q26:Q31,'Point Summary'!D26:D31)</x:f>
        <x:v>0.04690571428571429</x:v>
      </x:c>
      <x:c r="Q6" s="65" t="n">
        <x:f>INTERCEPT('Point Summary'!Q26:Q31,'Point Summary'!D26:D31)</x:f>
        <x:v>-0.09245476190476193</x:v>
      </x:c>
      <x:c r="R6" s="67" t="n">
        <x:f>RSQ('Point Summary'!Q26:Q31,'Point Summary'!D26:D31)</x:f>
        <x:v>0.9965417131133769</x:v>
      </x:c>
      <x:c r="S6" s="68" t="n">
        <x:f>MAX('Point Summary'!AB26:AB31)</x:f>
        <x:v>0.014870000000001937</x:v>
      </x:c>
      <x:c r="T6" s="68" t="n">
        <x:f>AVERAGE('Raw DATA'!AP26:AP31)</x:f>
        <x:v>4.6866666666666665</x:v>
      </x:c>
      <x:c r="U6" s="68" t="n">
        <x:f>IF(C6="X",'Raw DATA'!AD31,IF(C6="Y",'Raw DATA'!AH31,'Raw DATA'!AL31))</x:f>
        <x:v>154.86</x:v>
      </x:c>
      <x:c r="V6" s="68" t="n">
        <x:f>IF(C6="X",'Raw DATA'!AE31,IF(C6="Y",'Raw DATA'!AI31,'Raw DATA'!AM31))</x:f>
        <x:v>0.772</x:v>
      </x:c>
      <x:c r="W6" s="64" t="str">
        <x:f>IF(O6&gt;20,"Strongly amplitude-dependent / nonlinear",IF(O6&gt;7,"Moderate amplitude dependence",IF(O6&lt;=3,"Approximately proportional","Good proportionality")))</x:f>
        <x:v>Good proportionality</x:v>
      </x:c>
    </x:row>
    <x:row r="7">
      <x:c r="A7" s="63" t="n">
        <x:v>225</x:v>
      </x:c>
      <x:c r="B7" s="64" t="str">
        <x:f>IF(MAX(E7:G7)=E7,"X",IF(MAX(E7:G7)=F7,"Y","Z"))</x:f>
        <x:v>Z</x:v>
      </x:c>
      <x:c r="C7" s="64" t="str">
        <x:f>IF(MAX(I7:K7)=I7,"X",IF(MAX(I7:K7)=J7,"Y","Z"))</x:f>
        <x:v>Z</x:v>
      </x:c>
      <x:c r="D7" s="64" t="str">
        <x:f>IF(B7=C7,"Stable "&amp;C7&amp;"-dominant",B7&amp;"→"&amp;C7&amp;" transition")</x:f>
        <x:v>Stable Z-dominant</x:v>
      </x:c>
      <x:c r="E7" s="65" t="n">
        <x:f>'Point Summary'!K32</x:f>
        <x:v>0.02912</x:v>
      </x:c>
      <x:c r="F7" s="65" t="n">
        <x:f>'Point Summary'!M32</x:f>
        <x:v>0.17226</x:v>
      </x:c>
      <x:c r="G7" s="65" t="n">
        <x:f>'Point Summary'!O32</x:f>
        <x:v>0.25462</x:v>
      </x:c>
      <x:c r="H7" s="65" t="n">
        <x:f>'Point Summary'!Q32</x:f>
        <x:v>0.30934</x:v>
      </x:c>
      <x:c r="I7" s="65" t="n">
        <x:f>'Point Summary'!K37</x:f>
        <x:v>0.03635</x:v>
      </x:c>
      <x:c r="J7" s="65" t="n">
        <x:f>'Point Summary'!M37</x:f>
        <x:v>0.28218</x:v>
      </x:c>
      <x:c r="K7" s="65" t="n">
        <x:f>'Point Summary'!O37</x:f>
        <x:v>0.43474</x:v>
      </x:c>
      <x:c r="L7" s="65" t="n">
        <x:f>'Point Summary'!Q37</x:f>
        <x:v>0.51993</x:v>
      </x:c>
      <x:c r="M7" s="65" t="n">
        <x:f>L7/H7</x:f>
        <x:v>1.6807719661214198</x:v>
      </x:c>
      <x:c r="N7" s="65" t="n">
        <x:f>AVERAGE('Point Summary'!AA32:AA37)</x:f>
        <x:v>0.03358166666666667</x:v>
      </x:c>
      <x:c r="O7" s="66" t="n">
        <x:f>STDEV.S('Point Summary'!AA32:AA37)/AVERAGE('Point Summary'!AA32:AA37)*100</x:f>
        <x:v>4.083036133202521</x:v>
      </x:c>
      <x:c r="P7" s="65" t="n">
        <x:f>SLOPE('Point Summary'!Q32:Q37,'Point Summary'!D32:D37)</x:f>
        <x:v>0.040851142857142864</x:v>
      </x:c>
      <x:c r="Q7" s="65" t="n">
        <x:f>INTERCEPT('Point Summary'!Q32:Q37,'Point Summary'!D32:D37)</x:f>
        <x:v>-0.08905761904761911</x:v>
      </x:c>
      <x:c r="R7" s="67" t="n">
        <x:f>RSQ('Point Summary'!Q32:Q37,'Point Summary'!D32:D37)</x:f>
        <x:v>0.991496699408417</x:v>
      </x:c>
      <x:c r="S7" s="68" t="n">
        <x:f>MAX('Point Summary'!AB32:AB37)</x:f>
        <x:v>0.03363999999999123</x:v>
      </x:c>
      <x:c r="T7" s="68" t="n">
        <x:f>AVERAGE('Raw DATA'!AP32:AP37)</x:f>
        <x:v>4.886666666666667</x:v>
      </x:c>
      <x:c r="U7" s="68" t="n">
        <x:f>IF(C7="X",'Raw DATA'!AD37,IF(C7="Y",'Raw DATA'!AH37,'Raw DATA'!AL37))</x:f>
        <x:v>147.16</x:v>
      </x:c>
      <x:c r="V7" s="68" t="n">
        <x:f>IF(C7="X",'Raw DATA'!AE37,IF(C7="Y",'Raw DATA'!AI37,'Raw DATA'!AM37))</x:f>
        <x:v>0.673</x:v>
      </x:c>
      <x:c r="W7" s="64" t="str">
        <x:f>IF(O7&gt;20,"Strongly amplitude-dependent / nonlinear",IF(O7&gt;7,"Moderate amplitude dependence",IF(O7&lt;=3,"Approximately proportional","Good proportionality")))</x:f>
        <x:v>Good proportionality</x:v>
      </x:c>
    </x:row>
    <x:row r="8">
      <x:c r="A8" s="63" t="n">
        <x:v>250</x:v>
      </x:c>
      <x:c r="B8" s="64" t="str">
        <x:f>IF(MAX(E8:G8)=E8,"X",IF(MAX(E8:G8)=F8,"Y","Z"))</x:f>
        <x:v>Z</x:v>
      </x:c>
      <x:c r="C8" s="64" t="str">
        <x:f>IF(MAX(I8:K8)=I8,"X",IF(MAX(I8:K8)=J8,"Y","Z"))</x:f>
        <x:v>Z</x:v>
      </x:c>
      <x:c r="D8" s="64" t="str">
        <x:f>IF(B8=C8,"Stable "&amp;C8&amp;"-dominant",B8&amp;"→"&amp;C8&amp;" transition")</x:f>
        <x:v>Stable Z-dominant</x:v>
      </x:c>
      <x:c r="E8" s="65" t="n">
        <x:f>'Point Summary'!K38</x:f>
        <x:v>0.04737</x:v>
      </x:c>
      <x:c r="F8" s="65" t="n">
        <x:f>'Point Summary'!M38</x:f>
        <x:v>0.26909</x:v>
      </x:c>
      <x:c r="G8" s="65" t="n">
        <x:f>'Point Summary'!O38</x:f>
        <x:v>0.53948</x:v>
      </x:c>
      <x:c r="H8" s="65" t="n">
        <x:f>'Point Summary'!Q38</x:f>
        <x:v>0.60838</x:v>
      </x:c>
      <x:c r="I8" s="65" t="n">
        <x:f>'Point Summary'!K43</x:f>
        <x:v>0.0975</x:v>
      </x:c>
      <x:c r="J8" s="65" t="n">
        <x:f>'Point Summary'!M43</x:f>
        <x:v>0.40939</x:v>
      </x:c>
      <x:c r="K8" s="65" t="n">
        <x:f>'Point Summary'!O43</x:f>
        <x:v>0.7997</x:v>
      </x:c>
      <x:c r="L8" s="65" t="n">
        <x:f>'Point Summary'!Q43</x:f>
        <x:v>0.90656</x:v>
      </x:c>
      <x:c r="M8" s="65" t="n">
        <x:f>L8/H8</x:f>
        <x:v>1.4901213057628455</x:v>
      </x:c>
      <x:c r="N8" s="65" t="n">
        <x:f>AVERAGE('Point Summary'!AA38:AA43)</x:f>
        <x:v>0.06063166666666667</x:v>
      </x:c>
      <x:c r="O8" s="66" t="n">
        <x:f>STDEV.S('Point Summary'!AA38:AA43)/AVERAGE('Point Summary'!AA38:AA43)*100</x:f>
        <x:v>0.6182064100151987</x:v>
      </x:c>
      <x:c r="P8" s="65" t="n">
        <x:f>SLOPE('Point Summary'!Q38:Q43,'Point Summary'!D38:D43)</x:f>
        <x:v>0.06074142857142857</x:v>
      </x:c>
      <x:c r="Q8" s="65" t="n">
        <x:f>INTERCEPT('Point Summary'!Q38:Q43,'Point Summary'!D38:D43)</x:f>
        <x:v>-0.0013628571428572211</x:v>
      </x:c>
      <x:c r="R8" s="67" t="n">
        <x:f>RSQ('Point Summary'!Q38:Q43,'Point Summary'!D38:D43)</x:f>
        <x:v>0.9983106204252103</x:v>
      </x:c>
      <x:c r="S8" s="68" t="n">
        <x:f>MAX('Point Summary'!AB38:AB43)</x:f>
        <x:v>0.01944000000000301</x:v>
      </x:c>
      <x:c r="T8" s="68" t="n">
        <x:f>AVERAGE('Raw DATA'!AP38:AP43)</x:f>
        <x:v>5.8950000000000005</x:v>
      </x:c>
      <x:c r="U8" s="68" t="n">
        <x:f>IF(C8="X",'Raw DATA'!AD43,IF(C8="Y",'Raw DATA'!AH43,'Raw DATA'!AL43))</x:f>
        <x:v>130.13</x:v>
      </x:c>
      <x:c r="V8" s="68" t="n">
        <x:f>IF(C8="X",'Raw DATA'!AE43,IF(C8="Y",'Raw DATA'!AI43,'Raw DATA'!AM43))</x:f>
        <x:v>0.823</x:v>
      </x:c>
      <x:c r="W8" s="64" t="str">
        <x:f>IF(O8&gt;20,"Strongly amplitude-dependent / nonlinear",IF(O8&gt;7,"Moderate amplitude dependence",IF(O8&lt;=3,"Approximately proportional","Good proportionality")))</x:f>
        <x:v>Approximately proportional</x:v>
      </x:c>
    </x:row>
    <x:row r="9">
      <x:c r="A9" s="63" t="n">
        <x:v>275</x:v>
      </x:c>
      <x:c r="B9" s="64" t="str">
        <x:f>IF(MAX(E9:G9)=E9,"X",IF(MAX(E9:G9)=F9,"Y","Z"))</x:f>
        <x:v>Z</x:v>
      </x:c>
      <x:c r="C9" s="64" t="str">
        <x:f>IF(MAX(I9:K9)=I9,"X",IF(MAX(I9:K9)=J9,"Y","Z"))</x:f>
        <x:v>Z</x:v>
      </x:c>
      <x:c r="D9" s="64" t="str">
        <x:f>IF(B9=C9,"Stable "&amp;C9&amp;"-dominant",B9&amp;"→"&amp;C9&amp;" transition")</x:f>
        <x:v>Stable Z-dominant</x:v>
      </x:c>
      <x:c r="E9" s="65" t="n">
        <x:f>'Point Summary'!K44</x:f>
        <x:v>0.11984</x:v>
      </x:c>
      <x:c r="F9" s="65" t="n">
        <x:f>'Point Summary'!M44</x:f>
        <x:v>0.28688</x:v>
      </x:c>
      <x:c r="G9" s="65" t="n">
        <x:f>'Point Summary'!O44</x:f>
        <x:v>0.67702</x:v>
      </x:c>
      <x:c r="H9" s="65" t="n">
        <x:f>'Point Summary'!Q44</x:f>
        <x:v>0.74558</x:v>
      </x:c>
      <x:c r="I9" s="65" t="n">
        <x:f>'Point Summary'!K49</x:f>
        <x:v>0.1935</x:v>
      </x:c>
      <x:c r="J9" s="65" t="n">
        <x:f>'Point Summary'!M49</x:f>
        <x:v>0.50459</x:v>
      </x:c>
      <x:c r="K9" s="65" t="n">
        <x:f>'Point Summary'!O49</x:f>
        <x:v>1.0661</x:v>
      </x:c>
      <x:c r="L9" s="65" t="n">
        <x:f>'Point Summary'!Q49</x:f>
        <x:v>1.19635</x:v>
      </x:c>
      <x:c r="M9" s="65" t="n">
        <x:f>L9/H9</x:f>
        <x:v>1.6045897153893613</x:v>
      </x:c>
      <x:c r="N9" s="65" t="n">
        <x:f>AVERAGE('Point Summary'!AA44:AA49)</x:f>
        <x:v>0.07742666666666666</x:v>
      </x:c>
      <x:c r="O9" s="66" t="n">
        <x:f>STDEV.S('Point Summary'!AA44:AA49)/AVERAGE('Point Summary'!AA44:AA49)*100</x:f>
        <x:v>2.248900371311409</x:v>
      </x:c>
      <x:c r="P9" s="65" t="n">
        <x:f>SLOPE('Point Summary'!Q44:Q49,'Point Summary'!D44:D49)</x:f>
        <x:v>0.08781885714285716</x:v>
      </x:c>
      <x:c r="Q9" s="65" t="n">
        <x:f>INTERCEPT('Point Summary'!Q44:Q49,'Point Summary'!D44:D49)</x:f>
        <x:v>-0.12746904761904765</x:v>
      </x:c>
      <x:c r="R9" s="67" t="n">
        <x:f>RSQ('Point Summary'!Q44:Q49,'Point Summary'!D44:D49)</x:f>
        <x:v>0.9972249310602674</x:v>
      </x:c>
      <x:c r="S9" s="68" t="n">
        <x:f>MAX('Point Summary'!AB44:AB49)</x:f>
        <x:v>0.015879999999981464</x:v>
      </x:c>
      <x:c r="T9" s="68" t="n">
        <x:f>AVERAGE('Raw DATA'!AP44:AP49)</x:f>
        <x:v>2.2050000000000005</x:v>
      </x:c>
      <x:c r="U9" s="68" t="n">
        <x:f>IF(C9="X",'Raw DATA'!AD49,IF(C9="Y",'Raw DATA'!AH49,'Raw DATA'!AL49))</x:f>
        <x:v>101.38</x:v>
      </x:c>
      <x:c r="V9" s="68" t="n">
        <x:f>IF(C9="X",'Raw DATA'!AE49,IF(C9="Y",'Raw DATA'!AI49,'Raw DATA'!AM49))</x:f>
        <x:v>0.862</x:v>
      </x:c>
      <x:c r="W9" s="64" t="str">
        <x:f>IF(O9&gt;20,"Strongly amplitude-dependent / nonlinear",IF(O9&gt;7,"Moderate amplitude dependence",IF(O9&lt;=3,"Approximately proportional","Good proportionality")))</x:f>
        <x:v>Approximately proportional</x:v>
      </x:c>
    </x:row>
    <x:row r="10">
      <x:c r="A10" s="63" t="n">
        <x:v>300</x:v>
      </x:c>
      <x:c r="B10" s="64" t="str">
        <x:f>IF(MAX(E10:G10)=E10,"X",IF(MAX(E10:G10)=F10,"Y","Z"))</x:f>
        <x:v>Z</x:v>
      </x:c>
      <x:c r="C10" s="64" t="str">
        <x:f>IF(MAX(I10:K10)=I10,"X",IF(MAX(I10:K10)=J10,"Y","Z"))</x:f>
        <x:v>Z</x:v>
      </x:c>
      <x:c r="D10" s="64" t="str">
        <x:f>IF(B10=C10,"Stable "&amp;C10&amp;"-dominant",B10&amp;"→"&amp;C10&amp;" transition")</x:f>
        <x:v>Stable Z-dominant</x:v>
      </x:c>
      <x:c r="E10" s="65" t="n">
        <x:f>'Point Summary'!K50</x:f>
        <x:v>0.23242</x:v>
      </x:c>
      <x:c r="F10" s="65" t="n">
        <x:f>'Point Summary'!M50</x:f>
        <x:v>0.3742</x:v>
      </x:c>
      <x:c r="G10" s="65" t="n">
        <x:f>'Point Summary'!O50</x:f>
        <x:v>0.62642</x:v>
      </x:c>
      <x:c r="H10" s="65" t="n">
        <x:f>'Point Summary'!Q50</x:f>
        <x:v>0.76602</x:v>
      </x:c>
      <x:c r="I10" s="65" t="n">
        <x:f>'Point Summary'!K55</x:f>
        <x:v>0.37804</x:v>
      </x:c>
      <x:c r="J10" s="65" t="n">
        <x:f>'Point Summary'!M55</x:f>
        <x:v>0.63158</x:v>
      </x:c>
      <x:c r="K10" s="65" t="n">
        <x:f>'Point Summary'!O55</x:f>
        <x:v>0.87515</x:v>
      </x:c>
      <x:c r="L10" s="65" t="n">
        <x:f>'Point Summary'!Q55</x:f>
        <x:v>1.1439</x:v>
      </x:c>
      <x:c r="M10" s="65" t="n">
        <x:f>L10/H10</x:f>
        <x:v>1.4933030469178348</x:v>
      </x:c>
      <x:c r="N10" s="65" t="n">
        <x:f>AVERAGE('Point Summary'!AA50:AA55)</x:f>
        <x:v>0.07659333333333333</x:v>
      </x:c>
      <x:c r="O10" s="66" t="n">
        <x:f>STDEV.S('Point Summary'!AA50:AA55)/AVERAGE('Point Summary'!AA50:AA55)*100</x:f>
        <x:v>0.41931135997361724</x:v>
      </x:c>
      <x:c r="P10" s="65" t="n">
        <x:f>SLOPE('Point Summary'!Q50:Q55,'Point Summary'!D50:D55)</x:f>
        <x:v>0.07545942857142855</x:v>
      </x:c>
      <x:c r="Q10" s="65" t="n">
        <x:f>INTERCEPT('Point Summary'!Q50:Q55,'Point Summary'!D50:D55)</x:f>
        <x:v>0.013943809523809803</x:v>
      </x:c>
      <x:c r="R10" s="67" t="n">
        <x:f>RSQ('Point Summary'!Q50:Q55,'Point Summary'!D50:D55)</x:f>
        <x:v>0.9993654574969428</x:v>
      </x:c>
      <x:c r="S10" s="68" t="n">
        <x:f>MAX('Point Summary'!AB50:AB55)</x:f>
        <x:v>0.010839999999973315</x:v>
      </x:c>
      <x:c r="T10" s="68" t="n">
        <x:f>AVERAGE('Raw DATA'!AP50:AP55)</x:f>
        <x:v>2.18</x:v>
      </x:c>
      <x:c r="U10" s="68" t="n">
        <x:f>IF(C10="X",'Raw DATA'!AD55,IF(C10="Y",'Raw DATA'!AH55,'Raw DATA'!AL55))</x:f>
        <x:v>57.69</x:v>
      </x:c>
      <x:c r="V10" s="68" t="n">
        <x:f>IF(C10="X",'Raw DATA'!AE55,IF(C10="Y",'Raw DATA'!AI55,'Raw DATA'!AM55))</x:f>
        <x:v>0.831</x:v>
      </x:c>
      <x:c r="W10" s="64" t="str">
        <x:f>IF(O10&gt;20,"Strongly amplitude-dependent / nonlinear",IF(O10&gt;7,"Moderate amplitude dependence",IF(O10&lt;=3,"Approximately proportional","Good proportionality")))</x:f>
        <x:v>Approximately proportional</x:v>
      </x:c>
    </x:row>
    <x:row r="11">
      <x:c r="A11" s="63" t="n">
        <x:v>325</x:v>
      </x:c>
      <x:c r="B11" s="64" t="str">
        <x:f>IF(MAX(E11:G11)=E11,"X",IF(MAX(E11:G11)=F11,"Y","Z"))</x:f>
        <x:v>Y</x:v>
      </x:c>
      <x:c r="C11" s="64" t="str">
        <x:f>IF(MAX(I11:K11)=I11,"X",IF(MAX(I11:K11)=J11,"Y","Z"))</x:f>
        <x:v>Y</x:v>
      </x:c>
      <x:c r="D11" s="64" t="str">
        <x:f>IF(B11=C11,"Stable "&amp;C11&amp;"-dominant",B11&amp;"→"&amp;C11&amp;" transition")</x:f>
        <x:v>Stable Y-dominant</x:v>
      </x:c>
      <x:c r="E11" s="65" t="n">
        <x:f>'Point Summary'!K56</x:f>
        <x:v>0.28951</x:v>
      </x:c>
      <x:c r="F11" s="65" t="n">
        <x:f>'Point Summary'!M56</x:f>
        <x:v>0.46616</x:v>
      </x:c>
      <x:c r="G11" s="65" t="n">
        <x:f>'Point Summary'!O56</x:f>
        <x:v>0.09583</x:v>
      </x:c>
      <x:c r="H11" s="65" t="n">
        <x:f>'Point Summary'!Q56</x:f>
        <x:v>0.55811</x:v>
      </x:c>
      <x:c r="I11" s="65" t="n">
        <x:f>'Point Summary'!K61</x:f>
        <x:v>0.4409</x:v>
      </x:c>
      <x:c r="J11" s="65" t="n">
        <x:f>'Point Summary'!M61</x:f>
        <x:v>0.7119</x:v>
      </x:c>
      <x:c r="K11" s="65" t="n">
        <x:f>'Point Summary'!O61</x:f>
        <x:v>0.21045</x:v>
      </x:c>
      <x:c r="L11" s="65" t="n">
        <x:f>'Point Summary'!Q61</x:f>
        <x:v>0.86391</x:v>
      </x:c>
      <x:c r="M11" s="65" t="n">
        <x:f>L11/H11</x:f>
        <x:v>1.547920660801634</x:v>
      </x:c>
      <x:c r="N11" s="65" t="n">
        <x:f>AVERAGE('Point Summary'!AA56:AA61)</x:f>
        <x:v>0.05657833333333334</x:v>
      </x:c>
      <x:c r="O11" s="66" t="n">
        <x:f>STDEV.S('Point Summary'!AA56:AA61)/AVERAGE('Point Summary'!AA56:AA61)*100</x:f>
        <x:v>1.2894190591230814</x:v>
      </x:c>
      <x:c r="P11" s="65" t="n">
        <x:f>SLOPE('Point Summary'!Q56:Q61,'Point Summary'!D56:D61)</x:f>
        <x:v>0.060989714285714286</x:v>
      </x:c>
      <x:c r="Q11" s="65" t="n">
        <x:f>INTERCEPT('Point Summary'!Q56:Q61,'Point Summary'!D56:D61)</x:f>
        <x:v>-0.05412809523809525</x:v>
      </x:c>
      <x:c r="R11" s="67" t="n">
        <x:f>RSQ('Point Summary'!Q56:Q61,'Point Summary'!D56:D61)</x:f>
        <x:v>0.9979997292669341</x:v>
      </x:c>
      <x:c r="S11" s="68" t="n">
        <x:f>MAX('Point Summary'!AB56:AB61)</x:f>
        <x:v>0.014259999999978845</x:v>
      </x:c>
      <x:c r="T11" s="68" t="n">
        <x:f>AVERAGE('Raw DATA'!AP56:AP61)</x:f>
        <x:v>3.34</x:v>
      </x:c>
      <x:c r="U11" s="68" t="n">
        <x:f>IF(C11="X",'Raw DATA'!AD61,IF(C11="Y",'Raw DATA'!AH61,'Raw DATA'!AL61))</x:f>
        <x:v>-165.44</x:v>
      </x:c>
      <x:c r="V11" s="68" t="n">
        <x:f>IF(C11="X",'Raw DATA'!AE61,IF(C11="Y",'Raw DATA'!AI61,'Raw DATA'!AM61))</x:f>
        <x:v>0.603</x:v>
      </x:c>
      <x:c r="W11" s="64" t="str">
        <x:f>IF(O11&gt;20,"Strongly amplitude-dependent / nonlinear",IF(O11&gt;7,"Moderate amplitude dependence",IF(O11&lt;=3,"Approximately proportional","Good proportionality")))</x:f>
        <x:v>Approximately proportional</x:v>
      </x:c>
    </x:row>
    <x:row r="12">
      <x:c r="A12" s="63" t="n">
        <x:v>350</x:v>
      </x:c>
      <x:c r="B12" s="64" t="str">
        <x:f>IF(MAX(E12:G12)=E12,"X",IF(MAX(E12:G12)=F12,"Y","Z"))</x:f>
        <x:v>Z</x:v>
      </x:c>
      <x:c r="C12" s="64" t="str">
        <x:f>IF(MAX(I12:K12)=I12,"X",IF(MAX(I12:K12)=J12,"Y","Z"))</x:f>
        <x:v>Z</x:v>
      </x:c>
      <x:c r="D12" s="64" t="str">
        <x:f>IF(B12=C12,"Stable "&amp;C12&amp;"-dominant",B12&amp;"→"&amp;C12&amp;" transition")</x:f>
        <x:v>Stable Z-dominant</x:v>
      </x:c>
      <x:c r="E12" s="65" t="n">
        <x:f>'Point Summary'!K62</x:f>
        <x:v>0.1478</x:v>
      </x:c>
      <x:c r="F12" s="65" t="n">
        <x:f>'Point Summary'!M62</x:f>
        <x:v>0.3752</x:v>
      </x:c>
      <x:c r="G12" s="65" t="n">
        <x:f>'Point Summary'!O62</x:f>
        <x:v>0.63898</x:v>
      </x:c>
      <x:c r="H12" s="65" t="n">
        <x:f>'Point Summary'!Q62</x:f>
        <x:v>0.75772</x:v>
      </x:c>
      <x:c r="I12" s="65" t="n">
        <x:f>'Point Summary'!K67</x:f>
        <x:v>0.26629</x:v>
      </x:c>
      <x:c r="J12" s="65" t="n">
        <x:f>'Point Summary'!M67</x:f>
        <x:v>0.71421</x:v>
      </x:c>
      <x:c r="K12" s="65" t="n">
        <x:f>'Point Summary'!O67</x:f>
        <x:v>0.85805</x:v>
      </x:c>
      <x:c r="L12" s="65" t="n">
        <x:f>'Point Summary'!Q67</x:f>
        <x:v>1.14839</x:v>
      </x:c>
      <x:c r="M12" s="65" t="n">
        <x:f>L12/H12</x:f>
        <x:v>1.5155862323813547</x:v>
      </x:c>
      <x:c r="N12" s="65" t="n">
        <x:f>AVERAGE('Point Summary'!AA62:AA67)</x:f>
        <x:v>0.07529500000000001</x:v>
      </x:c>
      <x:c r="O12" s="66" t="n">
        <x:f>STDEV.S('Point Summary'!AA62:AA67)/AVERAGE('Point Summary'!AA62:AA67)*100</x:f>
        <x:v>1.2351774770329138</x:v>
      </x:c>
      <x:c r="P12" s="65" t="n">
        <x:f>SLOPE('Point Summary'!Q62:Q67,'Point Summary'!D62:D67)</x:f>
        <x:v>0.0761257142857143</x:v>
      </x:c>
      <x:c r="Q12" s="65" t="n">
        <x:f>INTERCEPT('Point Summary'!Q62:Q67,'Point Summary'!D62:D67)</x:f>
        <x:v>-0.010341428571428724</x:v>
      </x:c>
      <x:c r="R12" s="67" t="n">
        <x:f>RSQ('Point Summary'!Q62:Q67,'Point Summary'!D62:D67)</x:f>
        <x:v>0.9924227546748747</x:v>
      </x:c>
      <x:c r="S12" s="68" t="n">
        <x:f>MAX('Point Summary'!AB62:AB67)</x:f>
        <x:v>0.0302300000000173</x:v>
      </x:c>
      <x:c r="T12" s="68" t="n">
        <x:f>AVERAGE('Raw DATA'!AP62:AP67)</x:f>
        <x:v>3.3033333333333332</x:v>
      </x:c>
      <x:c r="U12" s="68" t="n">
        <x:f>IF(C12="X",'Raw DATA'!AD67,IF(C12="Y",'Raw DATA'!AH67,'Raw DATA'!AL67))</x:f>
        <x:v>76.72</x:v>
      </x:c>
      <x:c r="V12" s="68" t="n">
        <x:f>IF(C12="X",'Raw DATA'!AE67,IF(C12="Y",'Raw DATA'!AI67,'Raw DATA'!AM67))</x:f>
        <x:v>0.775</x:v>
      </x:c>
      <x:c r="W12" s="64" t="str">
        <x:f>IF(O12&gt;20,"Strongly amplitude-dependent / nonlinear",IF(O12&gt;7,"Moderate amplitude dependence",IF(O12&lt;=3,"Approximately proportional","Good proportionality")))</x:f>
        <x:v>Approximately proportional</x:v>
      </x:c>
    </x:row>
  </x:sheetData>
  <x:conditionalFormatting sqref="O2:O12">
    <x:cfRule type="colorScale" priority="1">
      <x:colorScale>
        <x:cfvo type="min"/>
        <x:cfvo type="percentile" val="50"/>
        <x:cfvo type="max"/>
        <x:color rgb="FFE2F0D9"/>
        <x:color rgb="FFFFF2CC"/>
        <x:color rgb="FFF4CCCC"/>
      </x:colorScale>
    </x:cfRule>
  </x:conditionalFormatting>
  <x:conditionalFormatting sqref="R2:R12">
    <x:cfRule type="colorScale" priority="2">
      <x:colorScale>
        <x:cfvo type="min"/>
        <x:cfvo type="percentile" val="50"/>
        <x:cfvo type="max"/>
        <x:color rgb="FFF4CCCC"/>
        <x:color rgb="FFFFF2CC"/>
        <x:color rgb="FFE2F0D9"/>
      </x:colorScale>
    </x:cfRule>
  </x:conditionalFormatting>
  <x:pageMargins left="0.7" right="0.7" top="0.75" bottom="0.75" header="0.3" footer="0.3"/>
  <x:tableParts count="1">
    <x:tablePart xmlns:r="http://schemas.openxmlformats.org/officeDocument/2006/relationships" r:id="Rdd31d9fe01304483"/>
  </x:tableParts>
</x:worksheet>
</file>

<file path=xl/worksheets/sheet5.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6" hidden="0" customWidth="1"/>
    <x:col min="8" max="8" width="15" hidden="0" customWidth="1"/>
    <x:col min="9" max="9" width="15" hidden="0" customWidth="1"/>
    <x:col min="10" max="10" width="15" hidden="0" customWidth="1"/>
  </x:cols>
  <x:sheetData>
    <x:row r="1">
      <x:c r="A1" s="4" t="str">
        <x:v>Directional response map from exact-command-frequency quadrature amplitudes</x:v>
      </x:c>
      <x:c r="B1" s="4"/>
      <x:c r="C1" s="4"/>
      <x:c r="D1" s="4"/>
      <x:c r="E1" s="4"/>
      <x:c r="F1" s="4"/>
      <x:c r="G1" s="4"/>
      <x:c r="H1" s="4"/>
      <x:c r="I1" s="4"/>
      <x:c r="J1" s="4"/>
    </x:row>
    <x:row r="3">
      <x:c r="A3" s="16" t="str">
        <x:v>Frequency_Hz</x:v>
      </x:c>
      <x:c r="B3" s="16" t="str">
        <x:v>DAC</x:v>
      </x:c>
      <x:c r="C3" s="16" t="str">
        <x:v>X_A</x:v>
      </x:c>
      <x:c r="D3" s="16" t="str">
        <x:v>Y_A</x:v>
      </x:c>
      <x:c r="E3" s="16" t="str">
        <x:v>Z_A</x:v>
      </x:c>
      <x:c r="F3" s="16" t="str">
        <x:v>Total_A</x:v>
      </x:c>
      <x:c r="G3" s="16" t="str">
        <x:v>Dominant axis</x:v>
      </x:c>
      <x:c r="H3" s="16" t="str">
        <x:v>X fraction</x:v>
      </x:c>
      <x:c r="I3" s="16" t="str">
        <x:v>Y fraction</x:v>
      </x:c>
      <x:c r="J3" s="16" t="str">
        <x:v>Z fraction</x:v>
      </x:c>
    </x:row>
    <x:row r="4">
      <x:c r="A4" s="57" t="n">
        <x:v>100</x:v>
      </x:c>
      <x:c r="B4" s="57" t="n">
        <x:v>10</x:v>
      </x:c>
      <x:c r="C4" s="59" t="n">
        <x:v>0.20592</x:v>
      </x:c>
      <x:c r="D4" s="59" t="n">
        <x:v>0.11588</x:v>
      </x:c>
      <x:c r="E4" s="59" t="n">
        <x:v>0.36369</x:v>
      </x:c>
      <x:c r="F4" s="59" t="n">
        <x:v>0.434</x:v>
      </x:c>
      <x:c r="G4" s="59" t="str">
        <x:f>IF(MAX(C4:E4)=C4,"X",IF(MAX(C4:E4)=D4,"Y","Z"))</x:f>
        <x:v>Z</x:v>
      </x:c>
      <x:c r="H4" s="59" t="n">
        <x:v>0.4745</x:v>
      </x:c>
      <x:c r="I4" s="59" t="n">
        <x:v>0.267</x:v>
      </x:c>
      <x:c r="J4" s="59" t="n">
        <x:v>0.838</x:v>
      </x:c>
    </x:row>
    <x:row r="5">
      <x:c r="A5" s="57" t="n">
        <x:v>100</x:v>
      </x:c>
      <x:c r="B5" s="57" t="n">
        <x:v>11</x:v>
      </x:c>
      <x:c r="C5" s="59" t="n">
        <x:v>0.33339</x:v>
      </x:c>
      <x:c r="D5" s="59" t="n">
        <x:v>0.26494</x:v>
      </x:c>
      <x:c r="E5" s="59" t="n">
        <x:v>0.49317</x:v>
      </x:c>
      <x:c r="F5" s="59" t="n">
        <x:v>0.65179</x:v>
      </x:c>
      <x:c r="G5" s="59" t="str">
        <x:f>IF(MAX(C5:E5)=C5,"X",IF(MAX(C5:E5)=D5,"Y","Z"))</x:f>
        <x:v>Z</x:v>
      </x:c>
      <x:c r="H5" s="59" t="n">
        <x:v>0.5115</x:v>
      </x:c>
      <x:c r="I5" s="59" t="n">
        <x:v>0.4065</x:v>
      </x:c>
      <x:c r="J5" s="59" t="n">
        <x:v>0.7566</x:v>
      </x:c>
    </x:row>
    <x:row r="6">
      <x:c r="A6" s="57" t="n">
        <x:v>100</x:v>
      </x:c>
      <x:c r="B6" s="57" t="n">
        <x:v>12</x:v>
      </x:c>
      <x:c r="C6" s="59" t="n">
        <x:v>1.19863</x:v>
      </x:c>
      <x:c r="D6" s="59" t="n">
        <x:v>1.07706</x:v>
      </x:c>
      <x:c r="E6" s="59" t="n">
        <x:v>0.85251</x:v>
      </x:c>
      <x:c r="F6" s="59" t="n">
        <x:v>1.82322</x:v>
      </x:c>
      <x:c r="G6" s="59" t="str">
        <x:f>IF(MAX(C6:E6)=C6,"X",IF(MAX(C6:E6)=D6,"Y","Z"))</x:f>
        <x:v>X</x:v>
      </x:c>
      <x:c r="H6" s="59" t="n">
        <x:v>0.6574</x:v>
      </x:c>
      <x:c r="I6" s="59" t="n">
        <x:v>0.5907</x:v>
      </x:c>
      <x:c r="J6" s="59" t="n">
        <x:v>0.4676</x:v>
      </x:c>
    </x:row>
    <x:row r="7">
      <x:c r="A7" s="57" t="n">
        <x:v>100</x:v>
      </x:c>
      <x:c r="B7" s="57" t="n">
        <x:v>13</x:v>
      </x:c>
      <x:c r="C7" s="59" t="n">
        <x:v>1.46801</x:v>
      </x:c>
      <x:c r="D7" s="59" t="n">
        <x:v>1.23041</x:v>
      </x:c>
      <x:c r="E7" s="59" t="n">
        <x:v>0.97872</x:v>
      </x:c>
      <x:c r="F7" s="59" t="n">
        <x:v>2.15533</x:v>
      </x:c>
      <x:c r="G7" s="59" t="str">
        <x:f>IF(MAX(C7:E7)=C7,"X",IF(MAX(C7:E7)=D7,"Y","Z"))</x:f>
        <x:v>X</x:v>
      </x:c>
      <x:c r="H7" s="59" t="n">
        <x:v>0.6811</x:v>
      </x:c>
      <x:c r="I7" s="59" t="n">
        <x:v>0.5709</x:v>
      </x:c>
      <x:c r="J7" s="59" t="n">
        <x:v>0.4541</x:v>
      </x:c>
    </x:row>
    <x:row r="8">
      <x:c r="A8" s="57" t="n">
        <x:v>100</x:v>
      </x:c>
      <x:c r="B8" s="57" t="n">
        <x:v>14</x:v>
      </x:c>
      <x:c r="C8" s="59" t="n">
        <x:v>2.16977</x:v>
      </x:c>
      <x:c r="D8" s="59" t="n">
        <x:v>1.8301</x:v>
      </x:c>
      <x:c r="E8" s="59" t="n">
        <x:v>1.38395</x:v>
      </x:c>
      <x:c r="F8" s="59" t="n">
        <x:v>3.15806</x:v>
      </x:c>
      <x:c r="G8" s="59" t="str">
        <x:f>IF(MAX(C8:E8)=C8,"X",IF(MAX(C8:E8)=D8,"Y","Z"))</x:f>
        <x:v>X</x:v>
      </x:c>
      <x:c r="H8" s="59" t="n">
        <x:v>0.6871</x:v>
      </x:c>
      <x:c r="I8" s="59" t="n">
        <x:v>0.5795</x:v>
      </x:c>
      <x:c r="J8" s="59" t="n">
        <x:v>0.4382</x:v>
      </x:c>
    </x:row>
    <x:row r="9">
      <x:c r="A9" s="57" t="n">
        <x:v>100</x:v>
      </x:c>
      <x:c r="B9" s="57" t="n">
        <x:v>15</x:v>
      </x:c>
      <x:c r="C9" s="59" t="n">
        <x:v>2.31402</x:v>
      </x:c>
      <x:c r="D9" s="59" t="n">
        <x:v>2.05378</x:v>
      </x:c>
      <x:c r="E9" s="59" t="n">
        <x:v>1.57215</x:v>
      </x:c>
      <x:c r="F9" s="59" t="n">
        <x:v>3.47061</x:v>
      </x:c>
      <x:c r="G9" s="59" t="str">
        <x:f>IF(MAX(C9:E9)=C9,"X",IF(MAX(C9:E9)=D9,"Y","Z"))</x:f>
        <x:v>X</x:v>
      </x:c>
      <x:c r="H9" s="59" t="n">
        <x:v>0.6667</x:v>
      </x:c>
      <x:c r="I9" s="59" t="n">
        <x:v>0.5918</x:v>
      </x:c>
      <x:c r="J9" s="59" t="n">
        <x:v>0.453</x:v>
      </x:c>
    </x:row>
    <x:row r="10">
      <x:c r="A10" s="57" t="n">
        <x:v>125</x:v>
      </x:c>
      <x:c r="B10" s="57" t="n">
        <x:v>10</x:v>
      </x:c>
      <x:c r="C10" s="59" t="n">
        <x:v>0.09842</x:v>
      </x:c>
      <x:c r="D10" s="59" t="n">
        <x:v>0.43396</x:v>
      </x:c>
      <x:c r="E10" s="59" t="n">
        <x:v>0.20861</x:v>
      </x:c>
      <x:c r="F10" s="59" t="n">
        <x:v>0.49177</x:v>
      </x:c>
      <x:c r="G10" s="59" t="str">
        <x:f>IF(MAX(C10:E10)=C10,"X",IF(MAX(C10:E10)=D10,"Y","Z"))</x:f>
        <x:v>Y</x:v>
      </x:c>
      <x:c r="H10" s="59" t="n">
        <x:v>0.2001</x:v>
      </x:c>
      <x:c r="I10" s="59" t="n">
        <x:v>0.8825</x:v>
      </x:c>
      <x:c r="J10" s="59" t="n">
        <x:v>0.4242</x:v>
      </x:c>
    </x:row>
    <x:row r="11">
      <x:c r="A11" s="57" t="n">
        <x:v>125</x:v>
      </x:c>
      <x:c r="B11" s="57" t="n">
        <x:v>11</x:v>
      </x:c>
      <x:c r="C11" s="59" t="n">
        <x:v>0.26609</x:v>
      </x:c>
      <x:c r="D11" s="59" t="n">
        <x:v>0.85828</x:v>
      </x:c>
      <x:c r="E11" s="59" t="n">
        <x:v>0.3371</x:v>
      </x:c>
      <x:c r="F11" s="59" t="n">
        <x:v>0.95987</x:v>
      </x:c>
      <x:c r="G11" s="59" t="str">
        <x:f>IF(MAX(C11:E11)=C11,"X",IF(MAX(C11:E11)=D11,"Y","Z"))</x:f>
        <x:v>Y</x:v>
      </x:c>
      <x:c r="H11" s="59" t="n">
        <x:v>0.2772</x:v>
      </x:c>
      <x:c r="I11" s="59" t="n">
        <x:v>0.8942</x:v>
      </x:c>
      <x:c r="J11" s="59" t="n">
        <x:v>0.3512</x:v>
      </x:c>
    </x:row>
    <x:row r="12">
      <x:c r="A12" s="57" t="n">
        <x:v>125</x:v>
      </x:c>
      <x:c r="B12" s="57" t="n">
        <x:v>12</x:v>
      </x:c>
      <x:c r="C12" s="59" t="n">
        <x:v>0.36782</x:v>
      </x:c>
      <x:c r="D12" s="59" t="n">
        <x:v>1.13109</x:v>
      </x:c>
      <x:c r="E12" s="59" t="n">
        <x:v>0.4202</x:v>
      </x:c>
      <x:c r="F12" s="59" t="n">
        <x:v>1.26153</x:v>
      </x:c>
      <x:c r="G12" s="59" t="str">
        <x:f>IF(MAX(C12:E12)=C12,"X",IF(MAX(C12:E12)=D12,"Y","Z"))</x:f>
        <x:v>Y</x:v>
      </x:c>
      <x:c r="H12" s="59" t="n">
        <x:v>0.2916</x:v>
      </x:c>
      <x:c r="I12" s="59" t="n">
        <x:v>0.8966</x:v>
      </x:c>
      <x:c r="J12" s="59" t="n">
        <x:v>0.3331</x:v>
      </x:c>
    </x:row>
    <x:row r="13">
      <x:c r="A13" s="57" t="n">
        <x:v>125</x:v>
      </x:c>
      <x:c r="B13" s="57" t="n">
        <x:v>13</x:v>
      </x:c>
      <x:c r="C13" s="59" t="n">
        <x:v>0.50899</x:v>
      </x:c>
      <x:c r="D13" s="59" t="n">
        <x:v>1.56406</x:v>
      </x:c>
      <x:c r="E13" s="59" t="n">
        <x:v>0.50429</x:v>
      </x:c>
      <x:c r="F13" s="59" t="n">
        <x:v>1.72055</x:v>
      </x:c>
      <x:c r="G13" s="59" t="str">
        <x:f>IF(MAX(C13:E13)=C13,"X",IF(MAX(C13:E13)=D13,"Y","Z"))</x:f>
        <x:v>Y</x:v>
      </x:c>
      <x:c r="H13" s="59" t="n">
        <x:v>0.2958</x:v>
      </x:c>
      <x:c r="I13" s="59" t="n">
        <x:v>0.909</x:v>
      </x:c>
      <x:c r="J13" s="59" t="n">
        <x:v>0.2931</x:v>
      </x:c>
    </x:row>
    <x:row r="14">
      <x:c r="A14" s="57" t="n">
        <x:v>125</x:v>
      </x:c>
      <x:c r="B14" s="57" t="n">
        <x:v>14</x:v>
      </x:c>
      <x:c r="C14" s="59" t="n">
        <x:v>0.63429</x:v>
      </x:c>
      <x:c r="D14" s="59" t="n">
        <x:v>1.87806</x:v>
      </x:c>
      <x:c r="E14" s="59" t="n">
        <x:v>0.5902</x:v>
      </x:c>
      <x:c r="F14" s="59" t="n">
        <x:v>2.06833</x:v>
      </x:c>
      <x:c r="G14" s="59" t="str">
        <x:f>IF(MAX(C14:E14)=C14,"X",IF(MAX(C14:E14)=D14,"Y","Z"))</x:f>
        <x:v>Y</x:v>
      </x:c>
      <x:c r="H14" s="59" t="n">
        <x:v>0.3067</x:v>
      </x:c>
      <x:c r="I14" s="59" t="n">
        <x:v>0.908</x:v>
      </x:c>
      <x:c r="J14" s="59" t="n">
        <x:v>0.2854</x:v>
      </x:c>
    </x:row>
    <x:row r="15">
      <x:c r="A15" s="57" t="n">
        <x:v>125</x:v>
      </x:c>
      <x:c r="B15" s="57" t="n">
        <x:v>15</x:v>
      </x:c>
      <x:c r="C15" s="59" t="n">
        <x:v>0.79395</x:v>
      </x:c>
      <x:c r="D15" s="59" t="n">
        <x:v>2.26703</x:v>
      </x:c>
      <x:c r="E15" s="59" t="n">
        <x:v>0.70313</x:v>
      </x:c>
      <x:c r="F15" s="59" t="n">
        <x:v>2.50293</x:v>
      </x:c>
      <x:c r="G15" s="59" t="str">
        <x:f>IF(MAX(C15:E15)=C15,"X",IF(MAX(C15:E15)=D15,"Y","Z"))</x:f>
        <x:v>Y</x:v>
      </x:c>
      <x:c r="H15" s="59" t="n">
        <x:v>0.3172</x:v>
      </x:c>
      <x:c r="I15" s="59" t="n">
        <x:v>0.9057</x:v>
      </x:c>
      <x:c r="J15" s="59" t="n">
        <x:v>0.2809</x:v>
      </x:c>
    </x:row>
    <x:row r="16">
      <x:c r="A16" s="57" t="n">
        <x:v>150</x:v>
      </x:c>
      <x:c r="B16" s="57" t="n">
        <x:v>10</x:v>
      </x:c>
      <x:c r="C16" s="59" t="n">
        <x:v>0.02435</x:v>
      </x:c>
      <x:c r="D16" s="59" t="n">
        <x:v>0.10561</x:v>
      </x:c>
      <x:c r="E16" s="59" t="n">
        <x:v>0.14192</x:v>
      </x:c>
      <x:c r="F16" s="59" t="n">
        <x:v>0.17939</x:v>
      </x:c>
      <x:c r="G16" s="59" t="str">
        <x:f>IF(MAX(C16:E16)=C16,"X",IF(MAX(C16:E16)=D16,"Y","Z"))</x:f>
        <x:v>Z</x:v>
      </x:c>
      <x:c r="H16" s="59" t="n">
        <x:v>0.1357</x:v>
      </x:c>
      <x:c r="I16" s="59" t="n">
        <x:v>0.5887</x:v>
      </x:c>
      <x:c r="J16" s="59" t="n">
        <x:v>0.7911</x:v>
      </x:c>
    </x:row>
    <x:row r="17">
      <x:c r="A17" s="57" t="n">
        <x:v>150</x:v>
      </x:c>
      <x:c r="B17" s="57" t="n">
        <x:v>11</x:v>
      </x:c>
      <x:c r="C17" s="59" t="n">
        <x:v>0.02371</x:v>
      </x:c>
      <x:c r="D17" s="59" t="n">
        <x:v>0.12261</x:v>
      </x:c>
      <x:c r="E17" s="59" t="n">
        <x:v>0.16514</x:v>
      </x:c>
      <x:c r="F17" s="59" t="n">
        <x:v>0.20766</x:v>
      </x:c>
      <x:c r="G17" s="59" t="str">
        <x:f>IF(MAX(C17:E17)=C17,"X",IF(MAX(C17:E17)=D17,"Y","Z"))</x:f>
        <x:v>Z</x:v>
      </x:c>
      <x:c r="H17" s="59" t="n">
        <x:v>0.1142</x:v>
      </x:c>
      <x:c r="I17" s="59" t="n">
        <x:v>0.5905</x:v>
      </x:c>
      <x:c r="J17" s="59" t="n">
        <x:v>0.7952</x:v>
      </x:c>
    </x:row>
    <x:row r="18">
      <x:c r="A18" s="57" t="n">
        <x:v>150</x:v>
      </x:c>
      <x:c r="B18" s="57" t="n">
        <x:v>12</x:v>
      </x:c>
      <x:c r="C18" s="59" t="n">
        <x:v>0.03756</x:v>
      </x:c>
      <x:c r="D18" s="59" t="n">
        <x:v>0.13965</x:v>
      </x:c>
      <x:c r="E18" s="59" t="n">
        <x:v>0.18543</x:v>
      </x:c>
      <x:c r="F18" s="59" t="n">
        <x:v>0.23703</x:v>
      </x:c>
      <x:c r="G18" s="59" t="str">
        <x:f>IF(MAX(C18:E18)=C18,"X",IF(MAX(C18:E18)=D18,"Y","Z"))</x:f>
        <x:v>Z</x:v>
      </x:c>
      <x:c r="H18" s="59" t="n">
        <x:v>0.1585</x:v>
      </x:c>
      <x:c r="I18" s="59" t="n">
        <x:v>0.5892</x:v>
      </x:c>
      <x:c r="J18" s="59" t="n">
        <x:v>0.7823</x:v>
      </x:c>
    </x:row>
    <x:row r="19">
      <x:c r="A19" s="57" t="n">
        <x:v>150</x:v>
      </x:c>
      <x:c r="B19" s="57" t="n">
        <x:v>13</x:v>
      </x:c>
      <x:c r="C19" s="59" t="n">
        <x:v>0.15517</x:v>
      </x:c>
      <x:c r="D19" s="59" t="n">
        <x:v>0.57488</x:v>
      </x:c>
      <x:c r="E19" s="59" t="n">
        <x:v>0.58432</x:v>
      </x:c>
      <x:c r="F19" s="59" t="n">
        <x:v>0.83458</x:v>
      </x:c>
      <x:c r="G19" s="59" t="str">
        <x:f>IF(MAX(C19:E19)=C19,"X",IF(MAX(C19:E19)=D19,"Y","Z"))</x:f>
        <x:v>Z</x:v>
      </x:c>
      <x:c r="H19" s="59" t="n">
        <x:v>0.1859</x:v>
      </x:c>
      <x:c r="I19" s="59" t="n">
        <x:v>0.6888</x:v>
      </x:c>
      <x:c r="J19" s="59" t="n">
        <x:v>0.7001</x:v>
      </x:c>
    </x:row>
    <x:row r="20">
      <x:c r="A20" s="57" t="n">
        <x:v>150</x:v>
      </x:c>
      <x:c r="B20" s="57" t="n">
        <x:v>14</x:v>
      </x:c>
      <x:c r="C20" s="59" t="n">
        <x:v>0.2403</x:v>
      </x:c>
      <x:c r="D20" s="59" t="n">
        <x:v>0.76388</x:v>
      </x:c>
      <x:c r="E20" s="59" t="n">
        <x:v>0.71499</x:v>
      </x:c>
      <x:c r="F20" s="59" t="n">
        <x:v>1.07367</x:v>
      </x:c>
      <x:c r="G20" s="59" t="str">
        <x:f>IF(MAX(C20:E20)=C20,"X",IF(MAX(C20:E20)=D20,"Y","Z"))</x:f>
        <x:v>Y</x:v>
      </x:c>
      <x:c r="H20" s="59" t="n">
        <x:v>0.2238</x:v>
      </x:c>
      <x:c r="I20" s="59" t="n">
        <x:v>0.7115</x:v>
      </x:c>
      <x:c r="J20" s="59" t="n">
        <x:v>0.6659</x:v>
      </x:c>
    </x:row>
    <x:row r="21">
      <x:c r="A21" s="57" t="n">
        <x:v>150</x:v>
      </x:c>
      <x:c r="B21" s="57" t="n">
        <x:v>15</x:v>
      </x:c>
      <x:c r="C21" s="59" t="n">
        <x:v>0.30715</x:v>
      </x:c>
      <x:c r="D21" s="59" t="n">
        <x:v>0.92824</x:v>
      </x:c>
      <x:c r="E21" s="59" t="n">
        <x:v>0.80842</x:v>
      </x:c>
      <x:c r="F21" s="59" t="n">
        <x:v>1.26878</x:v>
      </x:c>
      <x:c r="G21" s="59" t="str">
        <x:f>IF(MAX(C21:E21)=C21,"X",IF(MAX(C21:E21)=D21,"Y","Z"))</x:f>
        <x:v>Y</x:v>
      </x:c>
      <x:c r="H21" s="59" t="n">
        <x:v>0.2421</x:v>
      </x:c>
      <x:c r="I21" s="59" t="n">
        <x:v>0.7316</x:v>
      </x:c>
      <x:c r="J21" s="59" t="n">
        <x:v>0.6372</x:v>
      </x:c>
    </x:row>
    <x:row r="22">
      <x:c r="A22" s="57" t="n">
        <x:v>175</x:v>
      </x:c>
      <x:c r="B22" s="57" t="n">
        <x:v>10</x:v>
      </x:c>
      <x:c r="C22" s="59" t="n">
        <x:v>0.02837</x:v>
      </x:c>
      <x:c r="D22" s="59" t="n">
        <x:v>0.09323</x:v>
      </x:c>
      <x:c r="E22" s="59" t="n">
        <x:v>0.26175</x:v>
      </x:c>
      <x:c r="F22" s="59" t="n">
        <x:v>0.27953</x:v>
      </x:c>
      <x:c r="G22" s="59" t="str">
        <x:f>IF(MAX(C22:E22)=C22,"X",IF(MAX(C22:E22)=D22,"Y","Z"))</x:f>
        <x:v>Z</x:v>
      </x:c>
      <x:c r="H22" s="59" t="n">
        <x:v>0.1015</x:v>
      </x:c>
      <x:c r="I22" s="59" t="n">
        <x:v>0.3335</x:v>
      </x:c>
      <x:c r="J22" s="59" t="n">
        <x:v>0.9364</x:v>
      </x:c>
    </x:row>
    <x:row r="23">
      <x:c r="A23" s="57" t="n">
        <x:v>175</x:v>
      </x:c>
      <x:c r="B23" s="57" t="n">
        <x:v>11</x:v>
      </x:c>
      <x:c r="C23" s="59" t="n">
        <x:v>0.01662</x:v>
      </x:c>
      <x:c r="D23" s="59" t="n">
        <x:v>0.10453</x:v>
      </x:c>
      <x:c r="E23" s="59" t="n">
        <x:v>0.30712</x:v>
      </x:c>
      <x:c r="F23" s="59" t="n">
        <x:v>0.32541</x:v>
      </x:c>
      <x:c r="G23" s="59" t="str">
        <x:f>IF(MAX(C23:E23)=C23,"X",IF(MAX(C23:E23)=D23,"Y","Z"))</x:f>
        <x:v>Z</x:v>
      </x:c>
      <x:c r="H23" s="59" t="n">
        <x:v>0.0511</x:v>
      </x:c>
      <x:c r="I23" s="59" t="n">
        <x:v>0.3212</x:v>
      </x:c>
      <x:c r="J23" s="59" t="n">
        <x:v>0.9438</x:v>
      </x:c>
    </x:row>
    <x:row r="24">
      <x:c r="A24" s="57" t="n">
        <x:v>175</x:v>
      </x:c>
      <x:c r="B24" s="57" t="n">
        <x:v>12</x:v>
      </x:c>
      <x:c r="C24" s="59" t="n">
        <x:v>0.02519</x:v>
      </x:c>
      <x:c r="D24" s="59" t="n">
        <x:v>0.12771</x:v>
      </x:c>
      <x:c r="E24" s="59" t="n">
        <x:v>0.3308</x:v>
      </x:c>
      <x:c r="F24" s="59" t="n">
        <x:v>0.35621</x:v>
      </x:c>
      <x:c r="G24" s="59" t="str">
        <x:f>IF(MAX(C24:E24)=C24,"X",IF(MAX(C24:E24)=D24,"Y","Z"))</x:f>
        <x:v>Z</x:v>
      </x:c>
      <x:c r="H24" s="59" t="n">
        <x:v>0.0707</x:v>
      </x:c>
      <x:c r="I24" s="59" t="n">
        <x:v>0.3585</x:v>
      </x:c>
      <x:c r="J24" s="59" t="n">
        <x:v>0.9287</x:v>
      </x:c>
    </x:row>
    <x:row r="25">
      <x:c r="A25" s="57" t="n">
        <x:v>175</x:v>
      </x:c>
      <x:c r="B25" s="57" t="n">
        <x:v>13</x:v>
      </x:c>
      <x:c r="C25" s="59" t="n">
        <x:v>0.02312</x:v>
      </x:c>
      <x:c r="D25" s="59" t="n">
        <x:v>0.14219</x:v>
      </x:c>
      <x:c r="E25" s="59" t="n">
        <x:v>0.36051</x:v>
      </x:c>
      <x:c r="F25" s="59" t="n">
        <x:v>0.39009</x:v>
      </x:c>
      <x:c r="G25" s="59" t="str">
        <x:f>IF(MAX(C25:E25)=C25,"X",IF(MAX(C25:E25)=D25,"Y","Z"))</x:f>
        <x:v>Z</x:v>
      </x:c>
      <x:c r="H25" s="59" t="n">
        <x:v>0.0593</x:v>
      </x:c>
      <x:c r="I25" s="59" t="n">
        <x:v>0.3645</x:v>
      </x:c>
      <x:c r="J25" s="59" t="n">
        <x:v>0.9242</x:v>
      </x:c>
    </x:row>
    <x:row r="26">
      <x:c r="A26" s="57" t="n">
        <x:v>175</x:v>
      </x:c>
      <x:c r="B26" s="57" t="n">
        <x:v>14</x:v>
      </x:c>
      <x:c r="C26" s="59" t="n">
        <x:v>0.02677</x:v>
      </x:c>
      <x:c r="D26" s="59" t="n">
        <x:v>0.15306</x:v>
      </x:c>
      <x:c r="E26" s="59" t="n">
        <x:v>0.39136</x:v>
      </x:c>
      <x:c r="F26" s="59" t="n">
        <x:v>0.4223</x:v>
      </x:c>
      <x:c r="G26" s="59" t="str">
        <x:f>IF(MAX(C26:E26)=C26,"X",IF(MAX(C26:E26)=D26,"Y","Z"))</x:f>
        <x:v>Z</x:v>
      </x:c>
      <x:c r="H26" s="59" t="n">
        <x:v>0.0634</x:v>
      </x:c>
      <x:c r="I26" s="59" t="n">
        <x:v>0.3625</x:v>
      </x:c>
      <x:c r="J26" s="59" t="n">
        <x:v>0.9267</x:v>
      </x:c>
    </x:row>
    <x:row r="27">
      <x:c r="A27" s="57" t="n">
        <x:v>175</x:v>
      </x:c>
      <x:c r="B27" s="57" t="n">
        <x:v>15</x:v>
      </x:c>
      <x:c r="C27" s="59" t="n">
        <x:v>0.02367</x:v>
      </x:c>
      <x:c r="D27" s="59" t="n">
        <x:v>0.19369</x:v>
      </x:c>
      <x:c r="E27" s="59" t="n">
        <x:v>0.48801</x:v>
      </x:c>
      <x:c r="F27" s="59" t="n">
        <x:v>0.52734</x:v>
      </x:c>
      <x:c r="G27" s="59" t="str">
        <x:f>IF(MAX(C27:E27)=C27,"X",IF(MAX(C27:E27)=D27,"Y","Z"))</x:f>
        <x:v>Z</x:v>
      </x:c>
      <x:c r="H27" s="59" t="n">
        <x:v>0.0449</x:v>
      </x:c>
      <x:c r="I27" s="59" t="n">
        <x:v>0.3673</x:v>
      </x:c>
      <x:c r="J27" s="59" t="n">
        <x:v>0.9254</x:v>
      </x:c>
    </x:row>
    <x:row r="28">
      <x:c r="A28" s="57" t="n">
        <x:v>200</x:v>
      </x:c>
      <x:c r="B28" s="57" t="n">
        <x:v>10</x:v>
      </x:c>
      <x:c r="C28" s="59" t="n">
        <x:v>0.03443</x:v>
      </x:c>
      <x:c r="D28" s="59" t="n">
        <x:v>0.12198</x:v>
      </x:c>
      <x:c r="E28" s="59" t="n">
        <x:v>0.35496</x:v>
      </x:c>
      <x:c r="F28" s="59" t="n">
        <x:v>0.37754</x:v>
      </x:c>
      <x:c r="G28" s="59" t="str">
        <x:f>IF(MAX(C28:E28)=C28,"X",IF(MAX(C28:E28)=D28,"Y","Z"))</x:f>
        <x:v>Z</x:v>
      </x:c>
      <x:c r="H28" s="59" t="n">
        <x:v>0.0912</x:v>
      </x:c>
      <x:c r="I28" s="59" t="n">
        <x:v>0.3231</x:v>
      </x:c>
      <x:c r="J28" s="59" t="n">
        <x:v>0.9402</x:v>
      </x:c>
    </x:row>
    <x:row r="29">
      <x:c r="A29" s="57" t="n">
        <x:v>200</x:v>
      </x:c>
      <x:c r="B29" s="57" t="n">
        <x:v>11</x:v>
      </x:c>
      <x:c r="C29" s="59" t="n">
        <x:v>0.02802</x:v>
      </x:c>
      <x:c r="D29" s="59" t="n">
        <x:v>0.14224</x:v>
      </x:c>
      <x:c r="E29" s="59" t="n">
        <x:v>0.39975</x:v>
      </x:c>
      <x:c r="F29" s="59" t="n">
        <x:v>0.42565</x:v>
      </x:c>
      <x:c r="G29" s="59" t="str">
        <x:f>IF(MAX(C29:E29)=C29,"X",IF(MAX(C29:E29)=D29,"Y","Z"))</x:f>
        <x:v>Z</x:v>
      </x:c>
      <x:c r="H29" s="59" t="n">
        <x:v>0.0658</x:v>
      </x:c>
      <x:c r="I29" s="59" t="n">
        <x:v>0.3342</x:v>
      </x:c>
      <x:c r="J29" s="59" t="n">
        <x:v>0.9392</x:v>
      </x:c>
    </x:row>
    <x:row r="30">
      <x:c r="A30" s="57" t="n">
        <x:v>200</x:v>
      </x:c>
      <x:c r="B30" s="57" t="n">
        <x:v>12</x:v>
      </x:c>
      <x:c r="C30" s="59" t="n">
        <x:v>0.02202</x:v>
      </x:c>
      <x:c r="D30" s="59" t="n">
        <x:v>0.14342</x:v>
      </x:c>
      <x:c r="E30" s="59" t="n">
        <x:v>0.44218</x:v>
      </x:c>
      <x:c r="F30" s="59" t="n">
        <x:v>0.46547</x:v>
      </x:c>
      <x:c r="G30" s="59" t="str">
        <x:f>IF(MAX(C30:E30)=C30,"X",IF(MAX(C30:E30)=D30,"Y","Z"))</x:f>
        <x:v>Z</x:v>
      </x:c>
      <x:c r="H30" s="59" t="n">
        <x:v>0.0473</x:v>
      </x:c>
      <x:c r="I30" s="59" t="n">
        <x:v>0.3081</x:v>
      </x:c>
      <x:c r="J30" s="59" t="n">
        <x:v>0.95</x:v>
      </x:c>
    </x:row>
    <x:row r="31">
      <x:c r="A31" s="57" t="n">
        <x:v>200</x:v>
      </x:c>
      <x:c r="B31" s="57" t="n">
        <x:v>13</x:v>
      </x:c>
      <x:c r="C31" s="59" t="n">
        <x:v>0.01348</x:v>
      </x:c>
      <x:c r="D31" s="59" t="n">
        <x:v>0.17755</x:v>
      </x:c>
      <x:c r="E31" s="59" t="n">
        <x:v>0.49018</x:v>
      </x:c>
      <x:c r="F31" s="59" t="n">
        <x:v>0.52193</x:v>
      </x:c>
      <x:c r="G31" s="59" t="str">
        <x:f>IF(MAX(C31:E31)=C31,"X",IF(MAX(C31:E31)=D31,"Y","Z"))</x:f>
        <x:v>Z</x:v>
      </x:c>
      <x:c r="H31" s="59" t="n">
        <x:v>0.0258</x:v>
      </x:c>
      <x:c r="I31" s="59" t="n">
        <x:v>0.3402</x:v>
      </x:c>
      <x:c r="J31" s="59" t="n">
        <x:v>0.9392</x:v>
      </x:c>
    </x:row>
    <x:row r="32">
      <x:c r="A32" s="57" t="n">
        <x:v>200</x:v>
      </x:c>
      <x:c r="B32" s="57" t="n">
        <x:v>14</x:v>
      </x:c>
      <x:c r="C32" s="59" t="n">
        <x:v>0.01617</x:v>
      </x:c>
      <x:c r="D32" s="59" t="n">
        <x:v>0.18289</x:v>
      </x:c>
      <x:c r="E32" s="59" t="n">
        <x:v>0.5253</x:v>
      </x:c>
      <x:c r="F32" s="59" t="n">
        <x:v>0.55658</x:v>
      </x:c>
      <x:c r="G32" s="59" t="str">
        <x:f>IF(MAX(C32:E32)=C32,"X",IF(MAX(C32:E32)=D32,"Y","Z"))</x:f>
        <x:v>Z</x:v>
      </x:c>
      <x:c r="H32" s="59" t="n">
        <x:v>0.029</x:v>
      </x:c>
      <x:c r="I32" s="59" t="n">
        <x:v>0.3286</x:v>
      </x:c>
      <x:c r="J32" s="59" t="n">
        <x:v>0.9438</x:v>
      </x:c>
    </x:row>
    <x:row r="33">
      <x:c r="A33" s="57" t="n">
        <x:v>200</x:v>
      </x:c>
      <x:c r="B33" s="57" t="n">
        <x:v>15</x:v>
      </x:c>
      <x:c r="C33" s="59" t="n">
        <x:v>0.02327</x:v>
      </x:c>
      <x:c r="D33" s="59" t="n">
        <x:v>0.20091</x:v>
      </x:c>
      <x:c r="E33" s="59" t="n">
        <x:v>0.58172</x:v>
      </x:c>
      <x:c r="F33" s="59" t="n">
        <x:v>0.61603</x:v>
      </x:c>
      <x:c r="G33" s="59" t="str">
        <x:f>IF(MAX(C33:E33)=C33,"X",IF(MAX(C33:E33)=D33,"Y","Z"))</x:f>
        <x:v>Z</x:v>
      </x:c>
      <x:c r="H33" s="59" t="n">
        <x:v>0.0378</x:v>
      </x:c>
      <x:c r="I33" s="59" t="n">
        <x:v>0.3261</x:v>
      </x:c>
      <x:c r="J33" s="59" t="n">
        <x:v>0.9443</x:v>
      </x:c>
    </x:row>
    <x:row r="34">
      <x:c r="A34" s="57" t="n">
        <x:v>225</x:v>
      </x:c>
      <x:c r="B34" s="57" t="n">
        <x:v>10</x:v>
      </x:c>
      <x:c r="C34" s="59" t="n">
        <x:v>0.02912</x:v>
      </x:c>
      <x:c r="D34" s="59" t="n">
        <x:v>0.17226</x:v>
      </x:c>
      <x:c r="E34" s="59" t="n">
        <x:v>0.25462</x:v>
      </x:c>
      <x:c r="F34" s="59" t="n">
        <x:v>0.30934</x:v>
      </x:c>
      <x:c r="G34" s="59" t="str">
        <x:f>IF(MAX(C34:E34)=C34,"X",IF(MAX(C34:E34)=D34,"Y","Z"))</x:f>
        <x:v>Z</x:v>
      </x:c>
      <x:c r="H34" s="59" t="n">
        <x:v>0.0941</x:v>
      </x:c>
      <x:c r="I34" s="59" t="n">
        <x:v>0.5569</x:v>
      </x:c>
      <x:c r="J34" s="59" t="n">
        <x:v>0.8231</x:v>
      </x:c>
    </x:row>
    <x:row r="35">
      <x:c r="A35" s="57" t="n">
        <x:v>225</x:v>
      </x:c>
      <x:c r="B35" s="57" t="n">
        <x:v>11</x:v>
      </x:c>
      <x:c r="C35" s="59" t="n">
        <x:v>0.03431</x:v>
      </x:c>
      <x:c r="D35" s="59" t="n">
        <x:v>0.21817</x:v>
      </x:c>
      <x:c r="E35" s="59" t="n">
        <x:v>0.29637</x:v>
      </x:c>
      <x:c r="F35" s="59" t="n">
        <x:v>0.37023</x:v>
      </x:c>
      <x:c r="G35" s="59" t="str">
        <x:f>IF(MAX(C35:E35)=C35,"X",IF(MAX(C35:E35)=D35,"Y","Z"))</x:f>
        <x:v>Z</x:v>
      </x:c>
      <x:c r="H35" s="59" t="n">
        <x:v>0.0927</x:v>
      </x:c>
      <x:c r="I35" s="59" t="n">
        <x:v>0.5893</x:v>
      </x:c>
      <x:c r="J35" s="59" t="n">
        <x:v>0.8005</x:v>
      </x:c>
    </x:row>
    <x:row r="36">
      <x:c r="A36" s="57" t="n">
        <x:v>225</x:v>
      </x:c>
      <x:c r="B36" s="57" t="n">
        <x:v>12</x:v>
      </x:c>
      <x:c r="C36" s="59" t="n">
        <x:v>0.03503</x:v>
      </x:c>
      <x:c r="D36" s="59" t="n">
        <x:v>0.21998</x:v>
      </x:c>
      <x:c r="E36" s="59" t="n">
        <x:v>0.33806</x:v>
      </x:c>
      <x:c r="F36" s="59" t="n">
        <x:v>0.40602</x:v>
      </x:c>
      <x:c r="G36" s="59" t="str">
        <x:f>IF(MAX(C36:E36)=C36,"X",IF(MAX(C36:E36)=D36,"Y","Z"))</x:f>
        <x:v>Z</x:v>
      </x:c>
      <x:c r="H36" s="59" t="n">
        <x:v>0.0863</x:v>
      </x:c>
      <x:c r="I36" s="59" t="n">
        <x:v>0.5418</x:v>
      </x:c>
      <x:c r="J36" s="59" t="n">
        <x:v>0.8326</x:v>
      </x:c>
    </x:row>
    <x:row r="37">
      <x:c r="A37" s="57" t="n">
        <x:v>225</x:v>
      </x:c>
      <x:c r="B37" s="57" t="n">
        <x:v>13</x:v>
      </x:c>
      <x:c r="C37" s="59" t="n">
        <x:v>0.03017</x:v>
      </x:c>
      <x:c r="D37" s="59" t="n">
        <x:v>0.24237</x:v>
      </x:c>
      <x:c r="E37" s="59" t="n">
        <x:v>0.36402</x:v>
      </x:c>
      <x:c r="F37" s="59" t="n">
        <x:v>0.43918</x:v>
      </x:c>
      <x:c r="G37" s="59" t="str">
        <x:f>IF(MAX(C37:E37)=C37,"X",IF(MAX(C37:E37)=D37,"Y","Z"))</x:f>
        <x:v>Z</x:v>
      </x:c>
      <x:c r="H37" s="59" t="n">
        <x:v>0.0687</x:v>
      </x:c>
      <x:c r="I37" s="59" t="n">
        <x:v>0.5519</x:v>
      </x:c>
      <x:c r="J37" s="59" t="n">
        <x:v>0.8289</x:v>
      </x:c>
    </x:row>
    <x:row r="38">
      <x:c r="A38" s="57" t="n">
        <x:v>225</x:v>
      </x:c>
      <x:c r="B38" s="57" t="n">
        <x:v>14</x:v>
      </x:c>
      <x:c r="C38" s="59" t="n">
        <x:v>0.03888</x:v>
      </x:c>
      <x:c r="D38" s="59" t="n">
        <x:v>0.27116</x:v>
      </x:c>
      <x:c r="E38" s="59" t="n">
        <x:v>0.39951</x:v>
      </x:c>
      <x:c r="F38" s="59" t="n">
        <x:v>0.48479</x:v>
      </x:c>
      <x:c r="G38" s="59" t="str">
        <x:f>IF(MAX(C38:E38)=C38,"X",IF(MAX(C38:E38)=D38,"Y","Z"))</x:f>
        <x:v>Z</x:v>
      </x:c>
      <x:c r="H38" s="59" t="n">
        <x:v>0.0802</x:v>
      </x:c>
      <x:c r="I38" s="59" t="n">
        <x:v>0.5593</x:v>
      </x:c>
      <x:c r="J38" s="59" t="n">
        <x:v>0.8241</x:v>
      </x:c>
    </x:row>
    <x:row r="39">
      <x:c r="A39" s="57" t="n">
        <x:v>225</x:v>
      </x:c>
      <x:c r="B39" s="57" t="n">
        <x:v>15</x:v>
      </x:c>
      <x:c r="C39" s="59" t="n">
        <x:v>0.03635</x:v>
      </x:c>
      <x:c r="D39" s="59" t="n">
        <x:v>0.28218</x:v>
      </x:c>
      <x:c r="E39" s="59" t="n">
        <x:v>0.43474</x:v>
      </x:c>
      <x:c r="F39" s="59" t="n">
        <x:v>0.51993</x:v>
      </x:c>
      <x:c r="G39" s="59" t="str">
        <x:f>IF(MAX(C39:E39)=C39,"X",IF(MAX(C39:E39)=D39,"Y","Z"))</x:f>
        <x:v>Z</x:v>
      </x:c>
      <x:c r="H39" s="59" t="n">
        <x:v>0.0699</x:v>
      </x:c>
      <x:c r="I39" s="59" t="n">
        <x:v>0.5427</x:v>
      </x:c>
      <x:c r="J39" s="59" t="n">
        <x:v>0.8362</x:v>
      </x:c>
    </x:row>
    <x:row r="40">
      <x:c r="A40" s="57" t="n">
        <x:v>250</x:v>
      </x:c>
      <x:c r="B40" s="57" t="n">
        <x:v>10</x:v>
      </x:c>
      <x:c r="C40" s="59" t="n">
        <x:v>0.04737</x:v>
      </x:c>
      <x:c r="D40" s="59" t="n">
        <x:v>0.26909</x:v>
      </x:c>
      <x:c r="E40" s="59" t="n">
        <x:v>0.53948</x:v>
      </x:c>
      <x:c r="F40" s="59" t="n">
        <x:v>0.60838</x:v>
      </x:c>
      <x:c r="G40" s="59" t="str">
        <x:f>IF(MAX(C40:E40)=C40,"X",IF(MAX(C40:E40)=D40,"Y","Z"))</x:f>
        <x:v>Z</x:v>
      </x:c>
      <x:c r="H40" s="59" t="n">
        <x:v>0.0779</x:v>
      </x:c>
      <x:c r="I40" s="59" t="n">
        <x:v>0.4423</x:v>
      </x:c>
      <x:c r="J40" s="59" t="n">
        <x:v>0.8868</x:v>
      </x:c>
    </x:row>
    <x:row r="41">
      <x:c r="A41" s="57" t="n">
        <x:v>250</x:v>
      </x:c>
      <x:c r="B41" s="57" t="n">
        <x:v>11</x:v>
      </x:c>
      <x:c r="C41" s="59" t="n">
        <x:v>0.07181</x:v>
      </x:c>
      <x:c r="D41" s="59" t="n">
        <x:v>0.26745</x:v>
      </x:c>
      <x:c r="E41" s="59" t="n">
        <x:v>0.59796</x:v>
      </x:c>
      <x:c r="F41" s="59" t="n">
        <x:v>0.66363</x:v>
      </x:c>
      <x:c r="G41" s="59" t="str">
        <x:f>IF(MAX(C41:E41)=C41,"X",IF(MAX(C41:E41)=D41,"Y","Z"))</x:f>
        <x:v>Z</x:v>
      </x:c>
      <x:c r="H41" s="59" t="n">
        <x:v>0.1082</x:v>
      </x:c>
      <x:c r="I41" s="59" t="n">
        <x:v>0.403</x:v>
      </x:c>
      <x:c r="J41" s="59" t="n">
        <x:v>0.901</x:v>
      </x:c>
    </x:row>
    <x:row r="42">
      <x:c r="A42" s="57" t="n">
        <x:v>250</x:v>
      </x:c>
      <x:c r="B42" s="57" t="n">
        <x:v>12</x:v>
      </x:c>
      <x:c r="C42" s="59" t="n">
        <x:v>0.08014</x:v>
      </x:c>
      <x:c r="D42" s="59" t="n">
        <x:v>0.29112</x:v>
      </x:c>
      <x:c r="E42" s="59" t="n">
        <x:v>0.65061</x:v>
      </x:c>
      <x:c r="F42" s="59" t="n">
        <x:v>0.72237</x:v>
      </x:c>
      <x:c r="G42" s="59" t="str">
        <x:f>IF(MAX(C42:E42)=C42,"X",IF(MAX(C42:E42)=D42,"Y","Z"))</x:f>
        <x:v>Z</x:v>
      </x:c>
      <x:c r="H42" s="59" t="n">
        <x:v>0.1109</x:v>
      </x:c>
      <x:c r="I42" s="59" t="n">
        <x:v>0.403</x:v>
      </x:c>
      <x:c r="J42" s="59" t="n">
        <x:v>0.9007</x:v>
      </x:c>
    </x:row>
    <x:row r="43">
      <x:c r="A43" s="57" t="n">
        <x:v>250</x:v>
      </x:c>
      <x:c r="B43" s="57" t="n">
        <x:v>13</x:v>
      </x:c>
      <x:c r="C43" s="59" t="n">
        <x:v>0.07325</x:v>
      </x:c>
      <x:c r="D43" s="59" t="n">
        <x:v>0.37631</x:v>
      </x:c>
      <x:c r="E43" s="59" t="n">
        <x:v>0.69531</x:v>
      </x:c>
      <x:c r="F43" s="59" t="n">
        <x:v>0.79558</x:v>
      </x:c>
      <x:c r="G43" s="59" t="str">
        <x:f>IF(MAX(C43:E43)=C43,"X",IF(MAX(C43:E43)=D43,"Y","Z"))</x:f>
        <x:v>Z</x:v>
      </x:c>
      <x:c r="H43" s="59" t="n">
        <x:v>0.0921</x:v>
      </x:c>
      <x:c r="I43" s="59" t="n">
        <x:v>0.473</x:v>
      </x:c>
      <x:c r="J43" s="59" t="n">
        <x:v>0.874</x:v>
      </x:c>
    </x:row>
    <x:row r="44">
      <x:c r="A44" s="57" t="n">
        <x:v>250</x:v>
      </x:c>
      <x:c r="B44" s="57" t="n">
        <x:v>14</x:v>
      </x:c>
      <x:c r="C44" s="59" t="n">
        <x:v>0.08008</x:v>
      </x:c>
      <x:c r="D44" s="59" t="n">
        <x:v>0.37511</x:v>
      </x:c>
      <x:c r="E44" s="59" t="n">
        <x:v>0.75536</x:v>
      </x:c>
      <x:c r="F44" s="59" t="n">
        <x:v>0.85091</x:v>
      </x:c>
      <x:c r="G44" s="59" t="str">
        <x:f>IF(MAX(C44:E44)=C44,"X",IF(MAX(C44:E44)=D44,"Y","Z"))</x:f>
        <x:v>Z</x:v>
      </x:c>
      <x:c r="H44" s="59" t="n">
        <x:v>0.0941</x:v>
      </x:c>
      <x:c r="I44" s="59" t="n">
        <x:v>0.4408</x:v>
      </x:c>
      <x:c r="J44" s="59" t="n">
        <x:v>0.8877</x:v>
      </x:c>
    </x:row>
    <x:row r="45">
      <x:c r="A45" s="57" t="n">
        <x:v>250</x:v>
      </x:c>
      <x:c r="B45" s="57" t="n">
        <x:v>15</x:v>
      </x:c>
      <x:c r="C45" s="59" t="n">
        <x:v>0.0975</x:v>
      </x:c>
      <x:c r="D45" s="59" t="n">
        <x:v>0.40939</x:v>
      </x:c>
      <x:c r="E45" s="59" t="n">
        <x:v>0.7997</x:v>
      </x:c>
      <x:c r="F45" s="59" t="n">
        <x:v>0.90656</x:v>
      </x:c>
      <x:c r="G45" s="59" t="str">
        <x:f>IF(MAX(C45:E45)=C45,"X",IF(MAX(C45:E45)=D45,"Y","Z"))</x:f>
        <x:v>Z</x:v>
      </x:c>
      <x:c r="H45" s="59" t="n">
        <x:v>0.1076</x:v>
      </x:c>
      <x:c r="I45" s="59" t="n">
        <x:v>0.4516</x:v>
      </x:c>
      <x:c r="J45" s="59" t="n">
        <x:v>0.8821</x:v>
      </x:c>
    </x:row>
    <x:row r="46">
      <x:c r="A46" s="57" t="n">
        <x:v>275</x:v>
      </x:c>
      <x:c r="B46" s="57" t="n">
        <x:v>10</x:v>
      </x:c>
      <x:c r="C46" s="59" t="n">
        <x:v>0.11984</x:v>
      </x:c>
      <x:c r="D46" s="59" t="n">
        <x:v>0.28688</x:v>
      </x:c>
      <x:c r="E46" s="59" t="n">
        <x:v>0.67702</x:v>
      </x:c>
      <x:c r="F46" s="59" t="n">
        <x:v>0.74558</x:v>
      </x:c>
      <x:c r="G46" s="59" t="str">
        <x:f>IF(MAX(C46:E46)=C46,"X",IF(MAX(C46:E46)=D46,"Y","Z"))</x:f>
        <x:v>Z</x:v>
      </x:c>
      <x:c r="H46" s="59" t="n">
        <x:v>0.1607</x:v>
      </x:c>
      <x:c r="I46" s="59" t="n">
        <x:v>0.3848</x:v>
      </x:c>
      <x:c r="J46" s="59" t="n">
        <x:v>0.908</x:v>
      </x:c>
    </x:row>
    <x:row r="47">
      <x:c r="A47" s="57" t="n">
        <x:v>275</x:v>
      </x:c>
      <x:c r="B47" s="57" t="n">
        <x:v>11</x:v>
      </x:c>
      <x:c r="C47" s="59" t="n">
        <x:v>0.12748</x:v>
      </x:c>
      <x:c r="D47" s="59" t="n">
        <x:v>0.3248</x:v>
      </x:c>
      <x:c r="E47" s="59" t="n">
        <x:v>0.7784</x:v>
      </x:c>
      <x:c r="F47" s="59" t="n">
        <x:v>0.8532</x:v>
      </x:c>
      <x:c r="G47" s="59" t="str">
        <x:f>IF(MAX(C47:E47)=C47,"X",IF(MAX(C47:E47)=D47,"Y","Z"))</x:f>
        <x:v>Z</x:v>
      </x:c>
      <x:c r="H47" s="59" t="n">
        <x:v>0.1494</x:v>
      </x:c>
      <x:c r="I47" s="59" t="n">
        <x:v>0.3807</x:v>
      </x:c>
      <x:c r="J47" s="59" t="n">
        <x:v>0.9123</x:v>
      </x:c>
    </x:row>
    <x:row r="48">
      <x:c r="A48" s="57" t="n">
        <x:v>275</x:v>
      </x:c>
      <x:c r="B48" s="57" t="n">
        <x:v>12</x:v>
      </x:c>
      <x:c r="C48" s="59" t="n">
        <x:v>0.15274</x:v>
      </x:c>
      <x:c r="D48" s="59" t="n">
        <x:v>0.3539</x:v>
      </x:c>
      <x:c r="E48" s="59" t="n">
        <x:v>0.83416</x:v>
      </x:c>
      <x:c r="F48" s="59" t="n">
        <x:v>0.91966</x:v>
      </x:c>
      <x:c r="G48" s="59" t="str">
        <x:f>IF(MAX(C48:E48)=C48,"X",IF(MAX(C48:E48)=D48,"Y","Z"))</x:f>
        <x:v>Z</x:v>
      </x:c>
      <x:c r="H48" s="59" t="n">
        <x:v>0.1661</x:v>
      </x:c>
      <x:c r="I48" s="59" t="n">
        <x:v>0.3848</x:v>
      </x:c>
      <x:c r="J48" s="59" t="n">
        <x:v>0.907</x:v>
      </x:c>
    </x:row>
    <x:row r="49">
      <x:c r="A49" s="57" t="n">
        <x:v>275</x:v>
      </x:c>
      <x:c r="B49" s="57" t="n">
        <x:v>13</x:v>
      </x:c>
      <x:c r="C49" s="59" t="n">
        <x:v>0.15189</x:v>
      </x:c>
      <x:c r="D49" s="59" t="n">
        <x:v>0.41263</x:v>
      </x:c>
      <x:c r="E49" s="59" t="n">
        <x:v>0.9097</x:v>
      </x:c>
      <x:c r="F49" s="59" t="n">
        <x:v>1.01068</x:v>
      </x:c>
      <x:c r="G49" s="59" t="str">
        <x:f>IF(MAX(C49:E49)=C49,"X",IF(MAX(C49:E49)=D49,"Y","Z"))</x:f>
        <x:v>Z</x:v>
      </x:c>
      <x:c r="H49" s="59" t="n">
        <x:v>0.1503</x:v>
      </x:c>
      <x:c r="I49" s="59" t="n">
        <x:v>0.4083</x:v>
      </x:c>
      <x:c r="J49" s="59" t="n">
        <x:v>0.9001</x:v>
      </x:c>
    </x:row>
    <x:row r="50">
      <x:c r="A50" s="57" t="n">
        <x:v>275</x:v>
      </x:c>
      <x:c r="B50" s="57" t="n">
        <x:v>14</x:v>
      </x:c>
      <x:c r="C50" s="59" t="n">
        <x:v>0.17025</x:v>
      </x:c>
      <x:c r="D50" s="59" t="n">
        <x:v>0.43518</x:v>
      </x:c>
      <x:c r="E50" s="59" t="n">
        <x:v>0.99126</x:v>
      </x:c>
      <x:c r="F50" s="59" t="n">
        <x:v>1.09613</x:v>
      </x:c>
      <x:c r="G50" s="59" t="str">
        <x:f>IF(MAX(C50:E50)=C50,"X",IF(MAX(C50:E50)=D50,"Y","Z"))</x:f>
        <x:v>Z</x:v>
      </x:c>
      <x:c r="H50" s="59" t="n">
        <x:v>0.1553</x:v>
      </x:c>
      <x:c r="I50" s="59" t="n">
        <x:v>0.397</x:v>
      </x:c>
      <x:c r="J50" s="59" t="n">
        <x:v>0.9043</x:v>
      </x:c>
    </x:row>
    <x:row r="51">
      <x:c r="A51" s="57" t="n">
        <x:v>275</x:v>
      </x:c>
      <x:c r="B51" s="57" t="n">
        <x:v>15</x:v>
      </x:c>
      <x:c r="C51" s="59" t="n">
        <x:v>0.1935</x:v>
      </x:c>
      <x:c r="D51" s="59" t="n">
        <x:v>0.50459</x:v>
      </x:c>
      <x:c r="E51" s="59" t="n">
        <x:v>1.0661</x:v>
      </x:c>
      <x:c r="F51" s="59" t="n">
        <x:v>1.19635</x:v>
      </x:c>
      <x:c r="G51" s="59" t="str">
        <x:f>IF(MAX(C51:E51)=C51,"X",IF(MAX(C51:E51)=D51,"Y","Z"))</x:f>
        <x:v>Z</x:v>
      </x:c>
      <x:c r="H51" s="59" t="n">
        <x:v>0.1617</x:v>
      </x:c>
      <x:c r="I51" s="59" t="n">
        <x:v>0.4218</x:v>
      </x:c>
      <x:c r="J51" s="59" t="n">
        <x:v>0.8911</x:v>
      </x:c>
    </x:row>
    <x:row r="52">
      <x:c r="A52" s="57" t="n">
        <x:v>300</x:v>
      </x:c>
      <x:c r="B52" s="57" t="n">
        <x:v>10</x:v>
      </x:c>
      <x:c r="C52" s="59" t="n">
        <x:v>0.23242</x:v>
      </x:c>
      <x:c r="D52" s="59" t="n">
        <x:v>0.3742</x:v>
      </x:c>
      <x:c r="E52" s="59" t="n">
        <x:v>0.62642</x:v>
      </x:c>
      <x:c r="F52" s="59" t="n">
        <x:v>0.76602</x:v>
      </x:c>
      <x:c r="G52" s="59" t="str">
        <x:f>IF(MAX(C52:E52)=C52,"X",IF(MAX(C52:E52)=D52,"Y","Z"))</x:f>
        <x:v>Z</x:v>
      </x:c>
      <x:c r="H52" s="59" t="n">
        <x:v>0.3034</x:v>
      </x:c>
      <x:c r="I52" s="59" t="n">
        <x:v>0.4885</x:v>
      </x:c>
      <x:c r="J52" s="59" t="n">
        <x:v>0.8178</x:v>
      </x:c>
    </x:row>
    <x:row r="53">
      <x:c r="A53" s="57" t="n">
        <x:v>300</x:v>
      </x:c>
      <x:c r="B53" s="57" t="n">
        <x:v>11</x:v>
      </x:c>
      <x:c r="C53" s="59" t="n">
        <x:v>0.2517</x:v>
      </x:c>
      <x:c r="D53" s="59" t="n">
        <x:v>0.43632</x:v>
      </x:c>
      <x:c r="E53" s="59" t="n">
        <x:v>0.67708</x:v>
      </x:c>
      <x:c r="F53" s="59" t="n">
        <x:v>0.84422</x:v>
      </x:c>
      <x:c r="G53" s="59" t="str">
        <x:f>IF(MAX(C53:E53)=C53,"X",IF(MAX(C53:E53)=D53,"Y","Z"))</x:f>
        <x:v>Z</x:v>
      </x:c>
      <x:c r="H53" s="59" t="n">
        <x:v>0.2981</x:v>
      </x:c>
      <x:c r="I53" s="59" t="n">
        <x:v>0.5168</x:v>
      </x:c>
      <x:c r="J53" s="59" t="n">
        <x:v>0.802</x:v>
      </x:c>
    </x:row>
    <x:row r="54">
      <x:c r="A54" s="57" t="n">
        <x:v>300</x:v>
      </x:c>
      <x:c r="B54" s="57" t="n">
        <x:v>12</x:v>
      </x:c>
      <x:c r="C54" s="59" t="n">
        <x:v>0.28444</x:v>
      </x:c>
      <x:c r="D54" s="59" t="n">
        <x:v>0.48143</x:v>
      </x:c>
      <x:c r="E54" s="59" t="n">
        <x:v>0.73669</x:v>
      </x:c>
      <x:c r="F54" s="59" t="n">
        <x:v>0.92513</x:v>
      </x:c>
      <x:c r="G54" s="59" t="str">
        <x:f>IF(MAX(C54:E54)=C54,"X",IF(MAX(C54:E54)=D54,"Y","Z"))</x:f>
        <x:v>Z</x:v>
      </x:c>
      <x:c r="H54" s="59" t="n">
        <x:v>0.3075</x:v>
      </x:c>
      <x:c r="I54" s="59" t="n">
        <x:v>0.5204</x:v>
      </x:c>
      <x:c r="J54" s="59" t="n">
        <x:v>0.7963</x:v>
      </x:c>
    </x:row>
    <x:row r="55">
      <x:c r="A55" s="57" t="n">
        <x:v>300</x:v>
      </x:c>
      <x:c r="B55" s="57" t="n">
        <x:v>13</x:v>
      </x:c>
      <x:c r="C55" s="59" t="n">
        <x:v>0.31419</x:v>
      </x:c>
      <x:c r="D55" s="59" t="n">
        <x:v>0.52991</x:v>
      </x:c>
      <x:c r="E55" s="59" t="n">
        <x:v>0.77607</x:v>
      </x:c>
      <x:c r="F55" s="59" t="n">
        <x:v>0.99104</x:v>
      </x:c>
      <x:c r="G55" s="59" t="str">
        <x:f>IF(MAX(C55:E55)=C55,"X",IF(MAX(C55:E55)=D55,"Y","Z"))</x:f>
        <x:v>Z</x:v>
      </x:c>
      <x:c r="H55" s="59" t="n">
        <x:v>0.317</x:v>
      </x:c>
      <x:c r="I55" s="59" t="n">
        <x:v>0.5347</x:v>
      </x:c>
      <x:c r="J55" s="59" t="n">
        <x:v>0.7831</x:v>
      </x:c>
    </x:row>
    <x:row r="56">
      <x:c r="A56" s="57" t="n">
        <x:v>300</x:v>
      </x:c>
      <x:c r="B56" s="57" t="n">
        <x:v>14</x:v>
      </x:c>
      <x:c r="C56" s="59" t="n">
        <x:v>0.35319</x:v>
      </x:c>
      <x:c r="D56" s="59" t="n">
        <x:v>0.56732</x:v>
      </x:c>
      <x:c r="E56" s="59" t="n">
        <x:v>0.83853</x:v>
      </x:c>
      <x:c r="F56" s="59" t="n">
        <x:v>1.07281</x:v>
      </x:c>
      <x:c r="G56" s="59" t="str">
        <x:f>IF(MAX(C56:E56)=C56,"X",IF(MAX(C56:E56)=D56,"Y","Z"))</x:f>
        <x:v>Z</x:v>
      </x:c>
      <x:c r="H56" s="59" t="n">
        <x:v>0.3292</x:v>
      </x:c>
      <x:c r="I56" s="59" t="n">
        <x:v>0.5288</x:v>
      </x:c>
      <x:c r="J56" s="59" t="n">
        <x:v>0.7816</x:v>
      </x:c>
    </x:row>
    <x:row r="57">
      <x:c r="A57" s="57" t="n">
        <x:v>300</x:v>
      </x:c>
      <x:c r="B57" s="57" t="n">
        <x:v>15</x:v>
      </x:c>
      <x:c r="C57" s="59" t="n">
        <x:v>0.37804</x:v>
      </x:c>
      <x:c r="D57" s="59" t="n">
        <x:v>0.63158</x:v>
      </x:c>
      <x:c r="E57" s="59" t="n">
        <x:v>0.87515</x:v>
      </x:c>
      <x:c r="F57" s="59" t="n">
        <x:v>1.1439</x:v>
      </x:c>
      <x:c r="G57" s="59" t="str">
        <x:f>IF(MAX(C57:E57)=C57,"X",IF(MAX(C57:E57)=D57,"Y","Z"))</x:f>
        <x:v>Z</x:v>
      </x:c>
      <x:c r="H57" s="59" t="n">
        <x:v>0.3305</x:v>
      </x:c>
      <x:c r="I57" s="59" t="n">
        <x:v>0.5521</x:v>
      </x:c>
      <x:c r="J57" s="59" t="n">
        <x:v>0.7651</x:v>
      </x:c>
    </x:row>
    <x:row r="58">
      <x:c r="A58" s="57" t="n">
        <x:v>325</x:v>
      </x:c>
      <x:c r="B58" s="57" t="n">
        <x:v>10</x:v>
      </x:c>
      <x:c r="C58" s="59" t="n">
        <x:v>0.28951</x:v>
      </x:c>
      <x:c r="D58" s="59" t="n">
        <x:v>0.46616</x:v>
      </x:c>
      <x:c r="E58" s="59" t="n">
        <x:v>0.09583</x:v>
      </x:c>
      <x:c r="F58" s="59" t="n">
        <x:v>0.55811</x:v>
      </x:c>
      <x:c r="G58" s="59" t="str">
        <x:f>IF(MAX(C58:E58)=C58,"X",IF(MAX(C58:E58)=D58,"Y","Z"))</x:f>
        <x:v>Y</x:v>
      </x:c>
      <x:c r="H58" s="59" t="n">
        <x:v>0.5187</x:v>
      </x:c>
      <x:c r="I58" s="59" t="n">
        <x:v>0.8353</x:v>
      </x:c>
      <x:c r="J58" s="59" t="n">
        <x:v>0.1717</x:v>
      </x:c>
    </x:row>
    <x:row r="59">
      <x:c r="A59" s="57" t="n">
        <x:v>325</x:v>
      </x:c>
      <x:c r="B59" s="57" t="n">
        <x:v>11</x:v>
      </x:c>
      <x:c r="C59" s="59" t="n">
        <x:v>0.32115</x:v>
      </x:c>
      <x:c r="D59" s="59" t="n">
        <x:v>0.51531</x:v>
      </x:c>
      <x:c r="E59" s="59" t="n">
        <x:v>0.11418</x:v>
      </x:c>
      <x:c r="F59" s="59" t="n">
        <x:v>0.61822</x:v>
      </x:c>
      <x:c r="G59" s="59" t="str">
        <x:f>IF(MAX(C59:E59)=C59,"X",IF(MAX(C59:E59)=D59,"Y","Z"))</x:f>
        <x:v>Y</x:v>
      </x:c>
      <x:c r="H59" s="59" t="n">
        <x:v>0.5195</x:v>
      </x:c>
      <x:c r="I59" s="59" t="n">
        <x:v>0.8335</x:v>
      </x:c>
      <x:c r="J59" s="59" t="n">
        <x:v>0.1847</x:v>
      </x:c>
    </x:row>
    <x:row r="60">
      <x:c r="A60" s="57" t="n">
        <x:v>325</x:v>
      </x:c>
      <x:c r="B60" s="57" t="n">
        <x:v>12</x:v>
      </x:c>
      <x:c r="C60" s="59" t="n">
        <x:v>0.34656</x:v>
      </x:c>
      <x:c r="D60" s="59" t="n">
        <x:v>0.56162</x:v>
      </x:c>
      <x:c r="E60" s="59" t="n">
        <x:v>0.14941</x:v>
      </x:c>
      <x:c r="F60" s="59" t="n">
        <x:v>0.67751</x:v>
      </x:c>
      <x:c r="G60" s="59" t="str">
        <x:f>IF(MAX(C60:E60)=C60,"X",IF(MAX(C60:E60)=D60,"Y","Z"))</x:f>
        <x:v>Y</x:v>
      </x:c>
      <x:c r="H60" s="59" t="n">
        <x:v>0.5115</x:v>
      </x:c>
      <x:c r="I60" s="59" t="n">
        <x:v>0.8289</x:v>
      </x:c>
      <x:c r="J60" s="59" t="n">
        <x:v>0.2205</x:v>
      </x:c>
    </x:row>
    <x:row r="61">
      <x:c r="A61" s="57" t="n">
        <x:v>325</x:v>
      </x:c>
      <x:c r="B61" s="57" t="n">
        <x:v>13</x:v>
      </x:c>
      <x:c r="C61" s="59" t="n">
        <x:v>0.37704</x:v>
      </x:c>
      <x:c r="D61" s="59" t="n">
        <x:v>0.6031</x:v>
      </x:c>
      <x:c r="E61" s="59" t="n">
        <x:v>0.15681</x:v>
      </x:c>
      <x:c r="F61" s="59" t="n">
        <x:v>0.72866</x:v>
      </x:c>
      <x:c r="G61" s="59" t="str">
        <x:f>IF(MAX(C61:E61)=C61,"X",IF(MAX(C61:E61)=D61,"Y","Z"))</x:f>
        <x:v>Y</x:v>
      </x:c>
      <x:c r="H61" s="59" t="n">
        <x:v>0.5174</x:v>
      </x:c>
      <x:c r="I61" s="59" t="n">
        <x:v>0.8277</x:v>
      </x:c>
      <x:c r="J61" s="59" t="n">
        <x:v>0.2152</x:v>
      </x:c>
    </x:row>
    <x:row r="62">
      <x:c r="A62" s="57" t="n">
        <x:v>325</x:v>
      </x:c>
      <x:c r="B62" s="57" t="n">
        <x:v>14</x:v>
      </x:c>
      <x:c r="C62" s="59" t="n">
        <x:v>0.42152</x:v>
      </x:c>
      <x:c r="D62" s="59" t="n">
        <x:v>0.65547</x:v>
      </x:c>
      <x:c r="E62" s="59" t="n">
        <x:v>0.1914</x:v>
      </x:c>
      <x:c r="F62" s="59" t="n">
        <x:v>0.80305</x:v>
      </x:c>
      <x:c r="G62" s="59" t="str">
        <x:f>IF(MAX(C62:E62)=C62,"X",IF(MAX(C62:E62)=D62,"Y","Z"))</x:f>
        <x:v>Y</x:v>
      </x:c>
      <x:c r="H62" s="59" t="n">
        <x:v>0.5249</x:v>
      </x:c>
      <x:c r="I62" s="59" t="n">
        <x:v>0.8162</x:v>
      </x:c>
      <x:c r="J62" s="59" t="n">
        <x:v>0.2383</x:v>
      </x:c>
    </x:row>
    <x:row r="63">
      <x:c r="A63" s="57" t="n">
        <x:v>325</x:v>
      </x:c>
      <x:c r="B63" s="57" t="n">
        <x:v>15</x:v>
      </x:c>
      <x:c r="C63" s="59" t="n">
        <x:v>0.4409</x:v>
      </x:c>
      <x:c r="D63" s="59" t="n">
        <x:v>0.7119</x:v>
      </x:c>
      <x:c r="E63" s="59" t="n">
        <x:v>0.21045</x:v>
      </x:c>
      <x:c r="F63" s="59" t="n">
        <x:v>0.86391</x:v>
      </x:c>
      <x:c r="G63" s="59" t="str">
        <x:f>IF(MAX(C63:E63)=C63,"X",IF(MAX(C63:E63)=D63,"Y","Z"))</x:f>
        <x:v>Y</x:v>
      </x:c>
      <x:c r="H63" s="59" t="n">
        <x:v>0.5104</x:v>
      </x:c>
      <x:c r="I63" s="59" t="n">
        <x:v>0.8241</x:v>
      </x:c>
      <x:c r="J63" s="59" t="n">
        <x:v>0.2436</x:v>
      </x:c>
    </x:row>
    <x:row r="64">
      <x:c r="A64" s="57" t="n">
        <x:v>350</x:v>
      </x:c>
      <x:c r="B64" s="57" t="n">
        <x:v>10</x:v>
      </x:c>
      <x:c r="C64" s="59" t="n">
        <x:v>0.1478</x:v>
      </x:c>
      <x:c r="D64" s="59" t="n">
        <x:v>0.3752</x:v>
      </x:c>
      <x:c r="E64" s="59" t="n">
        <x:v>0.63898</x:v>
      </x:c>
      <x:c r="F64" s="59" t="n">
        <x:v>0.75772</x:v>
      </x:c>
      <x:c r="G64" s="59" t="str">
        <x:f>IF(MAX(C64:E64)=C64,"X",IF(MAX(C64:E64)=D64,"Y","Z"))</x:f>
        <x:v>Z</x:v>
      </x:c>
      <x:c r="H64" s="59" t="n">
        <x:v>0.1951</x:v>
      </x:c>
      <x:c r="I64" s="59" t="n">
        <x:v>0.4952</x:v>
      </x:c>
      <x:c r="J64" s="59" t="n">
        <x:v>0.8433</x:v>
      </x:c>
    </x:row>
    <x:row r="65">
      <x:c r="A65" s="57" t="n">
        <x:v>350</x:v>
      </x:c>
      <x:c r="B65" s="57" t="n">
        <x:v>11</x:v>
      </x:c>
      <x:c r="C65" s="59" t="n">
        <x:v>0.15733</x:v>
      </x:c>
      <x:c r="D65" s="59" t="n">
        <x:v>0.45961</x:v>
      </x:c>
      <x:c r="E65" s="59" t="n">
        <x:v>0.67689</x:v>
      </x:c>
      <x:c r="F65" s="59" t="n">
        <x:v>0.83414</x:v>
      </x:c>
      <x:c r="G65" s="59" t="str">
        <x:f>IF(MAX(C65:E65)=C65,"X",IF(MAX(C65:E65)=D65,"Y","Z"))</x:f>
        <x:v>Z</x:v>
      </x:c>
      <x:c r="H65" s="59" t="n">
        <x:v>0.1886</x:v>
      </x:c>
      <x:c r="I65" s="59" t="n">
        <x:v>0.551</x:v>
      </x:c>
      <x:c r="J65" s="59" t="n">
        <x:v>0.8115</x:v>
      </x:c>
    </x:row>
    <x:row r="66">
      <x:c r="A66" s="57" t="n">
        <x:v>350</x:v>
      </x:c>
      <x:c r="B66" s="57" t="n">
        <x:v>12</x:v>
      </x:c>
      <x:c r="C66" s="59" t="n">
        <x:v>0.19555</x:v>
      </x:c>
      <x:c r="D66" s="59" t="n">
        <x:v>0.52219</x:v>
      </x:c>
      <x:c r="E66" s="59" t="n">
        <x:v>0.70081</x:v>
      </x:c>
      <x:c r="F66" s="59" t="n">
        <x:v>0.89607</x:v>
      </x:c>
      <x:c r="G66" s="59" t="str">
        <x:f>IF(MAX(C66:E66)=C66,"X",IF(MAX(C66:E66)=D66,"Y","Z"))</x:f>
        <x:v>Z</x:v>
      </x:c>
      <x:c r="H66" s="59" t="n">
        <x:v>0.2182</x:v>
      </x:c>
      <x:c r="I66" s="59" t="n">
        <x:v>0.5828</x:v>
      </x:c>
      <x:c r="J66" s="59" t="n">
        <x:v>0.7821</x:v>
      </x:c>
    </x:row>
    <x:row r="67">
      <x:c r="A67" s="57" t="n">
        <x:v>350</x:v>
      </x:c>
      <x:c r="B67" s="57" t="n">
        <x:v>13</x:v>
      </x:c>
      <x:c r="C67" s="59" t="n">
        <x:v>0.20276</x:v>
      </x:c>
      <x:c r="D67" s="59" t="n">
        <x:v>0.5775</x:v>
      </x:c>
      <x:c r="E67" s="59" t="n">
        <x:v>0.74143</x:v>
      </x:c>
      <x:c r="F67" s="59" t="n">
        <x:v>0.96182</x:v>
      </x:c>
      <x:c r="G67" s="59" t="str">
        <x:f>IF(MAX(C67:E67)=C67,"X",IF(MAX(C67:E67)=D67,"Y","Z"))</x:f>
        <x:v>Z</x:v>
      </x:c>
      <x:c r="H67" s="59" t="n">
        <x:v>0.2108</x:v>
      </x:c>
      <x:c r="I67" s="59" t="n">
        <x:v>0.6004</x:v>
      </x:c>
      <x:c r="J67" s="59" t="n">
        <x:v>0.7709</x:v>
      </x:c>
    </x:row>
    <x:row r="68">
      <x:c r="A68" s="57" t="n">
        <x:v>350</x:v>
      </x:c>
      <x:c r="B68" s="57" t="n">
        <x:v>14</x:v>
      </x:c>
      <x:c r="C68" s="59" t="n">
        <x:v>0.23705</x:v>
      </x:c>
      <x:c r="D68" s="59" t="n">
        <x:v>0.64742</x:v>
      </x:c>
      <x:c r="E68" s="59" t="n">
        <x:v>0.78994</x:v>
      </x:c>
      <x:c r="F68" s="59" t="n">
        <x:v>1.04924</x:v>
      </x:c>
      <x:c r="G68" s="59" t="str">
        <x:f>IF(MAX(C68:E68)=C68,"X",IF(MAX(C68:E68)=D68,"Y","Z"))</x:f>
        <x:v>Z</x:v>
      </x:c>
      <x:c r="H68" s="59" t="n">
        <x:v>0.2259</x:v>
      </x:c>
      <x:c r="I68" s="59" t="n">
        <x:v>0.617</x:v>
      </x:c>
      <x:c r="J68" s="59" t="n">
        <x:v>0.7529</x:v>
      </x:c>
    </x:row>
    <x:row r="69">
      <x:c r="A69" s="57" t="n">
        <x:v>350</x:v>
      </x:c>
      <x:c r="B69" s="57" t="n">
        <x:v>15</x:v>
      </x:c>
      <x:c r="C69" s="59" t="n">
        <x:v>0.26629</x:v>
      </x:c>
      <x:c r="D69" s="59" t="n">
        <x:v>0.71421</x:v>
      </x:c>
      <x:c r="E69" s="59" t="n">
        <x:v>0.85805</x:v>
      </x:c>
      <x:c r="F69" s="59" t="n">
        <x:v>1.14839</x:v>
      </x:c>
      <x:c r="G69" s="59" t="str">
        <x:f>IF(MAX(C69:E69)=C69,"X",IF(MAX(C69:E69)=D69,"Y","Z"))</x:f>
        <x:v>Z</x:v>
      </x:c>
      <x:c r="H69" s="59" t="n">
        <x:v>0.2319</x:v>
      </x:c>
      <x:c r="I69" s="59" t="n">
        <x:v>0.6219</x:v>
      </x:c>
      <x:c r="J69" s="59" t="n">
        <x:v>0.7472</x:v>
      </x:c>
    </x:row>
  </x:sheetData>
  <x:mergeCells>
    <x:mergeCell ref="A1:J1"/>
  </x:mergeCells>
  <x:pageMargins left="0.7" right="0.7" top="0.75" bottom="0.75" header="0.3" footer="0.3"/>
  <x:tableParts count="1">
    <x:tablePart xmlns:r="http://schemas.openxmlformats.org/officeDocument/2006/relationships" r:id="Re4937e8f93934a60"/>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x:c r="A1" s="75" t="str">
        <x:v>Blind-FFT harmonic indicators requiring follow-up validation</x:v>
      </x:c>
      <x:c r="B1" s="75"/>
      <x:c r="C1" s="4"/>
      <x:c r="D1" s="77"/>
      <x:c r="E1" s="79"/>
      <x:c r="F1" s="79"/>
      <x:c r="G1" s="79"/>
      <x:c r="H1" s="79"/>
      <x:c r="I1" s="79"/>
      <x:c r="J1" s="79"/>
    </x:row>
    <x:row r="3">
      <x:c r="A3" s="16" t="str">
        <x:v>Command_Hz</x:v>
      </x:c>
      <x:c r="B3" s="16" t="str">
        <x:v>DAC</x:v>
      </x:c>
      <x:c r="C3" s="16" t="str">
        <x:v>Axis</x:v>
      </x:c>
      <x:c r="D3" s="16" t="str">
        <x:v>Candidate harmonic</x:v>
      </x:c>
      <x:c r="E3" s="16" t="str">
        <x:v>Blind dominant Hz</x:v>
      </x:c>
      <x:c r="F3" s="16" t="str">
        <x:v>Expected harmonic Hz</x:v>
      </x:c>
      <x:c r="G3" s="16" t="str">
        <x:v>Blind dom amplitude</x:v>
      </x:c>
      <x:c r="H3" s="16" t="str">
        <x:v>Local fundamental Hz</x:v>
      </x:c>
      <x:c r="I3" s="16" t="str">
        <x:v>Local fundamental amplitude</x:v>
      </x:c>
      <x:c r="J3" s="16" t="str">
        <x:v>Blind/Local amplitude ratio</x:v>
      </x:c>
    </x:row>
    <x:row r="4">
      <x:c r="A4" s="22" t="n">
        <x:v>100</x:v>
      </x:c>
      <x:c r="B4" s="22" t="n">
        <x:v>12</x:v>
      </x:c>
      <x:c r="C4" s="22" t="str">
        <x:v>X</x:v>
      </x:c>
      <x:c r="D4" s="22" t="n">
        <x:v>2</x:v>
      </x:c>
      <x:c r="E4" s="22" t="n">
        <x:v>199.94172</x:v>
      </x:c>
      <x:c r="F4" s="22" t="n">
        <x:v>200</x:v>
      </x:c>
      <x:c r="G4" s="22" t="n">
        <x:v>0.99489</x:v>
      </x:c>
      <x:c r="H4" s="22" t="n">
        <x:v>99.9598</x:v>
      </x:c>
      <x:c r="I4" s="22" t="n">
        <x:v>0.87268</x:v>
      </x:c>
      <x:c r="J4" s="22" t="n">
        <x:f>G4/I4</x:f>
        <x:v>1.1400398771600129</x:v>
      </x:c>
    </x:row>
    <x:row r="5">
      <x:c r="A5" s="22" t="n">
        <x:v>100</x:v>
      </x:c>
      <x:c r="B5" s="22" t="n">
        <x:v>12</x:v>
      </x:c>
      <x:c r="C5" s="22" t="str">
        <x:v>Y</x:v>
      </x:c>
      <x:c r="D5" s="22" t="n">
        <x:v>2</x:v>
      </x:c>
      <x:c r="E5" s="22" t="n">
        <x:v>199.9622</x:v>
      </x:c>
      <x:c r="F5" s="22" t="n">
        <x:v>200</x:v>
      </x:c>
      <x:c r="G5" s="22" t="n">
        <x:v>0.84826</x:v>
      </x:c>
      <x:c r="H5" s="22" t="n">
        <x:v>99.97458</x:v>
      </x:c>
      <x:c r="I5" s="22" t="n">
        <x:v>0.8407</x:v>
      </x:c>
      <x:c r="J5" s="22" t="n">
        <x:f>G5/I5</x:f>
        <x:v>1.008992506244796</x:v>
      </x:c>
    </x:row>
    <x:row r="6">
      <x:c r="A6" s="22" t="n">
        <x:v>100</x:v>
      </x:c>
      <x:c r="B6" s="22" t="n">
        <x:v>13</x:v>
      </x:c>
      <x:c r="C6" s="22" t="str">
        <x:v>X</x:v>
      </x:c>
      <x:c r="D6" s="22" t="n">
        <x:v>2</x:v>
      </x:c>
      <x:c r="E6" s="22" t="n">
        <x:v>199.97868</x:v>
      </x:c>
      <x:c r="F6" s="22" t="n">
        <x:v>200</x:v>
      </x:c>
      <x:c r="G6" s="22" t="n">
        <x:v>2.11072</x:v>
      </x:c>
      <x:c r="H6" s="22" t="n">
        <x:v>99.9937</x:v>
      </x:c>
      <x:c r="I6" s="22" t="n">
        <x:v>1.74036</x:v>
      </x:c>
      <x:c r="J6" s="22" t="n">
        <x:f>G6/I6</x:f>
        <x:v>1.2128065457721393</x:v>
      </x:c>
    </x:row>
    <x:row r="7">
      <x:c r="A7" s="22" t="n">
        <x:v>100</x:v>
      </x:c>
      <x:c r="B7" s="22" t="n">
        <x:v>14</x:v>
      </x:c>
      <x:c r="C7" s="22" t="str">
        <x:v>X</x:v>
      </x:c>
      <x:c r="D7" s="22" t="n">
        <x:v>2</x:v>
      </x:c>
      <x:c r="E7" s="22" t="n">
        <x:v>199.99086</x:v>
      </x:c>
      <x:c r="F7" s="22" t="n">
        <x:v>200</x:v>
      </x:c>
      <x:c r="G7" s="22" t="n">
        <x:v>2.4938</x:v>
      </x:c>
      <x:c r="H7" s="22" t="n">
        <x:v>99.99302</x:v>
      </x:c>
      <x:c r="I7" s="22" t="n">
        <x:v>2.07712</x:v>
      </x:c>
      <x:c r="J7" s="22" t="n">
        <x:f>G7/I7</x:f>
        <x:v>1.2006046834077955</x:v>
      </x:c>
    </x:row>
    <x:row r="8">
      <x:c r="A8" s="22" t="n">
        <x:v>100</x:v>
      </x:c>
      <x:c r="B8" s="22" t="n">
        <x:v>15</x:v>
      </x:c>
      <x:c r="C8" s="22" t="str">
        <x:v>X</x:v>
      </x:c>
      <x:c r="D8" s="22" t="n">
        <x:v>2</x:v>
      </x:c>
      <x:c r="E8" s="22" t="n">
        <x:v>199.98509</x:v>
      </x:c>
      <x:c r="F8" s="22" t="n">
        <x:v>200</x:v>
      </x:c>
      <x:c r="G8" s="22" t="n">
        <x:v>2.86542</x:v>
      </x:c>
      <x:c r="H8" s="22" t="n">
        <x:v>99.99235</x:v>
      </x:c>
      <x:c r="I8" s="22" t="n">
        <x:v>2.34046</x:v>
      </x:c>
      <x:c r="J8" s="22" t="n">
        <x:f>G8/I8</x:f>
        <x:v>1.2242977876144003</x:v>
      </x:c>
    </x:row>
    <x:row r="9">
      <x:c r="A9" s="22" t="n">
        <x:v>125</x:v>
      </x:c>
      <x:c r="B9" s="22" t="n">
        <x:v>11</x:v>
      </x:c>
      <x:c r="C9" s="22" t="str">
        <x:v>Z</x:v>
      </x:c>
      <x:c r="D9" s="22" t="n">
        <x:v>3</x:v>
      </x:c>
      <x:c r="E9" s="22" t="n">
        <x:v>375.01451</x:v>
      </x:c>
      <x:c r="F9" s="22" t="n">
        <x:v>375</x:v>
      </x:c>
      <x:c r="G9" s="22" t="n">
        <x:v>0.46279</x:v>
      </x:c>
      <x:c r="H9" s="22" t="n">
        <x:v>124.9841</x:v>
      </x:c>
      <x:c r="I9" s="22" t="n">
        <x:v>0.33725</x:v>
      </x:c>
      <x:c r="J9" s="22" t="n">
        <x:f>G9/I9</x:f>
        <x:v>1.3722461082283173</x:v>
      </x:c>
    </x:row>
    <x:row r="10">
      <x:c r="A10" s="22" t="n">
        <x:v>125</x:v>
      </x:c>
      <x:c r="B10" s="22" t="n">
        <x:v>12</x:v>
      </x:c>
      <x:c r="C10" s="22" t="str">
        <x:v>Z</x:v>
      </x:c>
      <x:c r="D10" s="22" t="n">
        <x:v>3</x:v>
      </x:c>
      <x:c r="E10" s="22" t="n">
        <x:v>375.01342</x:v>
      </x:c>
      <x:c r="F10" s="22" t="n">
        <x:v>375</x:v>
      </x:c>
      <x:c r="G10" s="22" t="n">
        <x:v>0.61326</x:v>
      </x:c>
      <x:c r="H10" s="22" t="n">
        <x:v>125.01953</x:v>
      </x:c>
      <x:c r="I10" s="22" t="n">
        <x:v>0.41957</x:v>
      </x:c>
      <x:c r="J10" s="22" t="n">
        <x:f>G10/I10</x:f>
        <x:v>1.461639297375885</x:v>
      </x:c>
    </x:row>
    <x:row r="11">
      <x:c r="A11" s="22" t="n">
        <x:v>125</x:v>
      </x:c>
      <x:c r="B11" s="22" t="n">
        <x:v>13</x:v>
      </x:c>
      <x:c r="C11" s="22" t="str">
        <x:v>Z</x:v>
      </x:c>
      <x:c r="D11" s="22" t="n">
        <x:v>3</x:v>
      </x:c>
      <x:c r="E11" s="22" t="n">
        <x:v>375.01138</x:v>
      </x:c>
      <x:c r="F11" s="22" t="n">
        <x:v>375</x:v>
      </x:c>
      <x:c r="G11" s="22" t="n">
        <x:v>0.77296</x:v>
      </x:c>
      <x:c r="H11" s="22" t="n">
        <x:v>125.01504</x:v>
      </x:c>
      <x:c r="I11" s="22" t="n">
        <x:v>0.47777</x:v>
      </x:c>
      <x:c r="J11" s="22" t="n">
        <x:f>G11/I11</x:f>
        <x:v>1.6178495929003496</x:v>
      </x:c>
    </x:row>
    <x:row r="12">
      <x:c r="A12" s="22" t="n">
        <x:v>125</x:v>
      </x:c>
      <x:c r="B12" s="22" t="n">
        <x:v>14</x:v>
      </x:c>
      <x:c r="C12" s="22" t="str">
        <x:v>Z</x:v>
      </x:c>
      <x:c r="D12" s="22" t="n">
        <x:v>3</x:v>
      </x:c>
      <x:c r="E12" s="22" t="n">
        <x:v>375.00616</x:v>
      </x:c>
      <x:c r="F12" s="22" t="n">
        <x:v>375</x:v>
      </x:c>
      <x:c r="G12" s="22" t="n">
        <x:v>0.90241</x:v>
      </x:c>
      <x:c r="H12" s="22" t="n">
        <x:v>125.01179</x:v>
      </x:c>
      <x:c r="I12" s="22" t="n">
        <x:v>0.57122</x:v>
      </x:c>
      <x:c r="J12" s="22" t="n">
        <x:f>G12/I12</x:f>
        <x:v>1.5797941248555725</x:v>
      </x:c>
    </x:row>
    <x:row r="13">
      <x:c r="A13" s="22" t="n">
        <x:v>125</x:v>
      </x:c>
      <x:c r="B13" s="22" t="n">
        <x:v>15</x:v>
      </x:c>
      <x:c r="C13" s="22" t="str">
        <x:v>Z</x:v>
      </x:c>
      <x:c r="D13" s="22" t="n">
        <x:v>3</x:v>
      </x:c>
      <x:c r="E13" s="22" t="n">
        <x:v>374.97934</x:v>
      </x:c>
      <x:c r="F13" s="22" t="n">
        <x:v>375</x:v>
      </x:c>
      <x:c r="G13" s="22" t="n">
        <x:v>1.00457</x:v>
      </x:c>
      <x:c r="H13" s="22" t="n">
        <x:v>124.98869</x:v>
      </x:c>
      <x:c r="I13" s="22" t="n">
        <x:v>0.6877</x:v>
      </x:c>
      <x:c r="J13" s="22" t="n">
        <x:f>G13/I13</x:f>
        <x:v>1.4607677766467937</x:v>
      </x:c>
    </x:row>
    <x:row r="14">
      <x:c r="A14" s="22" t="n">
        <x:v>150</x:v>
      </x:c>
      <x:c r="B14" s="22" t="n">
        <x:v>13</x:v>
      </x:c>
      <x:c r="C14" s="22" t="str">
        <x:v>X</x:v>
      </x:c>
      <x:c r="D14" s="22" t="n">
        <x:v>3</x:v>
      </x:c>
      <x:c r="E14" s="22" t="n">
        <x:v>450.04259</x:v>
      </x:c>
      <x:c r="F14" s="22" t="n">
        <x:v>450</x:v>
      </x:c>
      <x:c r="G14" s="22" t="n">
        <x:v>0.14667</x:v>
      </x:c>
      <x:c r="H14" s="22" t="n">
        <x:v>149.9764</x:v>
      </x:c>
      <x:c r="I14" s="22" t="n">
        <x:v>0.14433</x:v>
      </x:c>
      <x:c r="J14" s="22" t="n">
        <x:f>G14/I14</x:f>
        <x:v>1.016212845562253</x:v>
      </x:c>
    </x:row>
    <x:row r="15">
      <x:c r="A15" s="22" t="n">
        <x:v>150</x:v>
      </x:c>
      <x:c r="B15" s="22" t="n">
        <x:v>13</x:v>
      </x:c>
      <x:c r="C15" s="22" t="str">
        <x:v>Y</x:v>
      </x:c>
      <x:c r="D15" s="22" t="n">
        <x:v>3</x:v>
      </x:c>
      <x:c r="E15" s="22" t="n">
        <x:v>449.99805</x:v>
      </x:c>
      <x:c r="F15" s="22" t="n">
        <x:v>450</x:v>
      </x:c>
      <x:c r="G15" s="22" t="n">
        <x:v>0.61675</x:v>
      </x:c>
      <x:c r="H15" s="22" t="n">
        <x:v>149.99213</x:v>
      </x:c>
      <x:c r="I15" s="22" t="n">
        <x:v>0.55058</x:v>
      </x:c>
      <x:c r="J15" s="22" t="n">
        <x:f>G15/I15</x:f>
        <x:v>1.120182353154855</x:v>
      </x:c>
    </x:row>
    <x:row r="18">
      <x:c r="A18" s="30" t="str">
        <x:v>Interpretation: these rows are indicators, not proof of intrinsic actuator harmonic generation. The repeated ≈2f behavior at 100 Hz and ≈3f behavior at 125/150 Hz coincides with amplitude-dependent gain changes, supporting a nonlinear/contact/mounting hypothesis. Repeat the conditions with fixed mounting and multiple independent records before reporting final harmonic distortion.</x:v>
      </x:c>
      <x:c r="B18" s="30"/>
      <x:c r="C18" s="30"/>
      <x:c r="D18" s="30"/>
      <x:c r="E18" s="30"/>
      <x:c r="F18" s="30"/>
      <x:c r="G18" s="30"/>
      <x:c r="H18" s="30"/>
      <x:c r="I18" s="30"/>
      <x:c r="J18" s="30"/>
    </x:row>
    <x:row r="19">
      <x:c r="A19" s="30"/>
      <x:c r="B19" s="30"/>
      <x:c r="C19" s="30"/>
      <x:c r="D19" s="30"/>
      <x:c r="E19" s="30"/>
      <x:c r="F19" s="30"/>
      <x:c r="G19" s="30"/>
      <x:c r="H19" s="30"/>
      <x:c r="I19" s="30"/>
      <x:c r="J19" s="30"/>
    </x:row>
    <x:row r="20">
      <x:c r="A20" s="30"/>
      <x:c r="B20" s="30"/>
      <x:c r="C20" s="30"/>
      <x:c r="D20" s="30"/>
      <x:c r="E20" s="30"/>
      <x:c r="F20" s="30"/>
      <x:c r="G20" s="30"/>
      <x:c r="H20" s="30"/>
      <x:c r="I20" s="30"/>
      <x:c r="J20" s="30"/>
    </x:row>
    <x:row r="21">
      <x:c r="A21" s="30"/>
      <x:c r="B21" s="30"/>
      <x:c r="C21" s="30"/>
      <x:c r="D21" s="30"/>
      <x:c r="E21" s="30"/>
      <x:c r="F21" s="30"/>
      <x:c r="G21" s="30"/>
      <x:c r="H21" s="30"/>
      <x:c r="I21" s="30"/>
      <x:c r="J21" s="30"/>
    </x:row>
  </x:sheetData>
  <x:mergeCells>
    <x:mergeCell ref="A1:J1"/>
    <x:mergeCell ref="A18:J21"/>
  </x:mergeCells>
  <x:pageMargins left="0.7" right="0.7" top="0.75" bottom="0.75" header="0.3" footer="0.3"/>
  <x:tableParts count="1">
    <x:tablePart xmlns:r="http://schemas.openxmlformats.org/officeDocument/2006/relationships" r:id="R4467b47a0f6b4753"/>
  </x:tableParts>
</x:worksheet>
</file>

<file path=xl/worksheets/sheet7.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x:c r="A1" s="77" t="str">
        <x:v>DAC 15 — phase, synchronization and measurement-quality comparison</x:v>
      </x:c>
      <x:c r="B1" s="79"/>
      <x:c r="C1" s="79"/>
      <x:c r="D1" s="79"/>
      <x:c r="E1" s="79"/>
      <x:c r="F1" s="79"/>
      <x:c r="G1" s="79"/>
      <x:c r="H1" s="79"/>
      <x:c r="I1" s="79"/>
      <x:c r="J1" s="79"/>
      <x:c r="K1" s="79"/>
      <x:c r="L1" s="79"/>
      <x:c r="M1" s="79"/>
      <x:c r="N1" s="4"/>
    </x:row>
    <x:row r="3">
      <x:c r="A3" s="16" t="str">
        <x:v>Freq_Hz</x:v>
      </x:c>
      <x:c r="B3" s="16" t="str">
        <x:v>X_A</x:v>
      </x:c>
      <x:c r="C3" s="16" t="str">
        <x:v>X phase</x:v>
      </x:c>
      <x:c r="D3" s="16" t="str">
        <x:v>X sync</x:v>
      </x:c>
      <x:c r="E3" s="16" t="str">
        <x:v>Y_A</x:v>
      </x:c>
      <x:c r="F3" s="16" t="str">
        <x:v>Y phase</x:v>
      </x:c>
      <x:c r="G3" s="16" t="str">
        <x:v>Y sync</x:v>
      </x:c>
      <x:c r="H3" s="16" t="str">
        <x:v>Z_A</x:v>
      </x:c>
      <x:c r="I3" s="16" t="str">
        <x:v>Z phase</x:v>
      </x:c>
      <x:c r="J3" s="16" t="str">
        <x:v>Z sync</x:v>
      </x:c>
      <x:c r="K3" s="16" t="str">
        <x:v>Total_A</x:v>
      </x:c>
      <x:c r="L3" s="16" t="str">
        <x:v>Total CV %</x:v>
      </x:c>
      <x:c r="M3" s="16" t="str">
        <x:v>Vector freq error Hz</x:v>
      </x:c>
      <x:c r="N3" s="16" t="str">
        <x:v>Dominant axis</x:v>
      </x:c>
    </x:row>
    <x:row r="4">
      <x:c r="A4" s="22" t="n">
        <x:v>100</x:v>
      </x:c>
      <x:c r="B4" s="22" t="n">
        <x:f>'Raw DATA'!AC7</x:f>
        <x:v>2.31402</x:v>
      </x:c>
      <x:c r="C4" s="22" t="n">
        <x:f>'Raw DATA'!AD7</x:f>
        <x:v>-70.1</x:v>
      </x:c>
      <x:c r="D4" s="22" t="n">
        <x:f>'Raw DATA'!AE7</x:f>
        <x:v>0.606</x:v>
      </x:c>
      <x:c r="E4" s="22" t="n">
        <x:f>'Raw DATA'!AG7</x:f>
        <x:v>2.05378</x:v>
      </x:c>
      <x:c r="F4" s="22" t="n">
        <x:f>'Raw DATA'!AH7</x:f>
        <x:v>-63.88</x:v>
      </x:c>
      <x:c r="G4" s="22" t="n">
        <x:f>'Raw DATA'!AI7</x:f>
        <x:v>0.686</x:v>
      </x:c>
      <x:c r="H4" s="22" t="n">
        <x:f>'Raw DATA'!AK7</x:f>
        <x:v>1.57215</x:v>
      </x:c>
      <x:c r="I4" s="22" t="n">
        <x:f>'Raw DATA'!AL7</x:f>
        <x:v>-80.35</x:v>
      </x:c>
      <x:c r="J4" s="22" t="n">
        <x:f>'Raw DATA'!AM7</x:f>
        <x:v>0.713</x:v>
      </x:c>
      <x:c r="K4" s="22" t="n">
        <x:f>'Raw DATA'!AO7</x:f>
        <x:v>3.47061</x:v>
      </x:c>
      <x:c r="L4" s="22" t="n">
        <x:f>'Raw DATA'!AP7</x:f>
        <x:v>0.6</x:v>
      </x:c>
      <x:c r="M4" s="22" t="n">
        <x:f>'Raw DATA'!V7</x:f>
        <x:v>-0.00608</x:v>
      </x:c>
      <x:c r="N4" s="22" t="str">
        <x:f>IF(MAX(B4,E4,H4)=B4,"X",IF(MAX(B4,E4,H4)=E4,"Y","Z"))</x:f>
        <x:v>X</x:v>
      </x:c>
    </x:row>
    <x:row r="5">
      <x:c r="A5" s="22" t="n">
        <x:v>125</x:v>
      </x:c>
      <x:c r="B5" s="22" t="n">
        <x:f>'Raw DATA'!AC13</x:f>
        <x:v>0.79395</x:v>
      </x:c>
      <x:c r="C5" s="22" t="n">
        <x:f>'Raw DATA'!AD13</x:f>
        <x:v>-144.34</x:v>
      </x:c>
      <x:c r="D5" s="22" t="n">
        <x:f>'Raw DATA'!AE13</x:f>
        <x:v>0.685</x:v>
      </x:c>
      <x:c r="E5" s="22" t="n">
        <x:f>'Raw DATA'!AG13</x:f>
        <x:v>2.26703</x:v>
      </x:c>
      <x:c r="F5" s="22" t="n">
        <x:f>'Raw DATA'!AH13</x:f>
        <x:v>-139.3</x:v>
      </x:c>
      <x:c r="G5" s="22" t="n">
        <x:f>'Raw DATA'!AI13</x:f>
        <x:v>0.771</x:v>
      </x:c>
      <x:c r="H5" s="22" t="n">
        <x:f>'Raw DATA'!AK13</x:f>
        <x:v>0.70313</x:v>
      </x:c>
      <x:c r="I5" s="22" t="n">
        <x:f>'Raw DATA'!AL13</x:f>
        <x:v>-151.89</x:v>
      </x:c>
      <x:c r="J5" s="22" t="n">
        <x:f>'Raw DATA'!AM13</x:f>
        <x:v>0.386</x:v>
      </x:c>
      <x:c r="K5" s="22" t="n">
        <x:f>'Raw DATA'!AO13</x:f>
        <x:v>2.50293</x:v>
      </x:c>
      <x:c r="L5" s="22" t="n">
        <x:f>'Raw DATA'!AP13</x:f>
        <x:v>1.61</x:v>
      </x:c>
      <x:c r="M5" s="22" t="n">
        <x:f>'Raw DATA'!V13</x:f>
        <x:v>-0.003</x:v>
      </x:c>
      <x:c r="N5" s="22" t="str">
        <x:f>IF(MAX(B5,E5,H5)=B5,"X",IF(MAX(B5,E5,H5)=E5,"Y","Z"))</x:f>
        <x:v>Y</x:v>
      </x:c>
    </x:row>
    <x:row r="6">
      <x:c r="A6" s="22" t="n">
        <x:v>150</x:v>
      </x:c>
      <x:c r="B6" s="22" t="n">
        <x:f>'Raw DATA'!AC19</x:f>
        <x:v>0.30715</x:v>
      </x:c>
      <x:c r="C6" s="22" t="n">
        <x:f>'Raw DATA'!AD19</x:f>
        <x:v>-169.05</x:v>
      </x:c>
      <x:c r="D6" s="22" t="n">
        <x:f>'Raw DATA'!AE19</x:f>
        <x:v>0.52</x:v>
      </x:c>
      <x:c r="E6" s="22" t="n">
        <x:f>'Raw DATA'!AG19</x:f>
        <x:v>0.92824</x:v>
      </x:c>
      <x:c r="F6" s="22" t="n">
        <x:f>'Raw DATA'!AH19</x:f>
        <x:v>-154.24</x:v>
      </x:c>
      <x:c r="G6" s="22" t="n">
        <x:f>'Raw DATA'!AI19</x:f>
        <x:v>0.652</x:v>
      </x:c>
      <x:c r="H6" s="22" t="n">
        <x:f>'Raw DATA'!AK19</x:f>
        <x:v>0.80842</x:v>
      </x:c>
      <x:c r="I6" s="22" t="n">
        <x:f>'Raw DATA'!AL19</x:f>
        <x:v>-158.83</x:v>
      </x:c>
      <x:c r="J6" s="22" t="n">
        <x:f>'Raw DATA'!AM19</x:f>
        <x:v>0.722</x:v>
      </x:c>
      <x:c r="K6" s="22" t="n">
        <x:f>'Raw DATA'!AO19</x:f>
        <x:v>1.26878</x:v>
      </x:c>
      <x:c r="L6" s="22" t="n">
        <x:f>'Raw DATA'!AP19</x:f>
        <x:v>1.55</x:v>
      </x:c>
      <x:c r="M6" s="22" t="n">
        <x:f>'Raw DATA'!V19</x:f>
        <x:v>-0.00056</x:v>
      </x:c>
      <x:c r="N6" s="22" t="str">
        <x:f>IF(MAX(B6,E6,H6)=B6,"X",IF(MAX(B6,E6,H6)=E6,"Y","Z"))</x:f>
        <x:v>Y</x:v>
      </x:c>
    </x:row>
    <x:row r="7">
      <x:c r="A7" s="22" t="n">
        <x:v>175</x:v>
      </x:c>
      <x:c r="B7" s="22" t="n">
        <x:f>'Raw DATA'!AC25</x:f>
        <x:v>0.02367</x:v>
      </x:c>
      <x:c r="C7" s="22" t="n">
        <x:f>'Raw DATA'!AD25</x:f>
        <x:v>-158.34</x:v>
      </x:c>
      <x:c r="D7" s="22" t="n">
        <x:f>'Raw DATA'!AE25</x:f>
        <x:v>0.054</x:v>
      </x:c>
      <x:c r="E7" s="22" t="n">
        <x:f>'Raw DATA'!AG25</x:f>
        <x:v>0.19369</x:v>
      </x:c>
      <x:c r="F7" s="22" t="n">
        <x:f>'Raw DATA'!AH25</x:f>
        <x:v>-113.66</x:v>
      </x:c>
      <x:c r="G7" s="22" t="n">
        <x:f>'Raw DATA'!AI25</x:f>
        <x:v>0.235</x:v>
      </x:c>
      <x:c r="H7" s="22" t="n">
        <x:f>'Raw DATA'!AK25</x:f>
        <x:v>0.48801</x:v>
      </x:c>
      <x:c r="I7" s="22" t="n">
        <x:f>'Raw DATA'!AL25</x:f>
        <x:v>-161.87</x:v>
      </x:c>
      <x:c r="J7" s="22" t="n">
        <x:f>'Raw DATA'!AM25</x:f>
        <x:v>0.729</x:v>
      </x:c>
      <x:c r="K7" s="22" t="n">
        <x:f>'Raw DATA'!AO25</x:f>
        <x:v>0.52734</x:v>
      </x:c>
      <x:c r="L7" s="22" t="n">
        <x:f>'Raw DATA'!AP25</x:f>
        <x:v>4.45</x:v>
      </x:c>
      <x:c r="M7" s="22" t="n">
        <x:f>'Raw DATA'!V25</x:f>
        <x:v>0.01282</x:v>
      </x:c>
      <x:c r="N7" s="22" t="str">
        <x:f>IF(MAX(B7,E7,H7)=B7,"X",IF(MAX(B7,E7,H7)=E7,"Y","Z"))</x:f>
        <x:v>Z</x:v>
      </x:c>
    </x:row>
    <x:row r="8">
      <x:c r="A8" s="22" t="n">
        <x:v>200</x:v>
      </x:c>
      <x:c r="B8" s="22" t="n">
        <x:f>'Raw DATA'!AC31</x:f>
        <x:v>0.02327</x:v>
      </x:c>
      <x:c r="C8" s="22" t="n">
        <x:f>'Raw DATA'!AD31</x:f>
        <x:v>-119.78</x:v>
      </x:c>
      <x:c r="D8" s="22" t="n">
        <x:f>'Raw DATA'!AE31</x:f>
        <x:v>0.053</x:v>
      </x:c>
      <x:c r="E8" s="22" t="n">
        <x:f>'Raw DATA'!AG31</x:f>
        <x:v>0.20091</x:v>
      </x:c>
      <x:c r="F8" s="22" t="n">
        <x:f>'Raw DATA'!AH31</x:f>
        <x:v>-105.15</x:v>
      </x:c>
      <x:c r="G8" s="22" t="n">
        <x:f>'Raw DATA'!AI31</x:f>
        <x:v>0.24</x:v>
      </x:c>
      <x:c r="H8" s="22" t="n">
        <x:f>'Raw DATA'!AK31</x:f>
        <x:v>0.58172</x:v>
      </x:c>
      <x:c r="I8" s="22" t="n">
        <x:f>'Raw DATA'!AL31</x:f>
        <x:v>154.86</x:v>
      </x:c>
      <x:c r="J8" s="22" t="n">
        <x:f>'Raw DATA'!AM31</x:f>
        <x:v>0.772</x:v>
      </x:c>
      <x:c r="K8" s="22" t="n">
        <x:f>'Raw DATA'!AO31</x:f>
        <x:v>0.61603</x:v>
      </x:c>
      <x:c r="L8" s="22" t="n">
        <x:f>'Raw DATA'!AP31</x:f>
        <x:v>3.58</x:v>
      </x:c>
      <x:c r="M8" s="22" t="n">
        <x:f>'Raw DATA'!V31</x:f>
        <x:v>0.01438</x:v>
      </x:c>
      <x:c r="N8" s="22" t="str">
        <x:f>IF(MAX(B8,E8,H8)=B8,"X",IF(MAX(B8,E8,H8)=E8,"Y","Z"))</x:f>
        <x:v>Z</x:v>
      </x:c>
    </x:row>
    <x:row r="9">
      <x:c r="A9" s="22" t="n">
        <x:v>225</x:v>
      </x:c>
      <x:c r="B9" s="22" t="n">
        <x:f>'Raw DATA'!AC37</x:f>
        <x:v>0.03635</x:v>
      </x:c>
      <x:c r="C9" s="22" t="n">
        <x:f>'Raw DATA'!AD37</x:f>
        <x:v>0.45</x:v>
      </x:c>
      <x:c r="D9" s="22" t="n">
        <x:f>'Raw DATA'!AE37</x:f>
        <x:v>0.081</x:v>
      </x:c>
      <x:c r="E9" s="22" t="n">
        <x:f>'Raw DATA'!AG37</x:f>
        <x:v>0.28218</x:v>
      </x:c>
      <x:c r="F9" s="22" t="n">
        <x:f>'Raw DATA'!AH37</x:f>
        <x:v>-99.34</x:v>
      </x:c>
      <x:c r="G9" s="22" t="n">
        <x:f>'Raw DATA'!AI37</x:f>
        <x:v>0.32</x:v>
      </x:c>
      <x:c r="H9" s="22" t="n">
        <x:f>'Raw DATA'!AK37</x:f>
        <x:v>0.43474</x:v>
      </x:c>
      <x:c r="I9" s="22" t="n">
        <x:f>'Raw DATA'!AL37</x:f>
        <x:v>147.16</x:v>
      </x:c>
      <x:c r="J9" s="22" t="n">
        <x:f>'Raw DATA'!AM37</x:f>
        <x:v>0.673</x:v>
      </x:c>
      <x:c r="K9" s="22" t="n">
        <x:f>'Raw DATA'!AO37</x:f>
        <x:v>0.51993</x:v>
      </x:c>
      <x:c r="L9" s="22" t="n">
        <x:f>'Raw DATA'!AP37</x:f>
        <x:v>3.19</x:v>
      </x:c>
      <x:c r="M9" s="22" t="n">
        <x:f>'Raw DATA'!V37</x:f>
        <x:v>0.01735</x:v>
      </x:c>
      <x:c r="N9" s="22" t="str">
        <x:f>IF(MAX(B9,E9,H9)=B9,"X",IF(MAX(B9,E9,H9)=E9,"Y","Z"))</x:f>
        <x:v>Z</x:v>
      </x:c>
    </x:row>
    <x:row r="10">
      <x:c r="A10" s="22" t="n">
        <x:v>250</x:v>
      </x:c>
      <x:c r="B10" s="22" t="n">
        <x:f>'Raw DATA'!AC43</x:f>
        <x:v>0.0975</x:v>
      </x:c>
      <x:c r="C10" s="22" t="n">
        <x:f>'Raw DATA'!AD43</x:f>
        <x:v>-77.7</x:v>
      </x:c>
      <x:c r="D10" s="22" t="n">
        <x:f>'Raw DATA'!AE43</x:f>
        <x:v>0.188</x:v>
      </x:c>
      <x:c r="E10" s="22" t="n">
        <x:f>'Raw DATA'!AG43</x:f>
        <x:v>0.40939</x:v>
      </x:c>
      <x:c r="F10" s="22" t="n">
        <x:f>'Raw DATA'!AH43</x:f>
        <x:v>-122.41</x:v>
      </x:c>
      <x:c r="G10" s="22" t="n">
        <x:f>'Raw DATA'!AI43</x:f>
        <x:v>0.459</x:v>
      </x:c>
      <x:c r="H10" s="22" t="n">
        <x:f>'Raw DATA'!AK43</x:f>
        <x:v>0.7997</x:v>
      </x:c>
      <x:c r="I10" s="22" t="n">
        <x:f>'Raw DATA'!AL43</x:f>
        <x:v>130.13</x:v>
      </x:c>
      <x:c r="J10" s="22" t="n">
        <x:f>'Raw DATA'!AM43</x:f>
        <x:v>0.823</x:v>
      </x:c>
      <x:c r="K10" s="22" t="n">
        <x:f>'Raw DATA'!AO43</x:f>
        <x:v>0.90656</x:v>
      </x:c>
      <x:c r="L10" s="22" t="n">
        <x:f>'Raw DATA'!AP43</x:f>
        <x:v>5.85</x:v>
      </x:c>
      <x:c r="M10" s="22" t="n">
        <x:f>'Raw DATA'!V43</x:f>
        <x:v>-0.01513</x:v>
      </x:c>
      <x:c r="N10" s="22" t="str">
        <x:f>IF(MAX(B10,E10,H10)=B10,"X",IF(MAX(B10,E10,H10)=E10,"Y","Z"))</x:f>
        <x:v>Z</x:v>
      </x:c>
    </x:row>
    <x:row r="11">
      <x:c r="A11" s="22" t="n">
        <x:v>275</x:v>
      </x:c>
      <x:c r="B11" s="22" t="n">
        <x:f>'Raw DATA'!AC49</x:f>
        <x:v>0.1935</x:v>
      </x:c>
      <x:c r="C11" s="22" t="n">
        <x:f>'Raw DATA'!AD49</x:f>
        <x:v>-124.87</x:v>
      </x:c>
      <x:c r="D11" s="22" t="n">
        <x:f>'Raw DATA'!AE49</x:f>
        <x:v>0.359</x:v>
      </x:c>
      <x:c r="E11" s="22" t="n">
        <x:f>'Raw DATA'!AG49</x:f>
        <x:v>0.50459</x:v>
      </x:c>
      <x:c r="F11" s="22" t="n">
        <x:f>'Raw DATA'!AH49</x:f>
        <x:v>-128.19</x:v>
      </x:c>
      <x:c r="G11" s="22" t="n">
        <x:f>'Raw DATA'!AI49</x:f>
        <x:v>0.494</x:v>
      </x:c>
      <x:c r="H11" s="22" t="n">
        <x:f>'Raw DATA'!AK49</x:f>
        <x:v>1.0661</x:v>
      </x:c>
      <x:c r="I11" s="22" t="n">
        <x:f>'Raw DATA'!AL49</x:f>
        <x:v>101.38</x:v>
      </x:c>
      <x:c r="J11" s="22" t="n">
        <x:f>'Raw DATA'!AM49</x:f>
        <x:v>0.862</x:v>
      </x:c>
      <x:c r="K11" s="22" t="n">
        <x:f>'Raw DATA'!AO49</x:f>
        <x:v>1.19635</x:v>
      </x:c>
      <x:c r="L11" s="22" t="n">
        <x:f>'Raw DATA'!AP49</x:f>
        <x:v>2.25</x:v>
      </x:c>
      <x:c r="M11" s="22" t="n">
        <x:f>'Raw DATA'!V49</x:f>
        <x:v>-0.00237</x:v>
      </x:c>
      <x:c r="N11" s="22" t="str">
        <x:f>IF(MAX(B11,E11,H11)=B11,"X",IF(MAX(B11,E11,H11)=E11,"Y","Z"))</x:f>
        <x:v>Z</x:v>
      </x:c>
    </x:row>
    <x:row r="12">
      <x:c r="A12" s="22" t="n">
        <x:v>300</x:v>
      </x:c>
      <x:c r="B12" s="22" t="n">
        <x:f>'Raw DATA'!AC55</x:f>
        <x:v>0.37804</x:v>
      </x:c>
      <x:c r="C12" s="22" t="n">
        <x:f>'Raw DATA'!AD55</x:f>
        <x:v>-177.22</x:v>
      </x:c>
      <x:c r="D12" s="22" t="n">
        <x:f>'Raw DATA'!AE55</x:f>
        <x:v>0.606</x:v>
      </x:c>
      <x:c r="E12" s="22" t="n">
        <x:f>'Raw DATA'!AG55</x:f>
        <x:v>0.63158</x:v>
      </x:c>
      <x:c r="F12" s="22" t="n">
        <x:f>'Raw DATA'!AH55</x:f>
        <x:v>-145.46</x:v>
      </x:c>
      <x:c r="G12" s="22" t="n">
        <x:f>'Raw DATA'!AI55</x:f>
        <x:v>0.601</x:v>
      </x:c>
      <x:c r="H12" s="22" t="n">
        <x:f>'Raw DATA'!AK55</x:f>
        <x:v>0.87515</x:v>
      </x:c>
      <x:c r="I12" s="22" t="n">
        <x:f>'Raw DATA'!AL55</x:f>
        <x:v>57.69</x:v>
      </x:c>
      <x:c r="J12" s="22" t="n">
        <x:f>'Raw DATA'!AM55</x:f>
        <x:v>0.831</x:v>
      </x:c>
      <x:c r="K12" s="22" t="n">
        <x:f>'Raw DATA'!AO55</x:f>
        <x:v>1.1439</x:v>
      </x:c>
      <x:c r="L12" s="22" t="n">
        <x:f>'Raw DATA'!AP55</x:f>
        <x:v>1.26</x:v>
      </x:c>
      <x:c r="M12" s="22" t="n">
        <x:f>'Raw DATA'!V55</x:f>
        <x:v>0.00472</x:v>
      </x:c>
      <x:c r="N12" s="22" t="str">
        <x:f>IF(MAX(B12,E12,H12)=B12,"X",IF(MAX(B12,E12,H12)=E12,"Y","Z"))</x:f>
        <x:v>Z</x:v>
      </x:c>
    </x:row>
    <x:row r="13">
      <x:c r="A13" s="22" t="n">
        <x:v>325</x:v>
      </x:c>
      <x:c r="B13" s="22" t="n">
        <x:f>'Raw DATA'!AC61</x:f>
        <x:v>0.4409</x:v>
      </x:c>
      <x:c r="C13" s="22" t="n">
        <x:f>'Raw DATA'!AD61</x:f>
        <x:v>109.73</x:v>
      </x:c>
      <x:c r="D13" s="22" t="n">
        <x:f>'Raw DATA'!AE61</x:f>
        <x:v>0.605</x:v>
      </x:c>
      <x:c r="E13" s="22" t="n">
        <x:f>'Raw DATA'!AG61</x:f>
        <x:v>0.7119</x:v>
      </x:c>
      <x:c r="F13" s="22" t="n">
        <x:f>'Raw DATA'!AH61</x:f>
        <x:v>-165.44</x:v>
      </x:c>
      <x:c r="G13" s="22" t="n">
        <x:f>'Raw DATA'!AI61</x:f>
        <x:v>0.603</x:v>
      </x:c>
      <x:c r="H13" s="22" t="n">
        <x:f>'Raw DATA'!AK61</x:f>
        <x:v>0.21045</x:v>
      </x:c>
      <x:c r="I13" s="22" t="n">
        <x:f>'Raw DATA'!AL61</x:f>
        <x:v>119.94</x:v>
      </x:c>
      <x:c r="J13" s="22" t="n">
        <x:f>'Raw DATA'!AM61</x:f>
        <x:v>0.363</x:v>
      </x:c>
      <x:c r="K13" s="22" t="n">
        <x:f>'Raw DATA'!AO61</x:f>
        <x:v>0.86391</x:v>
      </x:c>
      <x:c r="L13" s="22" t="n">
        <x:f>'Raw DATA'!AP61</x:f>
        <x:v>1.23</x:v>
      </x:c>
      <x:c r="M13" s="22" t="n">
        <x:f>'Raw DATA'!V61</x:f>
        <x:v>-0.00538</x:v>
      </x:c>
      <x:c r="N13" s="22" t="str">
        <x:f>IF(MAX(B13,E13,H13)=B13,"X",IF(MAX(B13,E13,H13)=E13,"Y","Z"))</x:f>
        <x:v>Y</x:v>
      </x:c>
    </x:row>
    <x:row r="14">
      <x:c r="A14" s="22" t="n">
        <x:v>350</x:v>
      </x:c>
      <x:c r="B14" s="22" t="n">
        <x:f>'Raw DATA'!AC67</x:f>
        <x:v>0.26629</x:v>
      </x:c>
      <x:c r="C14" s="22" t="n">
        <x:f>'Raw DATA'!AD67</x:f>
        <x:v>104.35</x:v>
      </x:c>
      <x:c r="D14" s="22" t="n">
        <x:f>'Raw DATA'!AE67</x:f>
        <x:v>0.369</x:v>
      </x:c>
      <x:c r="E14" s="22" t="n">
        <x:f>'Raw DATA'!AG67</x:f>
        <x:v>0.71421</x:v>
      </x:c>
      <x:c r="F14" s="22" t="n">
        <x:f>'Raw DATA'!AH67</x:f>
        <x:v>-157.15</x:v>
      </x:c>
      <x:c r="G14" s="22" t="n">
        <x:f>'Raw DATA'!AI67</x:f>
        <x:v>0.601</x:v>
      </x:c>
      <x:c r="H14" s="22" t="n">
        <x:f>'Raw DATA'!AK67</x:f>
        <x:v>0.85805</x:v>
      </x:c>
      <x:c r="I14" s="22" t="n">
        <x:f>'Raw DATA'!AL67</x:f>
        <x:v>76.72</x:v>
      </x:c>
      <x:c r="J14" s="22" t="n">
        <x:f>'Raw DATA'!AM67</x:f>
        <x:v>0.775</x:v>
      </x:c>
      <x:c r="K14" s="22" t="n">
        <x:f>'Raw DATA'!AO67</x:f>
        <x:v>1.14839</x:v>
      </x:c>
      <x:c r="L14" s="22" t="n">
        <x:f>'Raw DATA'!AP67</x:f>
        <x:v>2.11</x:v>
      </x:c>
      <x:c r="M14" s="22" t="n">
        <x:f>'Raw DATA'!V67</x:f>
        <x:v>0.00171</x:v>
      </x:c>
      <x:c r="N14" s="22" t="str">
        <x:f>IF(MAX(B14,E14,H14)=B14,"X",IF(MAX(B14,E14,H14)=E14,"Y","Z"))</x:f>
        <x:v>Z</x:v>
      </x:c>
    </x:row>
    <x:row r="17">
      <x:c r="A17" s="30" t="str">
        <x:v>Phase interpretation rule: phase should only be emphasized where the corresponding exact-frequency component has adequate amplitude and synchronization. Weak-axis phase values are retained for transparency but should not be used as primary thesis evidence.</x:v>
      </x:c>
      <x:c r="B17" s="30"/>
      <x:c r="C17" s="30"/>
      <x:c r="D17" s="30"/>
      <x:c r="E17" s="30"/>
      <x:c r="F17" s="30"/>
      <x:c r="G17" s="30"/>
      <x:c r="H17" s="30"/>
      <x:c r="I17" s="30"/>
      <x:c r="J17" s="30"/>
      <x:c r="K17" s="30"/>
      <x:c r="L17" s="30"/>
      <x:c r="M17" s="30"/>
      <x:c r="N17" s="30"/>
    </x:row>
    <x:row r="18">
      <x:c r="A18" s="30"/>
      <x:c r="B18" s="30"/>
      <x:c r="C18" s="30"/>
      <x:c r="D18" s="30"/>
      <x:c r="E18" s="30"/>
      <x:c r="F18" s="30"/>
      <x:c r="G18" s="30"/>
      <x:c r="H18" s="30"/>
      <x:c r="I18" s="30"/>
      <x:c r="J18" s="30"/>
      <x:c r="K18" s="30"/>
      <x:c r="L18" s="30"/>
      <x:c r="M18" s="30"/>
      <x:c r="N18" s="30"/>
    </x:row>
    <x:row r="19">
      <x:c r="A19" s="30"/>
      <x:c r="B19" s="30"/>
      <x:c r="C19" s="30"/>
      <x:c r="D19" s="30"/>
      <x:c r="E19" s="30"/>
      <x:c r="F19" s="30"/>
      <x:c r="G19" s="30"/>
      <x:c r="H19" s="30"/>
      <x:c r="I19" s="30"/>
      <x:c r="J19" s="30"/>
      <x:c r="K19" s="30"/>
      <x:c r="L19" s="30"/>
      <x:c r="M19" s="30"/>
      <x:c r="N19" s="30"/>
    </x:row>
    <x:row r="20">
      <x:c r="A20" s="30"/>
      <x:c r="B20" s="30"/>
      <x:c r="C20" s="30"/>
      <x:c r="D20" s="30"/>
      <x:c r="E20" s="30"/>
      <x:c r="F20" s="30"/>
      <x:c r="G20" s="30"/>
      <x:c r="H20" s="30"/>
      <x:c r="I20" s="30"/>
      <x:c r="J20" s="30"/>
      <x:c r="K20" s="30"/>
      <x:c r="L20" s="30"/>
      <x:c r="M20" s="30"/>
      <x:c r="N20" s="30"/>
    </x:row>
  </x:sheetData>
  <x:mergeCells>
    <x:mergeCell ref="A1:N1"/>
    <x:mergeCell ref="A17:N20"/>
  </x:mergeCells>
  <x:pageMargins left="0.7" right="0.7" top="0.75" bottom="0.75" header="0.3" footer="0.3"/>
  <x:tableParts count="1">
    <x:tablePart xmlns:r="http://schemas.openxmlformats.org/officeDocument/2006/relationships" r:id="R87baca1064a545b5"/>
  </x:tableParts>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 t="str">
        <x:v>Master Thesis Documentation — Interpretation of the Characterization Campaign</x:v>
      </x:c>
      <x:c r="B1" s="4"/>
      <x:c r="C1" s="4"/>
      <x:c r="D1" s="4"/>
      <x:c r="E1" s="4"/>
      <x:c r="F1" s="4"/>
      <x:c r="G1" s="4"/>
      <x:c r="H1" s="4"/>
    </x:row>
    <x:row r="3">
      <x:c r="A3" s="25" t="str">
        <x:v>1. Experimental scope</x:v>
      </x:c>
      <x:c r="B3" s="25"/>
      <x:c r="C3" s="25"/>
      <x:c r="D3" s="25"/>
      <x:c r="E3" s="25"/>
      <x:c r="F3" s="25"/>
      <x:c r="G3" s="25"/>
      <x:c r="H3" s="25"/>
    </x:row>
    <x:row r="4">
      <x:c r="A4" s="30" t="str">
        <x:v>The dataset characterizes the complete command-to-acceleration path comprising the ESP32 DAC output, class-D amplifier, Visaton EX 45 S, mechanical attachment/plate and ADXL2 measurement location. It therefore represents the installed secondary path rather than an intrinsic free-actuator force constant. The tool was switched off. Eleven discrete excitation frequencies from 100 to 350 Hz were tested, each at DAC values 10–15. One independent measurement was collected at each DAC condition.</x:v>
      </x:c>
      <x:c r="B4" s="30"/>
      <x:c r="C4" s="30"/>
      <x:c r="D4" s="30"/>
      <x:c r="E4" s="30"/>
      <x:c r="F4" s="30"/>
      <x:c r="G4" s="30"/>
      <x:c r="H4" s="30"/>
    </x:row>
    <x:row r="5">
      <x:c r="A5" s="30"/>
      <x:c r="B5" s="30"/>
      <x:c r="C5" s="30"/>
      <x:c r="D5" s="30"/>
      <x:c r="E5" s="30"/>
      <x:c r="F5" s="30"/>
      <x:c r="G5" s="30"/>
      <x:c r="H5" s="30"/>
    </x:row>
    <x:row r="6">
      <x:c r="A6" s="30"/>
      <x:c r="B6" s="30"/>
      <x:c r="C6" s="30"/>
      <x:c r="D6" s="30"/>
      <x:c r="E6" s="30"/>
      <x:c r="F6" s="30"/>
      <x:c r="G6" s="30"/>
      <x:c r="H6" s="30"/>
    </x:row>
    <x:row r="8">
      <x:c r="A8" s="25" t="str">
        <x:v>2. Frequency fidelity and signal-processing validation</x:v>
      </x:c>
      <x:c r="B8" s="25"/>
      <x:c r="C8" s="25"/>
      <x:c r="D8" s="25"/>
      <x:c r="E8" s="25"/>
      <x:c r="F8" s="25"/>
      <x:c r="G8" s="25"/>
      <x:c r="H8" s="25"/>
    </x:row>
    <x:row r="9">
      <x:c r="A9" s="30" t="str">
        <x:v>The triaxial vector FFT remained extremely close to the commanded excitation frequency at every accepted point. This validates the hardware-timer NCO excitation architecture and the commanded-frequency measurement strategy. The blind FFT remains useful for identifying harmonics or competing structural components, but it should not be used alone to define actuator direction when the commanded-frequency response on one axis is weak.</x:v>
      </x:c>
      <x:c r="B9" s="30"/>
      <x:c r="C9" s="30"/>
      <x:c r="D9" s="30"/>
      <x:c r="E9" s="30"/>
      <x:c r="F9" s="30"/>
      <x:c r="G9" s="30"/>
      <x:c r="H9" s="30"/>
    </x:row>
    <x:row r="10">
      <x:c r="A10" s="30"/>
      <x:c r="B10" s="30"/>
      <x:c r="C10" s="30"/>
      <x:c r="D10" s="30"/>
      <x:c r="E10" s="30"/>
      <x:c r="F10" s="30"/>
      <x:c r="G10" s="30"/>
      <x:c r="H10" s="30"/>
    </x:row>
    <x:row r="11">
      <x:c r="A11" s="30"/>
      <x:c r="B11" s="30"/>
      <x:c r="C11" s="30"/>
      <x:c r="D11" s="30"/>
      <x:c r="E11" s="30"/>
      <x:c r="F11" s="30"/>
      <x:c r="G11" s="30"/>
      <x:c r="H11" s="30"/>
    </x:row>
    <x:row r="13">
      <x:c r="A13" s="25" t="str">
        <x:v>3. Frequency-dependent directional response</x:v>
      </x:c>
      <x:c r="B13" s="25"/>
      <x:c r="C13" s="25"/>
      <x:c r="D13" s="25"/>
      <x:c r="E13" s="25"/>
      <x:c r="F13" s="25"/>
      <x:c r="G13" s="25"/>
      <x:c r="H13" s="25"/>
    </x:row>
    <x:row r="14">
      <x:c r="A14" s="30" t="str">
        <x:v>The measured response cannot be represented by a single fixed mechanical axis. At 125 Hz and 325 Hz, Y is the dominant exact-frequency component throughout DAC 10–15. From 175 through 300 Hz the response is predominantly Z-directed. At 350 Hz Z remains largest but the Y contribution grows with drive. This demonstrates a frequency-dependent three-dimensional transfer response of the complete actuator–mount structure.</x:v>
      </x:c>
      <x:c r="B14" s="30"/>
      <x:c r="C14" s="30"/>
      <x:c r="D14" s="30"/>
      <x:c r="E14" s="30"/>
      <x:c r="F14" s="30"/>
      <x:c r="G14" s="30"/>
      <x:c r="H14" s="30"/>
    </x:row>
    <x:row r="15">
      <x:c r="A15" s="30"/>
      <x:c r="B15" s="30"/>
      <x:c r="C15" s="30"/>
      <x:c r="D15" s="30"/>
      <x:c r="E15" s="30"/>
      <x:c r="F15" s="30"/>
      <x:c r="G15" s="30"/>
      <x:c r="H15" s="30"/>
    </x:row>
    <x:row r="16">
      <x:c r="A16" s="30"/>
      <x:c r="B16" s="30"/>
      <x:c r="C16" s="30"/>
      <x:c r="D16" s="30"/>
      <x:c r="E16" s="30"/>
      <x:c r="F16" s="30"/>
      <x:c r="G16" s="30"/>
      <x:c r="H16" s="30"/>
    </x:row>
    <x:row r="18">
      <x:c r="A18" s="25" t="str">
        <x:v>4. Amplitude-dependent directional transitions</x:v>
      </x:c>
      <x:c r="B18" s="25"/>
      <x:c r="C18" s="25"/>
      <x:c r="D18" s="25"/>
      <x:c r="E18" s="25"/>
      <x:c r="F18" s="25"/>
      <x:c r="G18" s="25"/>
      <x:c r="H18" s="25"/>
    </x:row>
    <x:row r="19">
      <x:c r="A19" s="30" t="str">
        <x:v>The 100 Hz and 150 Hz datasets show that direction is not only frequency dependent but can also depend on excitation magnitude. At 100 Hz the response changes from Z-dominant at DAC 10–11 to X-dominant from DAC 12 upward. At 150 Hz the response changes from Z-dominant to Y-dominant near DAC 14. These transitions coincide with abrupt acceleration increases and should therefore be treated as amplitude-dependent state changes rather than simple linear axis scaling.</x:v>
      </x:c>
      <x:c r="B19" s="30"/>
      <x:c r="C19" s="30"/>
      <x:c r="D19" s="30"/>
      <x:c r="E19" s="30"/>
      <x:c r="F19" s="30"/>
      <x:c r="G19" s="30"/>
      <x:c r="H19" s="30"/>
    </x:row>
    <x:row r="20">
      <x:c r="A20" s="30"/>
      <x:c r="B20" s="30"/>
      <x:c r="C20" s="30"/>
      <x:c r="D20" s="30"/>
      <x:c r="E20" s="30"/>
      <x:c r="F20" s="30"/>
      <x:c r="G20" s="30"/>
      <x:c r="H20" s="30"/>
    </x:row>
    <x:row r="21">
      <x:c r="A21" s="30"/>
      <x:c r="B21" s="30"/>
      <x:c r="C21" s="30"/>
      <x:c r="D21" s="30"/>
      <x:c r="E21" s="30"/>
      <x:c r="F21" s="30"/>
      <x:c r="G21" s="30"/>
      <x:c r="H21" s="30"/>
    </x:row>
    <x:row r="23">
      <x:c r="A23" s="25" t="str">
        <x:v>5. Nonlinearity and harmonic indicators</x:v>
      </x:c>
      <x:c r="B23" s="25"/>
      <x:c r="C23" s="25"/>
      <x:c r="D23" s="25"/>
      <x:c r="E23" s="25"/>
      <x:c r="F23" s="25"/>
      <x:c r="G23" s="25"/>
      <x:c r="H23" s="25"/>
    </x:row>
    <x:row r="24">
      <x:c r="A24" s="30" t="str">
        <x:v>The low-frequency high-DAC regime contains strong blind-FFT peaks near integer multiples of the commanded frequency. Examples include an approximately 200 Hz component during 100 Hz excitation and approximately 375/450 Hz components during 125/150 Hz excitation. Because these components become prominent near the same drive levels where the gain changes abruptly, the data are consistent with nonlinear mechanical/electromechanical behavior. Possible causes include mounting contact, preload, structural nonlinearity, actuator suspension behavior or amplifier/load effects; the present dataset alone cannot uniquely identify the cause.</x:v>
      </x:c>
      <x:c r="B24" s="30"/>
      <x:c r="C24" s="30"/>
      <x:c r="D24" s="30"/>
      <x:c r="E24" s="30"/>
      <x:c r="F24" s="30"/>
      <x:c r="G24" s="30"/>
      <x:c r="H24" s="30"/>
    </x:row>
    <x:row r="25">
      <x:c r="A25" s="30"/>
      <x:c r="B25" s="30"/>
      <x:c r="C25" s="30"/>
      <x:c r="D25" s="30"/>
      <x:c r="E25" s="30"/>
      <x:c r="F25" s="30"/>
      <x:c r="G25" s="30"/>
      <x:c r="H25" s="30"/>
    </x:row>
    <x:row r="26">
      <x:c r="A26" s="30"/>
      <x:c r="B26" s="30"/>
      <x:c r="C26" s="30"/>
      <x:c r="D26" s="30"/>
      <x:c r="E26" s="30"/>
      <x:c r="F26" s="30"/>
      <x:c r="G26" s="30"/>
      <x:c r="H26" s="30"/>
    </x:row>
    <x:row r="28">
      <x:c r="A28" s="25" t="str">
        <x:v>6. Approximately proportional operating region</x:v>
      </x:c>
      <x:c r="B28" s="25"/>
      <x:c r="C28" s="25"/>
      <x:c r="D28" s="25"/>
      <x:c r="E28" s="25"/>
      <x:c r="F28" s="25"/>
      <x:c r="G28" s="25"/>
      <x:c r="H28" s="25"/>
    </x:row>
    <x:row r="29">
      <x:c r="A29" s="30" t="str">
        <x:v>From approximately 200 Hz upward, the DAC-to-resultant-acceleration relationship becomes substantially more predictable. The cleanest proportionality is observed at 250, 275, 300, 325 and 350 Hz. In these cases the total acceleration per DAC count varies only weakly over DAC 10–15. Such operating points are more suitable for deterministic amplitude matching because the actuator command has a predictable effect on the measured response.</x:v>
      </x:c>
      <x:c r="B29" s="30"/>
      <x:c r="C29" s="30"/>
      <x:c r="D29" s="30"/>
      <x:c r="E29" s="30"/>
      <x:c r="F29" s="30"/>
      <x:c r="G29" s="30"/>
      <x:c r="H29" s="30"/>
    </x:row>
    <x:row r="30">
      <x:c r="A30" s="30"/>
      <x:c r="B30" s="30"/>
      <x:c r="C30" s="30"/>
      <x:c r="D30" s="30"/>
      <x:c r="E30" s="30"/>
      <x:c r="F30" s="30"/>
      <x:c r="G30" s="30"/>
      <x:c r="H30" s="30"/>
    </x:row>
    <x:row r="31">
      <x:c r="A31" s="30"/>
      <x:c r="B31" s="30"/>
      <x:c r="C31" s="30"/>
      <x:c r="D31" s="30"/>
      <x:c r="E31" s="30"/>
      <x:c r="F31" s="30"/>
      <x:c r="G31" s="30"/>
      <x:c r="H31" s="30"/>
    </x:row>
    <x:row r="33">
      <x:c r="A33" s="25" t="str">
        <x:v>7. Relevance to the ~269–275 Hz active-damping objective</x:v>
      </x:c>
      <x:c r="B33" s="25"/>
      <x:c r="C33" s="25"/>
      <x:c r="D33" s="25"/>
      <x:c r="E33" s="25"/>
      <x:c r="F33" s="25"/>
      <x:c r="G33" s="25"/>
      <x:c r="H33" s="25"/>
    </x:row>
    <x:row r="34">
      <x:c r="A34" s="30" t="str">
        <x:v>Near the tool-relevant frequency region, the actuator is not X-dominant in the current mounting. At 275 Hz, Z is the largest component, Y is secondary and X is substantially weaker. The amplitude response is nevertheless comparatively smooth and the dominant-axis phase is stable. This means that amplitude control near the operating frequency is feasible, but the available mechanical control direction is poorly aligned with a predominantly X disturbance. Mounting/orientation therefore remains a fundamental design variable, not merely a controller-tuning issue.</x:v>
      </x:c>
      <x:c r="B34" s="30"/>
      <x:c r="C34" s="30"/>
      <x:c r="D34" s="30"/>
      <x:c r="E34" s="30"/>
      <x:c r="F34" s="30"/>
      <x:c r="G34" s="30"/>
      <x:c r="H34" s="30"/>
    </x:row>
    <x:row r="35">
      <x:c r="A35" s="30"/>
      <x:c r="B35" s="30"/>
      <x:c r="C35" s="30"/>
      <x:c r="D35" s="30"/>
      <x:c r="E35" s="30"/>
      <x:c r="F35" s="30"/>
      <x:c r="G35" s="30"/>
      <x:c r="H35" s="30"/>
    </x:row>
    <x:row r="36">
      <x:c r="A36" s="30"/>
      <x:c r="B36" s="30"/>
      <x:c r="C36" s="30"/>
      <x:c r="D36" s="30"/>
      <x:c r="E36" s="30"/>
      <x:c r="F36" s="30"/>
      <x:c r="G36" s="30"/>
      <x:c r="H36" s="30"/>
    </x:row>
    <x:row r="38">
      <x:c r="A38" s="25" t="str">
        <x:v>8. Correct response model and thesis claim</x:v>
      </x:c>
      <x:c r="B38" s="25"/>
      <x:c r="C38" s="25"/>
      <x:c r="D38" s="25"/>
      <x:c r="E38" s="25"/>
      <x:c r="F38" s="25"/>
      <x:c r="G38" s="25"/>
      <x:c r="H38" s="25"/>
    </x:row>
    <x:row r="39">
      <x:c r="A39" s="30" t="str">
        <x:v>The results support modeling the installed actuator path as a three-dimensional, frequency- and drive-dependent response H(f,U). They do not support a universal rule such as 'the Visaton becomes X-dominant above 250 Hz'. Axis dominance is a property of the complete actuator–mount–sensor configuration and can change with both frequency and DAC. This corrected interpretation should supersede earlier preliminary frequency-range-to-axis classifications.</x:v>
      </x:c>
      <x:c r="B39" s="30"/>
      <x:c r="C39" s="30"/>
      <x:c r="D39" s="30"/>
      <x:c r="E39" s="30"/>
      <x:c r="F39" s="30"/>
      <x:c r="G39" s="30"/>
      <x:c r="H39" s="30"/>
    </x:row>
    <x:row r="40">
      <x:c r="A40" s="30"/>
      <x:c r="B40" s="30"/>
      <x:c r="C40" s="30"/>
      <x:c r="D40" s="30"/>
      <x:c r="E40" s="30"/>
      <x:c r="F40" s="30"/>
      <x:c r="G40" s="30"/>
      <x:c r="H40" s="30"/>
    </x:row>
    <x:row r="41">
      <x:c r="A41" s="30"/>
      <x:c r="B41" s="30"/>
      <x:c r="C41" s="30"/>
      <x:c r="D41" s="30"/>
      <x:c r="E41" s="30"/>
      <x:c r="F41" s="30"/>
      <x:c r="G41" s="30"/>
      <x:c r="H41" s="30"/>
    </x:row>
    <x:row r="43">
      <x:c r="A43" s="25" t="str">
        <x:v>9. Experimental limitations</x:v>
      </x:c>
      <x:c r="B43" s="25"/>
      <x:c r="C43" s="25"/>
      <x:c r="D43" s="25"/>
      <x:c r="E43" s="25"/>
      <x:c r="F43" s="25"/>
      <x:c r="G43" s="25"/>
      <x:c r="H43" s="25"/>
    </x:row>
    <x:row r="44">
      <x:c r="A44" s="30" t="str">
        <x:v>Because n = 1, the dataset is not sufficient to establish between-run repeatability. The abrupt 100 Hz and 150 Hz transitions must be repeated at finer DAC resolution with multiple independent measurements. Selected clean operating points should also be repeated without remounting and in forward/reverse order to quantify drift, heating and order effects. Absolute phase should only be interpreted where axis amplitude and synchronization are adequate.</x:v>
      </x:c>
      <x:c r="B44" s="30"/>
      <x:c r="C44" s="30"/>
      <x:c r="D44" s="30"/>
      <x:c r="E44" s="30"/>
      <x:c r="F44" s="30"/>
      <x:c r="G44" s="30"/>
      <x:c r="H44" s="30"/>
    </x:row>
    <x:row r="45">
      <x:c r="A45" s="30"/>
      <x:c r="B45" s="30"/>
      <x:c r="C45" s="30"/>
      <x:c r="D45" s="30"/>
      <x:c r="E45" s="30"/>
      <x:c r="F45" s="30"/>
      <x:c r="G45" s="30"/>
      <x:c r="H45" s="30"/>
    </x:row>
    <x:row r="46">
      <x:c r="A46" s="30"/>
      <x:c r="B46" s="30"/>
      <x:c r="C46" s="30"/>
      <x:c r="D46" s="30"/>
      <x:c r="E46" s="30"/>
      <x:c r="F46" s="30"/>
      <x:c r="G46" s="30"/>
      <x:c r="H46" s="30"/>
    </x:row>
    <x:row r="48">
      <x:c r="A48" s="25" t="str">
        <x:v>10. Recommended validation campaign</x:v>
      </x:c>
      <x:c r="B48" s="25"/>
      <x:c r="C48" s="25"/>
      <x:c r="D48" s="25"/>
      <x:c r="E48" s="25"/>
      <x:c r="F48" s="25"/>
      <x:c r="G48" s="25"/>
      <x:c r="H48" s="25"/>
    </x:row>
    <x:row r="49">
      <x:c r="A49" s="30" t="str">
        <x:v>Repeat 100 Hz over DAC 10–14 and 150 Hz over DAC 11–15 using approximately 0.25 DAC steps and n ≥ 5 to verify the transition thresholds. Repeat representative clean points (200, 250, 275, 300, 325 and 350 Hz) at three drive levels with n ≥ 5. Perform forward and reverse ordering without mechanical changes. If possible, record amplifier output voltage/current so that DAC can later be related to a physical electrical drive quantity.</x:v>
      </x:c>
      <x:c r="B49" s="30"/>
      <x:c r="C49" s="30"/>
      <x:c r="D49" s="30"/>
      <x:c r="E49" s="30"/>
      <x:c r="F49" s="30"/>
      <x:c r="G49" s="30"/>
      <x:c r="H49" s="30"/>
    </x:row>
    <x:row r="50">
      <x:c r="A50" s="30"/>
      <x:c r="B50" s="30"/>
      <x:c r="C50" s="30"/>
      <x:c r="D50" s="30"/>
      <x:c r="E50" s="30"/>
      <x:c r="F50" s="30"/>
      <x:c r="G50" s="30"/>
      <x:c r="H50" s="30"/>
    </x:row>
    <x:row r="51">
      <x:c r="A51" s="30"/>
      <x:c r="B51" s="30"/>
      <x:c r="C51" s="30"/>
      <x:c r="D51" s="30"/>
      <x:c r="E51" s="30"/>
      <x:c r="F51" s="30"/>
      <x:c r="G51" s="30"/>
      <x:c r="H51" s="30"/>
    </x:row>
  </x:sheetData>
  <x:mergeCells>
    <x:mergeCell ref="A1:H1"/>
    <x:mergeCell ref="A3:H3"/>
    <x:mergeCell ref="A4:H6"/>
    <x:mergeCell ref="A8:H8"/>
    <x:mergeCell ref="A9:H11"/>
    <x:mergeCell ref="A13:H13"/>
    <x:mergeCell ref="A14:H16"/>
    <x:mergeCell ref="A18:H18"/>
    <x:mergeCell ref="A19:H21"/>
    <x:mergeCell ref="A23:H23"/>
    <x:mergeCell ref="A24:H26"/>
    <x:mergeCell ref="A28:H28"/>
    <x:mergeCell ref="A29:H31"/>
    <x:mergeCell ref="A33:H33"/>
    <x:mergeCell ref="A34:H36"/>
    <x:mergeCell ref="A38:H38"/>
    <x:mergeCell ref="A39:H41"/>
    <x:mergeCell ref="A43:H43"/>
    <x:mergeCell ref="A44:H46"/>
    <x:mergeCell ref="A48:H48"/>
    <x:mergeCell ref="A49:H51"/>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31" hidden="0" customWidth="1"/>
    <x:col min="5" max="5" width="16" hidden="0" customWidth="1"/>
    <x:col min="7" max="7" width="16" hidden="0" customWidth="1"/>
    <x:col min="8" max="8" width="18" hidden="0" customWidth="1"/>
    <x:col min="9" max="9" width="18" hidden="0" customWidth="1"/>
    <x:col min="10" max="10" width="18" hidden="0" customWidth="1"/>
    <x:col min="12" max="12" width="14" hidden="0" customWidth="1"/>
    <x:col min="13" max="13" width="18" hidden="0" customWidth="1"/>
    <x:col min="14" max="14" width="24" hidden="0" customWidth="1"/>
  </x:cols>
  <x:sheetData>
    <x:row r="1">
      <x:c r="A1" s="4" t="str">
        <x:v>Visaton 3-Axis Characterization Dashboard</x:v>
      </x:c>
      <x:c r="B1" s="79"/>
      <x:c r="C1" s="79"/>
      <x:c r="D1" s="79"/>
      <x:c r="E1" s="79"/>
      <x:c r="F1" s="4"/>
      <x:c r="G1" s="4"/>
      <x:c r="H1" s="79"/>
      <x:c r="I1" s="79"/>
      <x:c r="J1" s="79"/>
      <x:c r="K1" s="4"/>
      <x:c r="L1" s="4"/>
      <x:c r="M1" s="4"/>
      <x:c r="N1" s="4"/>
    </x:row>
    <x:row r="3">
      <x:c r="A3" s="16" t="str">
        <x:v>Dataset KPI</x:v>
      </x:c>
      <x:c r="B3" s="16" t="str">
        <x:v>Value</x:v>
      </x:c>
      <x:c r="D3" s="16" t="str">
        <x:v>Quality KPI</x:v>
      </x:c>
      <x:c r="E3" s="16" t="str">
        <x:v>Value</x:v>
      </x:c>
      <x:c r="L3" s="16" t="str">
        <x:v>Frequency</x:v>
      </x:c>
      <x:c r="M3" s="16" t="str">
        <x:v>Dominant @ DAC15</x:v>
      </x:c>
      <x:c r="N3" s="16" t="str">
        <x:v>Regime</x:v>
      </x:c>
    </x:row>
    <x:row r="4">
      <x:c r="A4" s="22" t="str">
        <x:v>Measurement points</x:v>
      </x:c>
      <x:c r="B4" s="22" t="n">
        <x:v>66</x:v>
      </x:c>
      <x:c r="D4" s="22" t="str">
        <x:v>Maximum |vector freq error| Hz</x:v>
      </x:c>
      <x:c r="E4" s="61" t="n">
        <x:f>MAX('Frequency Analysis'!S2:S12)</x:f>
        <x:v>0.03363999999999123</x:v>
      </x:c>
      <x:c r="L4" s="22" t="n">
        <x:f>'Frequency Analysis'!A2</x:f>
        <x:v>100</x:v>
      </x:c>
      <x:c r="M4" s="22" t="str">
        <x:f>'Frequency Analysis'!C2</x:f>
        <x:v>X</x:v>
      </x:c>
      <x:c r="N4" s="22" t="str">
        <x:f>'Frequency Analysis'!D2</x:f>
        <x:v>Z→X transition</x:v>
      </x:c>
    </x:row>
    <x:row r="5">
      <x:c r="A5" s="22" t="str">
        <x:v>Frequency span</x:v>
      </x:c>
      <x:c r="B5" s="22" t="str">
        <x:v>100–350 Hz</x:v>
      </x:c>
      <x:c r="D5" s="22" t="str">
        <x:v>Most proportional frequency (Hz)</x:v>
      </x:c>
      <x:c r="E5" s="61" t="n">
        <x:f>INDEX('Frequency Analysis'!A2:A12,MATCH(MIN('Frequency Analysis'!O2:O12),'Frequency Analysis'!O2:O12,0))</x:f>
        <x:v>300</x:v>
      </x:c>
      <x:c r="L5" s="22" t="n">
        <x:f>'Frequency Analysis'!A3</x:f>
        <x:v>125</x:v>
      </x:c>
      <x:c r="M5" s="22" t="str">
        <x:f>'Frequency Analysis'!C3</x:f>
        <x:v>Y</x:v>
      </x:c>
      <x:c r="N5" s="22" t="str">
        <x:f>'Frequency Analysis'!D3</x:f>
        <x:v>Stable Y-dominant</x:v>
      </x:c>
    </x:row>
    <x:row r="6">
      <x:c r="A6" s="22" t="str">
        <x:v>DAC span</x:v>
      </x:c>
      <x:c r="B6" s="22" t="str">
        <x:v>10–15</x:v>
      </x:c>
      <x:c r="D6" s="22" t="str">
        <x:v>Lowest Total/DAC CV %</x:v>
      </x:c>
      <x:c r="E6" s="61" t="n">
        <x:f>MIN('Frequency Analysis'!O2:O12)</x:f>
        <x:v>0.41931135997361724</x:v>
      </x:c>
      <x:c r="L6" s="22" t="n">
        <x:f>'Frequency Analysis'!A4</x:f>
        <x:v>150</x:v>
      </x:c>
      <x:c r="M6" s="22" t="str">
        <x:f>'Frequency Analysis'!C4</x:f>
        <x:v>Y</x:v>
      </x:c>
      <x:c r="N6" s="22" t="str">
        <x:f>'Frequency Analysis'!D4</x:f>
        <x:v>Z→Y transition</x:v>
      </x:c>
    </x:row>
    <x:row r="7">
      <x:c r="A7" s="22" t="str">
        <x:v>Independent repeats / point</x:v>
      </x:c>
      <x:c r="B7" s="22" t="n">
        <x:v>1</x:v>
      </x:c>
      <x:c r="D7" s="22" t="str">
        <x:v>Strongest Total @ DAC15 (m/s²)</x:v>
      </x:c>
      <x:c r="E7" s="61" t="n">
        <x:f>MAX('Frequency Analysis'!L2:L12)</x:f>
        <x:v>3.47061</x:v>
      </x:c>
      <x:c r="L7" s="22" t="n">
        <x:f>'Frequency Analysis'!A5</x:f>
        <x:v>175</x:v>
      </x:c>
      <x:c r="M7" s="22" t="str">
        <x:f>'Frequency Analysis'!C5</x:f>
        <x:v>Z</x:v>
      </x:c>
      <x:c r="N7" s="22" t="str">
        <x:f>'Frequency Analysis'!D5</x:f>
        <x:v>Stable Z-dominant</x:v>
      </x:c>
    </x:row>
    <x:row r="8">
      <x:c r="L8" s="22" t="n">
        <x:f>'Frequency Analysis'!A6</x:f>
        <x:v>200</x:v>
      </x:c>
      <x:c r="M8" s="22" t="str">
        <x:f>'Frequency Analysis'!C6</x:f>
        <x:v>Z</x:v>
      </x:c>
      <x:c r="N8" s="22" t="str">
        <x:f>'Frequency Analysis'!D6</x:f>
        <x:v>Stable Z-dominant</x:v>
      </x:c>
    </x:row>
    <x:row r="9">
      <x:c r="L9" s="22" t="n">
        <x:f>'Frequency Analysis'!A7</x:f>
        <x:v>225</x:v>
      </x:c>
      <x:c r="M9" s="22" t="str">
        <x:f>'Frequency Analysis'!C7</x:f>
        <x:v>Z</x:v>
      </x:c>
      <x:c r="N9" s="22" t="str">
        <x:f>'Frequency Analysis'!D7</x:f>
        <x:v>Stable Z-dominant</x:v>
      </x:c>
    </x:row>
    <x:row r="10">
      <x:c r="A10" s="16" t="str">
        <x:v>Frequency</x:v>
      </x:c>
      <x:c r="B10" s="16" t="str">
        <x:v>X @ DAC15</x:v>
      </x:c>
      <x:c r="C10" s="16" t="str">
        <x:v>Y @ DAC15</x:v>
      </x:c>
      <x:c r="D10" s="16" t="str">
        <x:v>Z @ DAC15</x:v>
      </x:c>
      <x:c r="E10" s="16" t="str">
        <x:v>Total @ DAC15</x:v>
      </x:c>
      <x:c r="F10" s="22"/>
      <x:c r="G10" s="16" t="str">
        <x:v>Frequency</x:v>
      </x:c>
      <x:c r="H10" s="16" t="str">
        <x:v>Total/DAC CV %</x:v>
      </x:c>
      <x:c r="I10" s="16" t="str">
        <x:v>R² Total vs DAC</x:v>
      </x:c>
      <x:c r="J10" s="16" t="str">
        <x:v>A15/A10</x:v>
      </x:c>
      <x:c r="L10" s="22" t="n">
        <x:f>'Frequency Analysis'!A8</x:f>
        <x:v>250</x:v>
      </x:c>
      <x:c r="M10" s="22" t="str">
        <x:f>'Frequency Analysis'!C8</x:f>
        <x:v>Z</x:v>
      </x:c>
      <x:c r="N10" s="22" t="str">
        <x:f>'Frequency Analysis'!D8</x:f>
        <x:v>Stable Z-dominant</x:v>
      </x:c>
    </x:row>
    <x:row r="11">
      <x:c r="A11" s="22" t="n">
        <x:f>'Frequency Analysis'!A2</x:f>
        <x:v>100</x:v>
      </x:c>
      <x:c r="B11" s="61" t="n">
        <x:f>'Frequency Analysis'!I2</x:f>
        <x:v>2.31402</x:v>
      </x:c>
      <x:c r="C11" s="61" t="n">
        <x:f>'Frequency Analysis'!J2</x:f>
        <x:v>2.05378</x:v>
      </x:c>
      <x:c r="D11" s="61" t="n">
        <x:f>'Frequency Analysis'!K2</x:f>
        <x:v>1.57215</x:v>
      </x:c>
      <x:c r="E11" s="61" t="n">
        <x:f>'Frequency Analysis'!L2</x:f>
        <x:v>3.47061</x:v>
      </x:c>
      <x:c r="F11" s="22"/>
      <x:c r="G11" s="22" t="n">
        <x:f>'Frequency Analysis'!A2</x:f>
        <x:v>100</x:v>
      </x:c>
      <x:c r="H11" s="61" t="n">
        <x:f>'Frequency Analysis'!O2</x:f>
        <x:v>54.7973743534022</x:v>
      </x:c>
      <x:c r="I11" s="61" t="n">
        <x:f>'Frequency Analysis'!R2</x:f>
        <x:v>0.9700502902541963</x:v>
      </x:c>
      <x:c r="J11" s="61" t="n">
        <x:f>'Frequency Analysis'!M2</x:f>
        <x:v>7.996797235023042</x:v>
      </x:c>
      <x:c r="L11" s="22" t="n">
        <x:f>'Frequency Analysis'!A9</x:f>
        <x:v>275</x:v>
      </x:c>
      <x:c r="M11" s="22" t="str">
        <x:f>'Frequency Analysis'!C9</x:f>
        <x:v>Z</x:v>
      </x:c>
      <x:c r="N11" s="22" t="str">
        <x:f>'Frequency Analysis'!D9</x:f>
        <x:v>Stable Z-dominant</x:v>
      </x:c>
    </x:row>
    <x:row r="12">
      <x:c r="A12" s="22" t="n">
        <x:f>'Frequency Analysis'!A3</x:f>
        <x:v>125</x:v>
      </x:c>
      <x:c r="B12" s="61" t="n">
        <x:f>'Frequency Analysis'!I3</x:f>
        <x:v>0.79395</x:v>
      </x:c>
      <x:c r="C12" s="61" t="n">
        <x:f>'Frequency Analysis'!J3</x:f>
        <x:v>2.26703</x:v>
      </x:c>
      <x:c r="D12" s="61" t="n">
        <x:f>'Frequency Analysis'!K3</x:f>
        <x:v>0.70313</x:v>
      </x:c>
      <x:c r="E12" s="61" t="n">
        <x:f>'Frequency Analysis'!L3</x:f>
        <x:v>2.50293</x:v>
      </x:c>
      <x:c r="F12" s="22"/>
      <x:c r="G12" s="22" t="n">
        <x:f>'Frequency Analysis'!A3</x:f>
        <x:v>125</x:v>
      </x:c>
      <x:c r="H12" s="61" t="n">
        <x:f>'Frequency Analysis'!O3</x:f>
        <x:v>37.504538397589876</x:v>
      </x:c>
      <x:c r="I12" s="61" t="n">
        <x:f>'Frequency Analysis'!R3</x:f>
        <x:v>0.9977404876740913</x:v>
      </x:c>
      <x:c r="J12" s="61" t="n">
        <x:f>'Frequency Analysis'!M3</x:f>
        <x:v>5.089635398661977</x:v>
      </x:c>
      <x:c r="L12" s="22" t="n">
        <x:f>'Frequency Analysis'!A10</x:f>
        <x:v>300</x:v>
      </x:c>
      <x:c r="M12" s="22" t="str">
        <x:f>'Frequency Analysis'!C10</x:f>
        <x:v>Z</x:v>
      </x:c>
      <x:c r="N12" s="22" t="str">
        <x:f>'Frequency Analysis'!D10</x:f>
        <x:v>Stable Z-dominant</x:v>
      </x:c>
    </x:row>
    <x:row r="13">
      <x:c r="A13" s="22" t="n">
        <x:f>'Frequency Analysis'!A4</x:f>
        <x:v>150</x:v>
      </x:c>
      <x:c r="B13" s="61" t="n">
        <x:f>'Frequency Analysis'!I4</x:f>
        <x:v>0.30715</x:v>
      </x:c>
      <x:c r="C13" s="61" t="n">
        <x:f>'Frequency Analysis'!J4</x:f>
        <x:v>0.92824</x:v>
      </x:c>
      <x:c r="D13" s="61" t="n">
        <x:f>'Frequency Analysis'!K4</x:f>
        <x:v>0.80842</x:v>
      </x:c>
      <x:c r="E13" s="61" t="n">
        <x:f>'Frequency Analysis'!L4</x:f>
        <x:v>1.26878</x:v>
      </x:c>
      <x:c r="F13" s="22"/>
      <x:c r="G13" s="22" t="n">
        <x:f>'Frequency Analysis'!A4</x:f>
        <x:v>150</x:v>
      </x:c>
      <x:c r="H13" s="61" t="n">
        <x:f>'Frequency Analysis'!O4</x:f>
        <x:v>67.05580336980724</x:v>
      </x:c>
      <x:c r="I13" s="61" t="n">
        <x:f>'Frequency Analysis'!R4</x:f>
        <x:v>0.9023600018006195</x:v>
      </x:c>
      <x:c r="J13" s="61" t="n">
        <x:f>'Frequency Analysis'!M4</x:f>
        <x:v>7.072746529906907</x:v>
      </x:c>
      <x:c r="L13" s="22" t="n">
        <x:f>'Frequency Analysis'!A11</x:f>
        <x:v>325</x:v>
      </x:c>
      <x:c r="M13" s="22" t="str">
        <x:f>'Frequency Analysis'!C11</x:f>
        <x:v>Y</x:v>
      </x:c>
      <x:c r="N13" s="22" t="str">
        <x:f>'Frequency Analysis'!D11</x:f>
        <x:v>Stable Y-dominant</x:v>
      </x:c>
    </x:row>
    <x:row r="14">
      <x:c r="A14" s="22" t="n">
        <x:f>'Frequency Analysis'!A5</x:f>
        <x:v>175</x:v>
      </x:c>
      <x:c r="B14" s="61" t="n">
        <x:f>'Frequency Analysis'!I5</x:f>
        <x:v>0.02367</x:v>
      </x:c>
      <x:c r="C14" s="61" t="n">
        <x:f>'Frequency Analysis'!J5</x:f>
        <x:v>0.19369</x:v>
      </x:c>
      <x:c r="D14" s="61" t="n">
        <x:f>'Frequency Analysis'!K5</x:f>
        <x:v>0.48801</x:v>
      </x:c>
      <x:c r="E14" s="61" t="n">
        <x:f>'Frequency Analysis'!L5</x:f>
        <x:v>0.52734</x:v>
      </x:c>
      <x:c r="F14" s="22"/>
      <x:c r="G14" s="22" t="n">
        <x:f>'Frequency Analysis'!A5</x:f>
        <x:v>175</x:v>
      </x:c>
      <x:c r="H14" s="61" t="n">
        <x:f>'Frequency Analysis'!O5</x:f>
        <x:v>8.059042124743886</x:v>
      </x:c>
      <x:c r="I14" s="61" t="n">
        <x:f>'Frequency Analysis'!R5</x:f>
        <x:v>0.9396948440468634</x:v>
      </x:c>
      <x:c r="J14" s="61" t="n">
        <x:f>'Frequency Analysis'!M5</x:f>
        <x:v>1.8865238078202697</x:v>
      </x:c>
      <x:c r="L14" s="22" t="n">
        <x:f>'Frequency Analysis'!A12</x:f>
        <x:v>350</x:v>
      </x:c>
      <x:c r="M14" s="22" t="str">
        <x:f>'Frequency Analysis'!C12</x:f>
        <x:v>Z</x:v>
      </x:c>
      <x:c r="N14" s="22" t="str">
        <x:f>'Frequency Analysis'!D12</x:f>
        <x:v>Stable Z-dominant</x:v>
      </x:c>
    </x:row>
    <x:row r="15">
      <x:c r="A15" s="22" t="n">
        <x:f>'Frequency Analysis'!A6</x:f>
        <x:v>200</x:v>
      </x:c>
      <x:c r="B15" s="61" t="n">
        <x:f>'Frequency Analysis'!I6</x:f>
        <x:v>0.02327</x:v>
      </x:c>
      <x:c r="C15" s="61" t="n">
        <x:f>'Frequency Analysis'!J6</x:f>
        <x:v>0.20091</x:v>
      </x:c>
      <x:c r="D15" s="61" t="n">
        <x:f>'Frequency Analysis'!K6</x:f>
        <x:v>0.58172</x:v>
      </x:c>
      <x:c r="E15" s="61" t="n">
        <x:f>'Frequency Analysis'!L6</x:f>
        <x:v>0.61603</x:v>
      </x:c>
      <x:c r="F15" s="22"/>
      <x:c r="G15" s="22" t="n">
        <x:f>'Frequency Analysis'!A6</x:f>
        <x:v>200</x:v>
      </x:c>
      <x:c r="H15" s="61" t="n">
        <x:f>'Frequency Analysis'!O6</x:f>
        <x:v>3.0182699852363095</x:v>
      </x:c>
      <x:c r="I15" s="61" t="n">
        <x:f>'Frequency Analysis'!R6</x:f>
        <x:v>0.9965417131133769</x:v>
      </x:c>
      <x:c r="J15" s="61" t="n">
        <x:f>'Frequency Analysis'!M6</x:f>
        <x:v>1.631694654871007</x:v>
      </x:c>
    </x:row>
    <x:row r="16">
      <x:c r="A16" s="22" t="n">
        <x:f>'Frequency Analysis'!A7</x:f>
        <x:v>225</x:v>
      </x:c>
      <x:c r="B16" s="61" t="n">
        <x:f>'Frequency Analysis'!I7</x:f>
        <x:v>0.03635</x:v>
      </x:c>
      <x:c r="C16" s="61" t="n">
        <x:f>'Frequency Analysis'!J7</x:f>
        <x:v>0.28218</x:v>
      </x:c>
      <x:c r="D16" s="61" t="n">
        <x:f>'Frequency Analysis'!K7</x:f>
        <x:v>0.43474</x:v>
      </x:c>
      <x:c r="E16" s="61" t="n">
        <x:f>'Frequency Analysis'!L7</x:f>
        <x:v>0.51993</x:v>
      </x:c>
      <x:c r="F16" s="22"/>
      <x:c r="G16" s="22" t="n">
        <x:f>'Frequency Analysis'!A7</x:f>
        <x:v>225</x:v>
      </x:c>
      <x:c r="H16" s="61" t="n">
        <x:f>'Frequency Analysis'!O7</x:f>
        <x:v>4.083036133202521</x:v>
      </x:c>
      <x:c r="I16" s="61" t="n">
        <x:f>'Frequency Analysis'!R7</x:f>
        <x:v>0.991496699408417</x:v>
      </x:c>
      <x:c r="J16" s="61" t="n">
        <x:f>'Frequency Analysis'!M7</x:f>
        <x:v>1.6807719661214198</x:v>
      </x:c>
    </x:row>
    <x:row r="17">
      <x:c r="A17" s="22" t="n">
        <x:f>'Frequency Analysis'!A8</x:f>
        <x:v>250</x:v>
      </x:c>
      <x:c r="B17" s="61" t="n">
        <x:f>'Frequency Analysis'!I8</x:f>
        <x:v>0.0975</x:v>
      </x:c>
      <x:c r="C17" s="61" t="n">
        <x:f>'Frequency Analysis'!J8</x:f>
        <x:v>0.40939</x:v>
      </x:c>
      <x:c r="D17" s="61" t="n">
        <x:f>'Frequency Analysis'!K8</x:f>
        <x:v>0.7997</x:v>
      </x:c>
      <x:c r="E17" s="61" t="n">
        <x:f>'Frequency Analysis'!L8</x:f>
        <x:v>0.90656</x:v>
      </x:c>
      <x:c r="F17" s="22"/>
      <x:c r="G17" s="22" t="n">
        <x:f>'Frequency Analysis'!A8</x:f>
        <x:v>250</x:v>
      </x:c>
      <x:c r="H17" s="61" t="n">
        <x:f>'Frequency Analysis'!O8</x:f>
        <x:v>0.6182064100151987</x:v>
      </x:c>
      <x:c r="I17" s="61" t="n">
        <x:f>'Frequency Analysis'!R8</x:f>
        <x:v>0.9983106204252103</x:v>
      </x:c>
      <x:c r="J17" s="61" t="n">
        <x:f>'Frequency Analysis'!M8</x:f>
        <x:v>1.4901213057628455</x:v>
      </x:c>
    </x:row>
    <x:row r="18">
      <x:c r="A18" s="22" t="n">
        <x:f>'Frequency Analysis'!A9</x:f>
        <x:v>275</x:v>
      </x:c>
      <x:c r="B18" s="61" t="n">
        <x:f>'Frequency Analysis'!I9</x:f>
        <x:v>0.1935</x:v>
      </x:c>
      <x:c r="C18" s="61" t="n">
        <x:f>'Frequency Analysis'!J9</x:f>
        <x:v>0.50459</x:v>
      </x:c>
      <x:c r="D18" s="61" t="n">
        <x:f>'Frequency Analysis'!K9</x:f>
        <x:v>1.0661</x:v>
      </x:c>
      <x:c r="E18" s="61" t="n">
        <x:f>'Frequency Analysis'!L9</x:f>
        <x:v>1.19635</x:v>
      </x:c>
      <x:c r="F18" s="22"/>
      <x:c r="G18" s="22" t="n">
        <x:f>'Frequency Analysis'!A9</x:f>
        <x:v>275</x:v>
      </x:c>
      <x:c r="H18" s="61" t="n">
        <x:f>'Frequency Analysis'!O9</x:f>
        <x:v>2.248900371311409</x:v>
      </x:c>
      <x:c r="I18" s="61" t="n">
        <x:f>'Frequency Analysis'!R9</x:f>
        <x:v>0.9972249310602674</x:v>
      </x:c>
      <x:c r="J18" s="61" t="n">
        <x:f>'Frequency Analysis'!M9</x:f>
        <x:v>1.6045897153893613</x:v>
      </x:c>
    </x:row>
    <x:row r="19">
      <x:c r="A19" s="22" t="n">
        <x:f>'Frequency Analysis'!A10</x:f>
        <x:v>300</x:v>
      </x:c>
      <x:c r="B19" s="61" t="n">
        <x:f>'Frequency Analysis'!I10</x:f>
        <x:v>0.37804</x:v>
      </x:c>
      <x:c r="C19" s="61" t="n">
        <x:f>'Frequency Analysis'!J10</x:f>
        <x:v>0.63158</x:v>
      </x:c>
      <x:c r="D19" s="61" t="n">
        <x:f>'Frequency Analysis'!K10</x:f>
        <x:v>0.87515</x:v>
      </x:c>
      <x:c r="E19" s="61" t="n">
        <x:f>'Frequency Analysis'!L10</x:f>
        <x:v>1.1439</x:v>
      </x:c>
      <x:c r="F19" s="22"/>
      <x:c r="G19" s="22" t="n">
        <x:f>'Frequency Analysis'!A10</x:f>
        <x:v>300</x:v>
      </x:c>
      <x:c r="H19" s="61" t="n">
        <x:f>'Frequency Analysis'!O10</x:f>
        <x:v>0.41931135997361724</x:v>
      </x:c>
      <x:c r="I19" s="61" t="n">
        <x:f>'Frequency Analysis'!R10</x:f>
        <x:v>0.9993654574969428</x:v>
      </x:c>
      <x:c r="J19" s="61" t="n">
        <x:f>'Frequency Analysis'!M10</x:f>
        <x:v>1.4933030469178348</x:v>
      </x:c>
    </x:row>
    <x:row r="20">
      <x:c r="A20" s="22" t="n">
        <x:f>'Frequency Analysis'!A11</x:f>
        <x:v>325</x:v>
      </x:c>
      <x:c r="B20" s="61" t="n">
        <x:f>'Frequency Analysis'!I11</x:f>
        <x:v>0.4409</x:v>
      </x:c>
      <x:c r="C20" s="61" t="n">
        <x:f>'Frequency Analysis'!J11</x:f>
        <x:v>0.7119</x:v>
      </x:c>
      <x:c r="D20" s="61" t="n">
        <x:f>'Frequency Analysis'!K11</x:f>
        <x:v>0.21045</x:v>
      </x:c>
      <x:c r="E20" s="61" t="n">
        <x:f>'Frequency Analysis'!L11</x:f>
        <x:v>0.86391</x:v>
      </x:c>
      <x:c r="F20" s="22"/>
      <x:c r="G20" s="22" t="n">
        <x:f>'Frequency Analysis'!A11</x:f>
        <x:v>325</x:v>
      </x:c>
      <x:c r="H20" s="61" t="n">
        <x:f>'Frequency Analysis'!O11</x:f>
        <x:v>1.2894190591230814</x:v>
      </x:c>
      <x:c r="I20" s="61" t="n">
        <x:f>'Frequency Analysis'!R11</x:f>
        <x:v>0.9979997292669341</x:v>
      </x:c>
      <x:c r="J20" s="61" t="n">
        <x:f>'Frequency Analysis'!M11</x:f>
        <x:v>1.547920660801634</x:v>
      </x:c>
    </x:row>
    <x:row r="21">
      <x:c r="A21" s="22" t="n">
        <x:f>'Frequency Analysis'!A12</x:f>
        <x:v>350</x:v>
      </x:c>
      <x:c r="B21" s="61" t="n">
        <x:f>'Frequency Analysis'!I12</x:f>
        <x:v>0.26629</x:v>
      </x:c>
      <x:c r="C21" s="61" t="n">
        <x:f>'Frequency Analysis'!J12</x:f>
        <x:v>0.71421</x:v>
      </x:c>
      <x:c r="D21" s="61" t="n">
        <x:f>'Frequency Analysis'!K12</x:f>
        <x:v>0.85805</x:v>
      </x:c>
      <x:c r="E21" s="61" t="n">
        <x:f>'Frequency Analysis'!L12</x:f>
        <x:v>1.14839</x:v>
      </x:c>
      <x:c r="F21" s="22"/>
      <x:c r="G21" s="22" t="n">
        <x:f>'Frequency Analysis'!A12</x:f>
        <x:v>350</x:v>
      </x:c>
      <x:c r="H21" s="61" t="n">
        <x:f>'Frequency Analysis'!O12</x:f>
        <x:v>1.2351774770329138</x:v>
      </x:c>
      <x:c r="I21" s="61" t="n">
        <x:f>'Frequency Analysis'!R12</x:f>
        <x:v>0.9924227546748747</x:v>
      </x:c>
      <x:c r="J21" s="61" t="n">
        <x:f>'Frequency Analysis'!M12</x:f>
        <x:v>1.5155862323813547</x:v>
      </x:c>
    </x:row>
  </x:sheetData>
  <x:mergeCells>
    <x:mergeCell ref="A1:N1"/>
  </x:mergeCells>
  <x:pageMargins left="0.7" right="0.7" top="0.75" bottom="0.75" header="0.3" footer="0.3"/>
  <x:drawing xmlns:r="http://schemas.openxmlformats.org/officeDocument/2006/relationships" r:id="Rae794b8f46634976"/>
</x:worksheet>
</file>

<file path=xl/worksheets/sheet10.xml><?xml version="1.0" encoding="utf-8"?>
<x:worksheet xmlns:x="http://schemas.openxmlformats.org/spreadsheetml/2006/main">
  <x:sheetFormatPr defaultRowHeight="15"/>
  <x:cols>
    <x:col min="1" max="1" width="24" hidden="0" customWidth="1"/>
    <x:col min="2" max="2" width="82" hidden="0" customWidth="1"/>
  </x:cols>
  <x:sheetData>
    <x:row r="1">
      <x:c r="A1" s="83" t="str">
        <x:v>Visaton EX 45 S — Inclined Frequency-Control Characterization</x:v>
      </x:c>
      <x:c r="B1" s="83"/>
      <x:c r="C1" s="83"/>
      <x:c r="D1" s="83"/>
      <x:c r="E1" s="83"/>
      <x:c r="F1" s="83"/>
      <x:c r="G1" s="83"/>
      <x:c r="H1" s="83"/>
      <x:c r="I1" s="83"/>
      <x:c r="J1" s="83"/>
    </x:row>
    <x:row r="2">
      <x:c r="A2" s="86" t="str">
        <x:v>Primary dataset for selecting the final active-cancellation axis. 100–325 Hz, DAC 11–20, tool OFF, inclined actuator/sensor assembly.</x:v>
      </x:c>
      <x:c r="B2" s="86"/>
      <x:c r="C2" s="86"/>
      <x:c r="D2" s="86"/>
      <x:c r="E2" s="86"/>
      <x:c r="F2" s="86"/>
      <x:c r="G2" s="86"/>
      <x:c r="H2" s="86"/>
      <x:c r="I2" s="86"/>
      <x:c r="J2" s="86"/>
    </x:row>
    <x:row r="4">
      <x:c r="A4" s="91" t="str">
        <x:v>Topic</x:v>
      </x:c>
      <x:c r="B4" s="91" t="str">
        <x:v>Master-thesis interpretation</x:v>
      </x:c>
    </x:row>
    <x:row r="5">
      <x:c r="A5" s="94" t="str">
        <x:v>Frequency fidelity</x:v>
      </x:c>
      <x:c r="B5" s="29" t="str">
        <x:v>Excellent. Vector-frequency tracking remains essentially equal to the commanded frequency across the map; worst observed error is about 0.10 Hz.</x:v>
      </x:c>
    </x:row>
    <x:row r="6">
      <x:c r="A6" s="94" t="str">
        <x:v>100–150 Hz</x:v>
      </x:c>
      <x:c r="B6" s="29" t="str">
        <x:v>Z is consistently dominant and monotonic, but synchronization is only moderate. X and Y are weak/low-coherence.</x:v>
      </x:c>
    </x:row>
    <x:row r="7">
      <x:c r="A7" s="94" t="str">
        <x:v>175–200 Hz</x:v>
      </x:c>
      <x:c r="B7" s="29" t="str">
        <x:v>Z remains dominant. Control quality improves; 200 Hz is a clearly useful Z-control region.</x:v>
      </x:c>
    </x:row>
    <x:row r="8">
      <x:c r="A8" s="94" t="str">
        <x:v>225–250 Hz</x:v>
      </x:c>
      <x:c r="B8" s="29" t="str">
        <x:v>Z shows high synchronization, low CV and monotonic DAC response. Y becomes increasingly usable, especially at 250 Hz.</x:v>
      </x:c>
    </x:row>
    <x:row r="9">
      <x:c r="A9" s="94" t="str">
        <x:v>268–275 Hz</x:v>
      </x:c>
      <x:c r="B9" s="29" t="str">
        <x:v>Strong Y–Z coupled regime. Y is often largest at lower/mid DAC, while Z has consistently higher synchronization and becomes comparable/larger at high DAC.</x:v>
      </x:c>
    </x:row>
    <x:row r="10">
      <x:c r="A10" s="94" t="str">
        <x:v>300–325 Hz</x:v>
      </x:c>
      <x:c r="B10" s="29" t="str">
        <x:v>Z becomes strongly dominant again. Output grows sharply with frequency and DAC; this is a high-gain region requiring conservative DAC limits.</x:v>
      </x:c>
    </x:row>
    <x:row r="11">
      <x:c r="A11" s="94" t="str">
        <x:v>X-axis conclusion</x:v>
      </x:c>
      <x:c r="B11" s="29" t="str">
        <x:v>X is measurable but weak and poorly synchronized through most of the inclined frequency map. It is not the preferred actuator-control axis.</x:v>
      </x:c>
    </x:row>
    <x:row r="12">
      <x:c r="A12" s="94" t="str">
        <x:v>Final phase-sweep implication</x:v>
      </x:c>
      <x:c r="B12" s="29" t="str">
        <x:v>For the tool-relevant 268–270 Hz range, Z is the strongest first-choice phase-sweep axis from the actuator side; Y is the secondary candidate.</x:v>
      </x:c>
    </x:row>
    <x:row r="13">
      <x:c r="A13" s="94" t="str">
        <x:v>Validation limitation</x:v>
      </x:c>
      <x:c r="B13" s="29" t="str">
        <x:v>Most points use n=1 independent repeat. Repeat only selected final points (especially 268/270 Hz) with n≥3–5 before freezing phase and exact gain values.</x:v>
      </x:c>
    </x:row>
    <x:row r="16">
      <x:c r="A16" s="91" t="str">
        <x:v>Freq Hz</x:v>
      </x:c>
      <x:c r="B16" s="91" t="str">
        <x:v>X A15</x:v>
      </x:c>
      <x:c r="C16" s="91" t="str">
        <x:v>Y A15</x:v>
      </x:c>
      <x:c r="D16" s="91" t="str">
        <x:v>Z A15</x:v>
      </x:c>
      <x:c r="E16" s="91" t="str">
        <x:v>X sync</x:v>
      </x:c>
      <x:c r="F16" s="91" t="str">
        <x:v>Y sync</x:v>
      </x:c>
      <x:c r="G16" s="91" t="str">
        <x:v>Z sync</x:v>
      </x:c>
      <x:c r="H16" s="91" t="str">
        <x:v>Preferred</x:v>
      </x:c>
    </x:row>
    <x:row r="17">
      <x:c r="A17" t="n">
        <x:v>100</x:v>
      </x:c>
      <x:c r="B17" s="61" t="n">
        <x:v>0.05338</x:v>
      </x:c>
      <x:c r="C17" s="61" t="n">
        <x:v>0.02795</x:v>
      </x:c>
      <x:c r="D17" s="61" t="n">
        <x:v>0.24307</x:v>
      </x:c>
      <x:c r="E17" s="61" t="n">
        <x:v>0.10300000000000001</x:v>
      </x:c>
      <x:c r="F17" s="61" t="n">
        <x:v>0.03716666666666667</x:v>
      </x:c>
      <x:c r="G17" s="61" t="n">
        <x:v>0.5026666666666667</x:v>
      </x:c>
      <x:c r="H17" t="str">
        <x:v>Z</x:v>
      </x:c>
    </x:row>
    <x:row r="18">
      <x:c r="A18" t="n">
        <x:v>125</x:v>
      </x:c>
      <x:c r="B18" s="61" t="n">
        <x:v>0.03971</x:v>
      </x:c>
      <x:c r="C18" s="61" t="n">
        <x:v>0.06011</x:v>
      </x:c>
      <x:c r="D18" s="61" t="n">
        <x:v>0.20952</x:v>
      </x:c>
      <x:c r="E18" s="61" t="n">
        <x:v>0.10616666666666667</x:v>
      </x:c>
      <x:c r="F18" s="61" t="n">
        <x:v>0.05733333333333333</x:v>
      </x:c>
      <x:c r="G18" s="61" t="n">
        <x:v>0.5205</x:v>
      </x:c>
      <x:c r="H18" t="str">
        <x:v>Z</x:v>
      </x:c>
    </x:row>
    <x:row r="19">
      <x:c r="A19" t="n">
        <x:v>150</x:v>
      </x:c>
      <x:c r="B19" s="61" t="n">
        <x:v>0.05076</x:v>
      </x:c>
      <x:c r="C19" s="61" t="n">
        <x:v>0.10497</x:v>
      </x:c>
      <x:c r="D19" s="61" t="n">
        <x:v>0.3536</x:v>
      </x:c>
      <x:c r="E19" s="61" t="n">
        <x:v>0.1005</x:v>
      </x:c>
      <x:c r="F19" s="61" t="n">
        <x:v>0.12566666666666668</x:v>
      </x:c>
      <x:c r="G19" s="61" t="n">
        <x:v>0.6236666666666667</x:v>
      </x:c>
      <x:c r="H19" t="str">
        <x:v>Z</x:v>
      </x:c>
    </x:row>
    <x:row r="20">
      <x:c r="A20" t="n">
        <x:v>175</x:v>
      </x:c>
      <x:c r="B20" s="61" t="n">
        <x:v>0.07024</x:v>
      </x:c>
      <x:c r="C20" s="61" t="n">
        <x:v>0.18806</x:v>
      </x:c>
      <x:c r="D20" s="61" t="n">
        <x:v>0.36519</x:v>
      </x:c>
      <x:c r="E20" s="61" t="n">
        <x:v>0.12166666666666667</x:v>
      </x:c>
      <x:c r="F20" s="61" t="n">
        <x:v>0.2405</x:v>
      </x:c>
      <x:c r="G20" s="61" t="n">
        <x:v>0.6963333333333334</x:v>
      </x:c>
      <x:c r="H20" t="str">
        <x:v>Z</x:v>
      </x:c>
    </x:row>
    <x:row r="21">
      <x:c r="A21" t="n">
        <x:v>200</x:v>
      </x:c>
      <x:c r="B21" s="61" t="n">
        <x:v>0.05981</x:v>
      </x:c>
      <x:c r="C21" s="61" t="n">
        <x:v>0.26353</x:v>
      </x:c>
      <x:c r="D21" s="61" t="n">
        <x:v>0.4591</x:v>
      </x:c>
      <x:c r="E21" s="61" t="n">
        <x:v>0.128</x:v>
      </x:c>
      <x:c r="F21" s="61" t="n">
        <x:v>0.379</x:v>
      </x:c>
      <x:c r="G21" s="61" t="n">
        <x:v>0.7985</x:v>
      </x:c>
      <x:c r="H21" t="str">
        <x:v>Z</x:v>
      </x:c>
    </x:row>
    <x:row r="22">
      <x:c r="A22" t="n">
        <x:v>225</x:v>
      </x:c>
      <x:c r="B22" s="61" t="n">
        <x:v>0.10997</x:v>
      </x:c>
      <x:c r="C22" s="61" t="n">
        <x:v>0.58928</x:v>
      </x:c>
      <x:c r="D22" s="61" t="n">
        <x:v>0.82178</x:v>
      </x:c>
      <x:c r="E22" s="61" t="n">
        <x:v>0.157</x:v>
      </x:c>
      <x:c r="F22" s="61" t="n">
        <x:v>0.5735</x:v>
      </x:c>
      <x:c r="G22" s="61" t="n">
        <x:v>0.871</x:v>
      </x:c>
      <x:c r="H22" t="str">
        <x:v>Z</x:v>
      </x:c>
    </x:row>
    <x:row r="23">
      <x:c r="A23" t="n">
        <x:v>250</x:v>
      </x:c>
      <x:c r="B23" s="61" t="n">
        <x:v>0.132</x:v>
      </x:c>
      <x:c r="C23" s="61" t="n">
        <x:v>1.03026</x:v>
      </x:c>
      <x:c r="D23" s="61" t="n">
        <x:v>1.10499</x:v>
      </x:c>
      <x:c r="E23" s="61" t="n">
        <x:v>0.17966666666666667</x:v>
      </x:c>
      <x:c r="F23" s="61" t="n">
        <x:v>0.8036666666666666</x:v>
      </x:c>
      <x:c r="G23" s="61" t="n">
        <x:v>0.9063333333333333</x:v>
      </x:c>
      <x:c r="H23" t="str">
        <x:v>Z</x:v>
      </x:c>
    </x:row>
    <x:row r="24">
      <x:c r="A24" t="n">
        <x:v>268</x:v>
      </x:c>
      <x:c r="B24" s="61" t="n">
        <x:v>0.14019</x:v>
      </x:c>
      <x:c r="C24" s="61" t="n">
        <x:v>1.58098</x:v>
      </x:c>
      <x:c r="D24" s="61" t="n">
        <x:v>1.43423</x:v>
      </x:c>
      <x:c r="E24" s="61" t="n">
        <x:v>0.1985</x:v>
      </x:c>
      <x:c r="F24" s="61" t="n">
        <x:v>0.8443333333333333</x:v>
      </x:c>
      <x:c r="G24" s="61" t="n">
        <x:v>0.9068333333333334</x:v>
      </x:c>
      <x:c r="H24" t="str">
        <x:v>Z</x:v>
      </x:c>
    </x:row>
    <x:row r="25">
      <x:c r="A25" t="n">
        <x:v>270</x:v>
      </x:c>
      <x:c r="B25" s="61" t="n">
        <x:v>0.14364</x:v>
      </x:c>
      <x:c r="C25" s="61" t="n">
        <x:v>1.6695</x:v>
      </x:c>
      <x:c r="D25" s="61" t="n">
        <x:v>1.47208</x:v>
      </x:c>
      <x:c r="E25" s="61" t="n">
        <x:v>0.207</x:v>
      </x:c>
      <x:c r="F25" s="61" t="n">
        <x:v>0.8491666666666666</x:v>
      </x:c>
      <x:c r="G25" s="61" t="n">
        <x:v>0.9011666666666667</x:v>
      </x:c>
      <x:c r="H25" t="str">
        <x:v>Z</x:v>
      </x:c>
    </x:row>
    <x:row r="26">
      <x:c r="A26" t="n">
        <x:v>275</x:v>
      </x:c>
      <x:c r="B26" s="61" t="n">
        <x:v>0.17726</x:v>
      </x:c>
      <x:c r="C26" s="61" t="n">
        <x:v>1.5062</x:v>
      </x:c>
      <x:c r="D26" s="61" t="n">
        <x:v>1.92496</x:v>
      </x:c>
      <x:c r="E26" s="61" t="n">
        <x:v>0.21266666666666667</x:v>
      </x:c>
      <x:c r="F26" s="61" t="n">
        <x:v>0.8525</x:v>
      </x:c>
      <x:c r="G26" s="61" t="n">
        <x:v>0.8996666666666667</x:v>
      </x:c>
      <x:c r="H26" t="str">
        <x:v>Z</x:v>
      </x:c>
    </x:row>
    <x:row r="27">
      <x:c r="A27" t="n">
        <x:v>300</x:v>
      </x:c>
      <x:c r="B27" s="61" t="n">
        <x:v>0.29125</x:v>
      </x:c>
      <x:c r="C27" s="61" t="n">
        <x:v>2.34385</x:v>
      </x:c>
      <x:c r="D27" s="61" t="n">
        <x:v>2.93343</x:v>
      </x:c>
      <x:c r="E27" s="61" t="n">
        <x:v>0.37016666666666664</x:v>
      </x:c>
      <x:c r="F27" s="61" t="n">
        <x:v>0.8816666666666667</x:v>
      </x:c>
      <x:c r="G27" s="61" t="n">
        <x:v>0.9135</x:v>
      </x:c>
      <x:c r="H27" t="str">
        <x:v>Z</x:v>
      </x:c>
    </x:row>
    <x:row r="28">
      <x:c r="A28" t="n">
        <x:v>325</x:v>
      </x:c>
      <x:c r="B28" s="61" t="n">
        <x:v>0.4734</x:v>
      </x:c>
      <x:c r="C28" s="61" t="n">
        <x:v>2.47814</x:v>
      </x:c>
      <x:c r="D28" s="61" t="n">
        <x:v>4.45633</x:v>
      </x:c>
      <x:c r="E28" s="61" t="n">
        <x:v>0.4615</x:v>
      </x:c>
      <x:c r="F28" s="61" t="n">
        <x:v>0.8105</x:v>
      </x:c>
      <x:c r="G28" s="61" t="n">
        <x:v>0.9236666666666667</x:v>
      </x:c>
      <x:c r="H28" t="str">
        <x:v>Z</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FormatPr defaultRowHeight="15"/>
  <x:sheetData>
    <x:row r="1">
      <x:c r="A1" s="91" t="str">
        <x:v>Sweep_ID</x:v>
      </x:c>
      <x:c r="B1" s="91" t="str">
        <x:v>Frequency_Hz</x:v>
      </x:c>
      <x:c r="C1" s="91" t="str">
        <x:v>Occurrence</x:v>
      </x:c>
      <x:c r="D1" s="91" t="str">
        <x:v>Point</x:v>
      </x:c>
      <x:c r="E1" s="91" t="str">
        <x:v>Repeat</x:v>
      </x:c>
      <x:c r="F1" s="91" t="str">
        <x:v>CmdFreq_Hz</x:v>
      </x:c>
      <x:c r="G1" s="91" t="str">
        <x:v>DAC</x:v>
      </x:c>
      <x:c r="H1" s="91" t="str">
        <x:v>FFT_X_Dom_Hz</x:v>
      </x:c>
      <x:c r="I1" s="91" t="str">
        <x:v>FFT_X_Dom_A</x:v>
      </x:c>
      <x:c r="J1" s="91" t="str">
        <x:v>FFT_X_Dom_SNR</x:v>
      </x:c>
      <x:c r="K1" s="91" t="str">
        <x:v>FFT_Y_Dom_Hz</x:v>
      </x:c>
      <x:c r="L1" s="91" t="str">
        <x:v>FFT_Y_Dom_A</x:v>
      </x:c>
      <x:c r="M1" s="91" t="str">
        <x:v>FFT_Y_Dom_SNR</x:v>
      </x:c>
      <x:c r="N1" s="91" t="str">
        <x:v>FFT_Z_Dom_Hz</x:v>
      </x:c>
      <x:c r="O1" s="91" t="str">
        <x:v>FFT_Z_Dom_A</x:v>
      </x:c>
      <x:c r="P1" s="91" t="str">
        <x:v>FFT_Z_Dom_SNR</x:v>
      </x:c>
      <x:c r="Q1" s="91" t="str">
        <x:v>FFT_X_Local_Hz</x:v>
      </x:c>
      <x:c r="R1" s="91" t="str">
        <x:v>FFT_X_Local_A</x:v>
      </x:c>
      <x:c r="S1" s="91" t="str">
        <x:v>FFT_Y_Local_Hz</x:v>
      </x:c>
      <x:c r="T1" s="91" t="str">
        <x:v>FFT_Y_Local_A</x:v>
      </x:c>
      <x:c r="U1" s="91" t="str">
        <x:v>FFT_Z_Local_Hz</x:v>
      </x:c>
      <x:c r="V1" s="91" t="str">
        <x:v>FFT_Z_Local_A</x:v>
      </x:c>
      <x:c r="W1" s="91" t="str">
        <x:v>FFT_Vector_Local_Hz</x:v>
      </x:c>
      <x:c r="X1" s="91" t="str">
        <x:v>FFT_Vector_FreqError_Hz</x:v>
      </x:c>
      <x:c r="Y1" s="91" t="str">
        <x:v>FFT_Vector_X_A</x:v>
      </x:c>
      <x:c r="Z1" s="91" t="str">
        <x:v>FFT_Vector_Y_A</x:v>
      </x:c>
      <x:c r="AA1" s="91" t="str">
        <x:v>FFT_Vector_Z_A</x:v>
      </x:c>
      <x:c r="AB1" s="91" t="str">
        <x:v>FFT_Vector_Total_A</x:v>
      </x:c>
      <x:c r="AC1" s="91" t="str">
        <x:v>FFT_Vector_SNR</x:v>
      </x:c>
      <x:c r="AD1" s="91" t="str">
        <x:v>FFT_Vector_DomAxis</x:v>
      </x:c>
      <x:c r="AE1" s="91" t="str">
        <x:v>Quad_X_A</x:v>
      </x:c>
      <x:c r="AF1" s="91" t="str">
        <x:v>Quad_X_Phase_deg</x:v>
      </x:c>
      <x:c r="AG1" s="91" t="str">
        <x:v>Quad_X_SyncRatio</x:v>
      </x:c>
      <x:c r="AH1" s="91" t="str">
        <x:v>Quad_X_CV_pct</x:v>
      </x:c>
      <x:c r="AI1" s="91" t="str">
        <x:v>Quad_Y_A</x:v>
      </x:c>
      <x:c r="AJ1" s="91" t="str">
        <x:v>Quad_Y_Phase_deg</x:v>
      </x:c>
      <x:c r="AK1" s="91" t="str">
        <x:v>Quad_Y_SyncRatio</x:v>
      </x:c>
      <x:c r="AL1" s="91" t="str">
        <x:v>Quad_Y_CV_pct</x:v>
      </x:c>
      <x:c r="AM1" s="91" t="str">
        <x:v>Quad_Z_A</x:v>
      </x:c>
      <x:c r="AN1" s="91" t="str">
        <x:v>Quad_Z_Phase_deg</x:v>
      </x:c>
      <x:c r="AO1" s="91" t="str">
        <x:v>Quad_Z_SyncRatio</x:v>
      </x:c>
      <x:c r="AP1" s="91" t="str">
        <x:v>Quad_Z_CV_pct</x:v>
      </x:c>
      <x:c r="AQ1" s="91" t="str">
        <x:v>Quad_Total_A</x:v>
      </x:c>
      <x:c r="AR1" s="91" t="str">
        <x:v>Quad_Total_CV_pct</x:v>
      </x:c>
      <x:c r="AS1" s="91" t="str">
        <x:v>X_Fraction</x:v>
      </x:c>
      <x:c r="AT1" s="91" t="str">
        <x:v>Y_Fraction</x:v>
      </x:c>
      <x:c r="AU1" s="91" t="str">
        <x:v>Z_Fraction</x:v>
      </x:c>
      <x:c r="AV1" s="91" t="str">
        <x:v>Valid</x:v>
      </x:c>
      <x:c r="AW1" s="91" t="str">
        <x:v>Y_over_Z</x:v>
      </x:c>
      <x:c r="AX1" s="91" t="str">
        <x:v>X_energy_share</x:v>
      </x:c>
      <x:c r="AY1" s="91" t="str">
        <x:v>Y_energy_share</x:v>
      </x:c>
      <x:c r="AZ1" s="91" t="str">
        <x:v>Z_energy_share</x:v>
      </x:c>
    </x:row>
    <x:row r="2">
      <x:c r="A2" t="str">
        <x:v>100Hz-1</x:v>
      </x:c>
      <x:c r="B2" t="n">
        <x:v>100</x:v>
      </x:c>
      <x:c r="C2" t="n">
        <x:v>1</x:v>
      </x:c>
      <x:c r="D2" t="n">
        <x:v>1</x:v>
      </x:c>
      <x:c r="E2" t="n">
        <x:v>1</x:v>
      </x:c>
      <x:c r="F2" t="n">
        <x:v>100</x:v>
      </x:c>
      <x:c r="G2" t="n">
        <x:v>11</x:v>
      </x:c>
      <x:c r="H2" t="n">
        <x:v>459.65498</x:v>
      </x:c>
      <x:c r="I2" t="n">
        <x:v>0.21464</x:v>
      </x:c>
      <x:c r="J2" t="n">
        <x:v>23.05</x:v>
      </x:c>
      <x:c r="K2" t="n">
        <x:v>639.5608</x:v>
      </x:c>
      <x:c r="L2" t="n">
        <x:v>0.23912</x:v>
      </x:c>
      <x:c r="M2" t="n">
        <x:v>21.63</x:v>
      </x:c>
      <x:c r="N2" t="n">
        <x:v>100.08271</x:v>
      </x:c>
      <x:c r="O2" t="n">
        <x:v>0.09248</x:v>
      </x:c>
      <x:c r="P2" t="n">
        <x:v>15.55</x:v>
      </x:c>
      <x:c r="Q2" t="n">
        <x:v>100.03412</x:v>
      </x:c>
      <x:c r="R2" t="n">
        <x:v>0.03701</x:v>
      </x:c>
      <x:c r="S2" t="n">
        <x:v>100.10209</x:v>
      </x:c>
      <x:c r="T2" t="n">
        <x:v>0.02935</x:v>
      </x:c>
      <x:c r="U2" t="n">
        <x:v>100.08271</x:v>
      </x:c>
      <x:c r="V2" t="n">
        <x:v>0.09248</x:v>
      </x:c>
      <x:c r="W2" t="n">
        <x:v>100.07725</x:v>
      </x:c>
      <x:c r="X2" t="n">
        <x:v>0.07725</x:v>
      </x:c>
      <x:c r="Y2" t="n">
        <x:v>0.03701</x:v>
      </x:c>
      <x:c r="Z2" t="n">
        <x:v>0.02935</x:v>
      </x:c>
      <x:c r="AA2" t="n">
        <x:v>0.09248</x:v>
      </x:c>
      <x:c r="AB2" t="n">
        <x:v>0.10384</x:v>
      </x:c>
      <x:c r="AC2" t="n">
        <x:v>15.6</x:v>
      </x:c>
      <x:c r="AD2" t="str">
        <x:v>Z</x:v>
      </x:c>
      <x:c r="AE2" t="n">
        <x:v>0.04019</x:v>
      </x:c>
      <x:c r="AF2" t="n">
        <x:v>38.22</x:v>
      </x:c>
      <x:c r="AG2" t="n">
        <x:v>0.073</x:v>
      </x:c>
      <x:c r="AH2" t="n">
        <x:v>27.58</x:v>
      </x:c>
      <x:c r="AI2" t="n">
        <x:v>0.02745</x:v>
      </x:c>
      <x:c r="AJ2" t="n">
        <x:v>5.63</x:v>
      </x:c>
      <x:c r="AK2" t="n">
        <x:v>0.039</x:v>
      </x:c>
      <x:c r="AL2" t="n">
        <x:v>55.78</x:v>
      </x:c>
      <x:c r="AM2" t="n">
        <x:v>0.09656</x:v>
      </x:c>
      <x:c r="AN2" t="n">
        <x:v>44.93</x:v>
      </x:c>
      <x:c r="AO2" t="n">
        <x:v>0.201</x:v>
      </x:c>
      <x:c r="AP2" t="n">
        <x:v>8.06</x:v>
      </x:c>
      <x:c r="AQ2" t="n">
        <x:v>0.1095</x:v>
      </x:c>
      <x:c r="AR2" t="n">
        <x:v>6.1</x:v>
      </x:c>
      <x:c r="AS2" t="n">
        <x:v>0.367</x:v>
      </x:c>
      <x:c r="AT2" t="n">
        <x:v>0.2507</x:v>
      </x:c>
      <x:c r="AU2" t="n">
        <x:v>0.8818</x:v>
      </x:c>
      <x:c r="AV2" t="n">
        <x:v>1</x:v>
      </x:c>
      <x:c r="AW2" t="n">
        <x:v>0.28427920463960227</x:v>
      </x:c>
      <x:c r="AX2" t="n">
        <x:v>0.13471246220887803</x:v>
      </x:c>
      <x:c r="AY2" t="n">
        <x:v>0.06284293488459373</x:v>
      </x:c>
      <x:c r="AZ2" t="n">
        <x:v>0.7776179479160152</x:v>
      </x:c>
    </x:row>
    <x:row r="3">
      <x:c r="A3" t="str">
        <x:v>100Hz-1</x:v>
      </x:c>
      <x:c r="B3" t="n">
        <x:v>100</x:v>
      </x:c>
      <x:c r="C3" t="n">
        <x:v>1</x:v>
      </x:c>
      <x:c r="D3" t="n">
        <x:v>2</x:v>
      </x:c>
      <x:c r="E3" t="n">
        <x:v>1</x:v>
      </x:c>
      <x:c r="F3" t="n">
        <x:v>100</x:v>
      </x:c>
      <x:c r="G3" t="n">
        <x:v>12</x:v>
      </x:c>
      <x:c r="H3" t="n">
        <x:v>459.19301</x:v>
      </x:c>
      <x:c r="I3" t="n">
        <x:v>0.31091</x:v>
      </x:c>
      <x:c r="J3" t="n">
        <x:v>24.98</x:v>
      </x:c>
      <x:c r="K3" t="n">
        <x:v>438.7701</x:v>
      </x:c>
      <x:c r="L3" t="n">
        <x:v>0.18948</x:v>
      </x:c>
      <x:c r="M3" t="n">
        <x:v>19.5</x:v>
      </x:c>
      <x:c r="N3" t="n">
        <x:v>100.01161</x:v>
      </x:c>
      <x:c r="O3" t="n">
        <x:v>0.10523</x:v>
      </x:c>
      <x:c r="P3" t="n">
        <x:v>15.73</x:v>
      </x:c>
      <x:c r="Q3" t="n">
        <x:v>99.97209</x:v>
      </x:c>
      <x:c r="R3" t="n">
        <x:v>0.04855</x:v>
      </x:c>
      <x:c r="S3" t="n">
        <x:v>99.96386</x:v>
      </x:c>
      <x:c r="T3" t="n">
        <x:v>0.02694</x:v>
      </x:c>
      <x:c r="U3" t="n">
        <x:v>100.01161</x:v>
      </x:c>
      <x:c r="V3" t="n">
        <x:v>0.10523</x:v>
      </x:c>
      <x:c r="W3" t="n">
        <x:v>100.00249</x:v>
      </x:c>
      <x:c r="X3" t="n">
        <x:v>0.00249</x:v>
      </x:c>
      <x:c r="Y3" t="n">
        <x:v>0.04855</x:v>
      </x:c>
      <x:c r="Z3" t="n">
        <x:v>0.02694</x:v>
      </x:c>
      <x:c r="AA3" t="n">
        <x:v>0.10523</x:v>
      </x:c>
      <x:c r="AB3" t="n">
        <x:v>0.11899</x:v>
      </x:c>
      <x:c r="AC3" t="n">
        <x:v>16.68</x:v>
      </x:c>
      <x:c r="AD3" t="str">
        <x:v>Z</x:v>
      </x:c>
      <x:c r="AE3" t="n">
        <x:v>0.0346</x:v>
      </x:c>
      <x:c r="AF3" t="n">
        <x:v>31.87</x:v>
      </x:c>
      <x:c r="AG3" t="n">
        <x:v>0.052</x:v>
      </x:c>
      <x:c r="AH3" t="n">
        <x:v>38.14</x:v>
      </x:c>
      <x:c r="AI3" t="n">
        <x:v>0.0325</x:v>
      </x:c>
      <x:c r="AJ3" t="n">
        <x:v>30.86</x:v>
      </x:c>
      <x:c r="AK3" t="n">
        <x:v>0.049</x:v>
      </x:c>
      <x:c r="AL3" t="n">
        <x:v>45.84</x:v>
      </x:c>
      <x:c r="AM3" t="n">
        <x:v>0.10301</x:v>
      </x:c>
      <x:c r="AN3" t="n">
        <x:v>40.03</x:v>
      </x:c>
      <x:c r="AO3" t="n">
        <x:v>0.24</x:v>
      </x:c>
      <x:c r="AP3" t="n">
        <x:v>13.57</x:v>
      </x:c>
      <x:c r="AQ3" t="n">
        <x:v>0.11425</x:v>
      </x:c>
      <x:c r="AR3" t="n">
        <x:v>16.52</x:v>
      </x:c>
      <x:c r="AS3" t="n">
        <x:v>0.3029</x:v>
      </x:c>
      <x:c r="AT3" t="n">
        <x:v>0.2844</x:v>
      </x:c>
      <x:c r="AU3" t="n">
        <x:v>0.9016</x:v>
      </x:c>
      <x:c r="AV3" t="n">
        <x:v>1</x:v>
      </x:c>
      <x:c r="AW3" t="n">
        <x:v>0.3155033491893991</x:v>
      </x:c>
      <x:c r="AX3" t="n">
        <x:v>0.09171487534055704</x:v>
      </x:c>
      <x:c r="AY3" t="n">
        <x:v>0.08091970753989726</x:v>
      </x:c>
      <x:c r="AZ3" t="n">
        <x:v>0.8129172828215602</x:v>
      </x:c>
    </x:row>
    <x:row r="4">
      <x:c r="A4" t="str">
        <x:v>100Hz-1</x:v>
      </x:c>
      <x:c r="B4" t="n">
        <x:v>100</x:v>
      </x:c>
      <x:c r="C4" t="n">
        <x:v>1</x:v>
      </x:c>
      <x:c r="D4" t="n">
        <x:v>3</x:v>
      </x:c>
      <x:c r="E4" t="n">
        <x:v>1</x:v>
      </x:c>
      <x:c r="F4" t="n">
        <x:v>100</x:v>
      </x:c>
      <x:c r="G4" t="n">
        <x:v>13</x:v>
      </x:c>
      <x:c r="H4" t="n">
        <x:v>59.56303</x:v>
      </x:c>
      <x:c r="I4" t="n">
        <x:v>0.26848</x:v>
      </x:c>
      <x:c r="J4" t="n">
        <x:v>24.45</x:v>
      </x:c>
      <x:c r="K4" t="n">
        <x:v>59.53416</x:v>
      </x:c>
      <x:c r="L4" t="n">
        <x:v>0.4919</x:v>
      </x:c>
      <x:c r="M4" t="n">
        <x:v>28.6</x:v>
      </x:c>
      <x:c r="N4" t="n">
        <x:v>100.02557</x:v>
      </x:c>
      <x:c r="O4" t="n">
        <x:v>0.14581</x:v>
      </x:c>
      <x:c r="P4" t="n">
        <x:v>19.03</x:v>
      </x:c>
      <x:c r="Q4" t="n">
        <x:v>99.96899</x:v>
      </x:c>
      <x:c r="R4" t="n">
        <x:v>0.04536</x:v>
      </x:c>
      <x:c r="S4" t="n">
        <x:v>99.99007</x:v>
      </x:c>
      <x:c r="T4" t="n">
        <x:v>0.02607</x:v>
      </x:c>
      <x:c r="U4" t="n">
        <x:v>100.02557</x:v>
      </x:c>
      <x:c r="V4" t="n">
        <x:v>0.14581</x:v>
      </x:c>
      <x:c r="W4" t="n">
        <x:v>100.01963</x:v>
      </x:c>
      <x:c r="X4" t="n">
        <x:v>0.01963</x:v>
      </x:c>
      <x:c r="Y4" t="n">
        <x:v>0.04536</x:v>
      </x:c>
      <x:c r="Z4" t="n">
        <x:v>0.02607</x:v>
      </x:c>
      <x:c r="AA4" t="n">
        <x:v>0.14581</x:v>
      </x:c>
      <x:c r="AB4" t="n">
        <x:v>0.15491</x:v>
      </x:c>
      <x:c r="AC4" t="n">
        <x:v>18.17</x:v>
      </x:c>
      <x:c r="AD4" t="str">
        <x:v>Z</x:v>
      </x:c>
      <x:c r="AE4" t="n">
        <x:v>0.04608</x:v>
      </x:c>
      <x:c r="AF4" t="n">
        <x:v>27.34</x:v>
      </x:c>
      <x:c r="AG4" t="n">
        <x:v>0.077</x:v>
      </x:c>
      <x:c r="AH4" t="n">
        <x:v>38.57</x:v>
      </x:c>
      <x:c r="AI4" t="n">
        <x:v>0.03071</x:v>
      </x:c>
      <x:c r="AJ4" t="n">
        <x:v>43.41</x:v>
      </x:c>
      <x:c r="AK4" t="n">
        <x:v>0.038</x:v>
      </x:c>
      <x:c r="AL4" t="n">
        <x:v>38.69</x:v>
      </x:c>
      <x:c r="AM4" t="n">
        <x:v>0.15626</x:v>
      </x:c>
      <x:c r="AN4" t="n">
        <x:v>35</x:v>
      </x:c>
      <x:c r="AO4" t="n">
        <x:v>0.34</x:v>
      </x:c>
      <x:c r="AP4" t="n">
        <x:v>8.85</x:v>
      </x:c>
      <x:c r="AQ4" t="n">
        <x:v>0.16683</x:v>
      </x:c>
      <x:c r="AR4" t="n">
        <x:v>8.8</x:v>
      </x:c>
      <x:c r="AS4" t="n">
        <x:v>0.2762</x:v>
      </x:c>
      <x:c r="AT4" t="n">
        <x:v>0.1841</x:v>
      </x:c>
      <x:c r="AU4" t="n">
        <x:v>0.9367</x:v>
      </x:c>
      <x:c r="AV4" t="n">
        <x:v>1</x:v>
      </x:c>
      <x:c r="AW4" t="n">
        <x:v>0.1965314219889927</x:v>
      </x:c>
      <x:c r="AX4" t="n">
        <x:v>0.07629158562174256</x:v>
      </x:c>
      <x:c r="AY4" t="n">
        <x:v>0.03388529986881513</x:v>
      </x:c>
      <x:c r="AZ4" t="n">
        <x:v>0.8772984061665244</x:v>
      </x:c>
    </x:row>
    <x:row r="5">
      <x:c r="A5" t="str">
        <x:v>100Hz-1</x:v>
      </x:c>
      <x:c r="B5" t="n">
        <x:v>100</x:v>
      </x:c>
      <x:c r="C5" t="n">
        <x:v>1</x:v>
      </x:c>
      <x:c r="D5" t="n">
        <x:v>4</x:v>
      </x:c>
      <x:c r="E5" t="n">
        <x:v>1</x:v>
      </x:c>
      <x:c r="F5" t="n">
        <x:v>100</x:v>
      </x:c>
      <x:c r="G5" t="n">
        <x:v>14</x:v>
      </x:c>
      <x:c r="H5" t="n">
        <x:v>660.83712</x:v>
      </x:c>
      <x:c r="I5" t="n">
        <x:v>0.17237</x:v>
      </x:c>
      <x:c r="J5" t="n">
        <x:v>20.48</x:v>
      </x:c>
      <x:c r="K5" t="n">
        <x:v>441.10128</x:v>
      </x:c>
      <x:c r="L5" t="n">
        <x:v>0.26907</x:v>
      </x:c>
      <x:c r="M5" t="n">
        <x:v>21.6</x:v>
      </x:c>
      <x:c r="N5" t="n">
        <x:v>99.98222</x:v>
      </x:c>
      <x:c r="O5" t="n">
        <x:v>0.19936</x:v>
      </x:c>
      <x:c r="P5" t="n">
        <x:v>21.05</x:v>
      </x:c>
      <x:c r="Q5" t="n">
        <x:v>100.01741</x:v>
      </x:c>
      <x:c r="R5" t="n">
        <x:v>0.05401</x:v>
      </x:c>
      <x:c r="S5" t="n">
        <x:v>99.51055</x:v>
      </x:c>
      <x:c r="T5" t="n">
        <x:v>0.02306</x:v>
      </x:c>
      <x:c r="U5" t="n">
        <x:v>99.98222</x:v>
      </x:c>
      <x:c r="V5" t="n">
        <x:v>0.19936</x:v>
      </x:c>
      <x:c r="W5" t="n">
        <x:v>99.9789</x:v>
      </x:c>
      <x:c r="X5" t="n">
        <x:v>-0.0211</x:v>
      </x:c>
      <x:c r="Y5" t="n">
        <x:v>0.05401</x:v>
      </x:c>
      <x:c r="Z5" t="n">
        <x:v>0.02306</x:v>
      </x:c>
      <x:c r="AA5" t="n">
        <x:v>0.19936</x:v>
      </x:c>
      <x:c r="AB5" t="n">
        <x:v>0.20783</x:v>
      </x:c>
      <x:c r="AC5" t="n">
        <x:v>20.81</x:v>
      </x:c>
      <x:c r="AD5" t="str">
        <x:v>Z</x:v>
      </x:c>
      <x:c r="AE5" t="n">
        <x:v>0.04599</x:v>
      </x:c>
      <x:c r="AF5" t="n">
        <x:v>35.26</x:v>
      </x:c>
      <x:c r="AG5" t="n">
        <x:v>0.076</x:v>
      </x:c>
      <x:c r="AH5" t="n">
        <x:v>16.15</x:v>
      </x:c>
      <x:c r="AI5" t="n">
        <x:v>0.01813</x:v>
      </x:c>
      <x:c r="AJ5" t="n">
        <x:v>-4.75</x:v>
      </x:c>
      <x:c r="AK5" t="n">
        <x:v>0.023</x:v>
      </x:c>
      <x:c r="AL5" t="n">
        <x:v>32.14</x:v>
      </x:c>
      <x:c r="AM5" t="n">
        <x:v>0.20044</x:v>
      </x:c>
      <x:c r="AN5" t="n">
        <x:v>35.39</x:v>
      </x:c>
      <x:c r="AO5" t="n">
        <x:v>0.373</x:v>
      </x:c>
      <x:c r="AP5" t="n">
        <x:v>5.52</x:v>
      </x:c>
      <x:c r="AQ5" t="n">
        <x:v>0.20662</x:v>
      </x:c>
      <x:c r="AR5" t="n">
        <x:v>5.34</x:v>
      </x:c>
      <x:c r="AS5" t="n">
        <x:v>0.2226</x:v>
      </x:c>
      <x:c r="AT5" t="n">
        <x:v>0.0878</x:v>
      </x:c>
      <x:c r="AU5" t="n">
        <x:v>0.9701</x:v>
      </x:c>
      <x:c r="AV5" t="n">
        <x:v>1</x:v>
      </x:c>
      <x:c r="AW5" t="n">
        <x:v>0.09045100778287767</x:v>
      </x:c>
      <x:c r="AX5" t="n">
        <x:v>0.04954297760111653</x:v>
      </x:c>
      <x:c r="AY5" t="n">
        <x:v>0.007699293825447291</x:v>
      </x:c>
      <x:c r="AZ5" t="n">
        <x:v>0.9410746475383703</x:v>
      </x:c>
    </x:row>
    <x:row r="6">
      <x:c r="A6" t="str">
        <x:v>100Hz-1</x:v>
      </x:c>
      <x:c r="B6" t="n">
        <x:v>100</x:v>
      </x:c>
      <x:c r="C6" t="n">
        <x:v>1</x:v>
      </x:c>
      <x:c r="D6" t="n">
        <x:v>5</x:v>
      </x:c>
      <x:c r="E6" t="n">
        <x:v>1</x:v>
      </x:c>
      <x:c r="F6" t="n">
        <x:v>100</x:v>
      </x:c>
      <x:c r="G6" t="n">
        <x:v>15</x:v>
      </x:c>
      <x:c r="H6" t="n">
        <x:v>460.4766</x:v>
      </x:c>
      <x:c r="I6" t="n">
        <x:v>0.28439</x:v>
      </x:c>
      <x:c r="J6" t="n">
        <x:v>23.55</x:v>
      </x:c>
      <x:c r="K6" t="n">
        <x:v>440.53464</x:v>
      </x:c>
      <x:c r="L6" t="n">
        <x:v>0.34728</x:v>
      </x:c>
      <x:c r="M6" t="n">
        <x:v>24.44</x:v>
      </x:c>
      <x:c r="N6" t="n">
        <x:v>99.98472</x:v>
      </x:c>
      <x:c r="O6" t="n">
        <x:v>0.26142</x:v>
      </x:c>
      <x:c r="P6" t="n">
        <x:v>23.21</x:v>
      </x:c>
      <x:c r="Q6" t="n">
        <x:v>100.04928</x:v>
      </x:c>
      <x:c r="R6" t="n">
        <x:v>0.05336</x:v>
      </x:c>
      <x:c r="S6" t="n">
        <x:v>99.97497</x:v>
      </x:c>
      <x:c r="T6" t="n">
        <x:v>0.02211</x:v>
      </x:c>
      <x:c r="U6" t="n">
        <x:v>99.98472</x:v>
      </x:c>
      <x:c r="V6" t="n">
        <x:v>0.26142</x:v>
      </x:c>
      <x:c r="W6" t="n">
        <x:v>99.98732</x:v>
      </x:c>
      <x:c r="X6" t="n">
        <x:v>-0.01268</x:v>
      </x:c>
      <x:c r="Y6" t="n">
        <x:v>0.05336</x:v>
      </x:c>
      <x:c r="Z6" t="n">
        <x:v>0.02211</x:v>
      </x:c>
      <x:c r="AA6" t="n">
        <x:v>0.26142</x:v>
      </x:c>
      <x:c r="AB6" t="n">
        <x:v>0.26773</x:v>
      </x:c>
      <x:c r="AC6" t="n">
        <x:v>23.72</x:v>
      </x:c>
      <x:c r="AD6" t="str">
        <x:v>Z</x:v>
      </x:c>
      <x:c r="AE6" t="n">
        <x:v>0.05338</x:v>
      </x:c>
      <x:c r="AF6" t="n">
        <x:v>50.07</x:v>
      </x:c>
      <x:c r="AG6" t="n">
        <x:v>0.077</x:v>
      </x:c>
      <x:c r="AH6" t="n">
        <x:v>20.17</x:v>
      </x:c>
      <x:c r="AI6" t="n">
        <x:v>0.02795</x:v>
      </x:c>
      <x:c r="AJ6" t="n">
        <x:v>-81.06</x:v>
      </x:c>
      <x:c r="AK6" t="n">
        <x:v>0.037</x:v>
      </x:c>
      <x:c r="AL6" t="n">
        <x:v>39.44</x:v>
      </x:c>
      <x:c r="AM6" t="n">
        <x:v>0.24307</x:v>
      </x:c>
      <x:c r="AN6" t="n">
        <x:v>38.45</x:v>
      </x:c>
      <x:c r="AO6" t="n">
        <x:v>0.435</x:v>
      </x:c>
      <x:c r="AP6" t="n">
        <x:v>5.99</x:v>
      </x:c>
      <x:c r="AQ6" t="n">
        <x:v>0.25082</x:v>
      </x:c>
      <x:c r="AR6" t="n">
        <x:v>5.71</x:v>
      </x:c>
      <x:c r="AS6" t="n">
        <x:v>0.2128</x:v>
      </x:c>
      <x:c r="AT6" t="n">
        <x:v>0.1114</x:v>
      </x:c>
      <x:c r="AU6" t="n">
        <x:v>0.9691</x:v>
      </x:c>
      <x:c r="AV6" t="n">
        <x:v>1</x:v>
      </x:c>
      <x:c r="AW6" t="n">
        <x:v>0.11498745217427078</x:v>
      </x:c>
      <x:c r="AX6" t="n">
        <x:v>0.045293179857985436</x:v>
      </x:c>
      <x:c r="AY6" t="n">
        <x:v>0.01241764664400567</x:v>
      </x:c>
      <x:c r="AZ6" t="n">
        <x:v>0.9391574218812516</x:v>
      </x:c>
    </x:row>
    <x:row r="7">
      <x:c r="A7" t="str">
        <x:v>100Hz-1</x:v>
      </x:c>
      <x:c r="B7" t="n">
        <x:v>100</x:v>
      </x:c>
      <x:c r="C7" t="n">
        <x:v>1</x:v>
      </x:c>
      <x:c r="D7" t="n">
        <x:v>6</x:v>
      </x:c>
      <x:c r="E7" t="n">
        <x:v>1</x:v>
      </x:c>
      <x:c r="F7" t="n">
        <x:v>100</x:v>
      </x:c>
      <x:c r="G7" t="n">
        <x:v>16</x:v>
      </x:c>
      <x:c r="H7" t="n">
        <x:v>259.69181</x:v>
      </x:c>
      <x:c r="I7" t="n">
        <x:v>0.27663</x:v>
      </x:c>
      <x:c r="J7" t="n">
        <x:v>24.01</x:v>
      </x:c>
      <x:c r="K7" t="n">
        <x:v>59.67917</x:v>
      </x:c>
      <x:c r="L7" t="n">
        <x:v>0.37158</x:v>
      </x:c>
      <x:c r="M7" t="n">
        <x:v>25.31</x:v>
      </x:c>
      <x:c r="N7" t="n">
        <x:v>100.00674</x:v>
      </x:c>
      <x:c r="O7" t="n">
        <x:v>0.28404</x:v>
      </x:c>
      <x:c r="P7" t="n">
        <x:v>23.43</x:v>
      </x:c>
      <x:c r="Q7" t="n">
        <x:v>100.06654</x:v>
      </x:c>
      <x:c r="R7" t="n">
        <x:v>0.07115</x:v>
      </x:c>
      <x:c r="S7" t="n">
        <x:v>98.58138</x:v>
      </x:c>
      <x:c r="T7" t="n">
        <x:v>0.01236</x:v>
      </x:c>
      <x:c r="U7" t="n">
        <x:v>100.00674</x:v>
      </x:c>
      <x:c r="V7" t="n">
        <x:v>0.28404</x:v>
      </x:c>
      <x:c r="W7" t="n">
        <x:v>100.01002</x:v>
      </x:c>
      <x:c r="X7" t="n">
        <x:v>0.01002</x:v>
      </x:c>
      <x:c r="Y7" t="n">
        <x:v>0.07115</x:v>
      </x:c>
      <x:c r="Z7" t="n">
        <x:v>0.01038</x:v>
      </x:c>
      <x:c r="AA7" t="n">
        <x:v>0.28404</x:v>
      </x:c>
      <x:c r="AB7" t="n">
        <x:v>0.293</x:v>
      </x:c>
      <x:c r="AC7" t="n">
        <x:v>23.51</x:v>
      </x:c>
      <x:c r="AD7" t="str">
        <x:v>Z</x:v>
      </x:c>
      <x:c r="AE7" t="n">
        <x:v>0.06657</x:v>
      </x:c>
      <x:c r="AF7" t="n">
        <x:v>49.01</x:v>
      </x:c>
      <x:c r="AG7" t="n">
        <x:v>0.102</x:v>
      </x:c>
      <x:c r="AH7" t="n">
        <x:v>24.84</x:v>
      </x:c>
      <x:c r="AI7" t="n">
        <x:v>0.01844</x:v>
      </x:c>
      <x:c r="AJ7" t="n">
        <x:v>-43.13</x:v>
      </x:c>
      <x:c r="AK7" t="n">
        <x:v>0.023</x:v>
      </x:c>
      <x:c r="AL7" t="n">
        <x:v>25.66</x:v>
      </x:c>
      <x:c r="AM7" t="n">
        <x:v>0.28593</x:v>
      </x:c>
      <x:c r="AN7" t="n">
        <x:v>34.37</x:v>
      </x:c>
      <x:c r="AO7" t="n">
        <x:v>0.437</x:v>
      </x:c>
      <x:c r="AP7" t="n">
        <x:v>7.15</x:v>
      </x:c>
      <x:c r="AQ7" t="n">
        <x:v>0.29453</x:v>
      </x:c>
      <x:c r="AR7" t="n">
        <x:v>7.15</x:v>
      </x:c>
      <x:c r="AS7" t="n">
        <x:v>0.226</x:v>
      </x:c>
      <x:c r="AT7" t="n">
        <x:v>0.0626</x:v>
      </x:c>
      <x:c r="AU7" t="n">
        <x:v>0.9708</x:v>
      </x:c>
      <x:c r="AV7" t="n">
        <x:v>1</x:v>
      </x:c>
      <x:c r="AW7" t="n">
        <x:v>0.06449130906165845</x:v>
      </x:c>
      <x:c r="AX7" t="n">
        <x:v>0.05108554595917699</x:v>
      </x:c>
      <x:c r="AY7" t="n">
        <x:v>0.003919789621148142</x:v>
      </x:c>
      <x:c r="AZ7" t="n">
        <x:v>0.942454459447454</x:v>
      </x:c>
    </x:row>
    <x:row r="8">
      <x:c r="A8" t="str">
        <x:v>100Hz-1</x:v>
      </x:c>
      <x:c r="B8" t="n">
        <x:v>100</x:v>
      </x:c>
      <x:c r="C8" t="n">
        <x:v>1</x:v>
      </x:c>
      <x:c r="D8" t="n">
        <x:v>7</x:v>
      </x:c>
      <x:c r="E8" t="n">
        <x:v>1</x:v>
      </x:c>
      <x:c r="F8" t="n">
        <x:v>100</x:v>
      </x:c>
      <x:c r="G8" t="n">
        <x:v>17</x:v>
      </x:c>
      <x:c r="H8" t="n">
        <x:v>659.52641</x:v>
      </x:c>
      <x:c r="I8" t="n">
        <x:v>0.25894</x:v>
      </x:c>
      <x:c r="J8" t="n">
        <x:v>22.69</x:v>
      </x:c>
      <x:c r="K8" t="n">
        <x:v>239.3608</x:v>
      </x:c>
      <x:c r="L8" t="n">
        <x:v>0.3361</x:v>
      </x:c>
      <x:c r="M8" t="n">
        <x:v>23.31</x:v>
      </x:c>
      <x:c r="N8" t="n">
        <x:v>99.98011</x:v>
      </x:c>
      <x:c r="O8" t="n">
        <x:v>0.33993</x:v>
      </x:c>
      <x:c r="P8" t="n">
        <x:v>24.72</x:v>
      </x:c>
      <x:c r="Q8" t="n">
        <x:v>99.98296</x:v>
      </x:c>
      <x:c r="R8" t="n">
        <x:v>0.06834</x:v>
      </x:c>
      <x:c r="S8" t="n">
        <x:v>99.8629</x:v>
      </x:c>
      <x:c r="T8" t="n">
        <x:v>0.0213</x:v>
      </x:c>
      <x:c r="U8" t="n">
        <x:v>99.98011</x:v>
      </x:c>
      <x:c r="V8" t="n">
        <x:v>0.33993</x:v>
      </x:c>
      <x:c r="W8" t="n">
        <x:v>99.97984</x:v>
      </x:c>
      <x:c r="X8" t="n">
        <x:v>-0.02016</x:v>
      </x:c>
      <x:c r="Y8" t="n">
        <x:v>0.06834</x:v>
      </x:c>
      <x:c r="Z8" t="n">
        <x:v>0.0213</x:v>
      </x:c>
      <x:c r="AA8" t="n">
        <x:v>0.33993</x:v>
      </x:c>
      <x:c r="AB8" t="n">
        <x:v>0.34738</x:v>
      </x:c>
      <x:c r="AC8" t="n">
        <x:v>25.94</x:v>
      </x:c>
      <x:c r="AD8" t="str">
        <x:v>Z</x:v>
      </x:c>
      <x:c r="AE8" t="n">
        <x:v>0.07742</x:v>
      </x:c>
      <x:c r="AF8" t="n">
        <x:v>39.01</x:v>
      </x:c>
      <x:c r="AG8" t="n">
        <x:v>0.116</x:v>
      </x:c>
      <x:c r="AH8" t="n">
        <x:v>18.87</x:v>
      </x:c>
      <x:c r="AI8" t="n">
        <x:v>0.03215</x:v>
      </x:c>
      <x:c r="AJ8" t="n">
        <x:v>-64.96</x:v>
      </x:c>
      <x:c r="AK8" t="n">
        <x:v>0.039</x:v>
      </x:c>
      <x:c r="AL8" t="n">
        <x:v>67.23</x:v>
      </x:c>
      <x:c r="AM8" t="n">
        <x:v>0.35876</x:v>
      </x:c>
      <x:c r="AN8" t="n">
        <x:v>36.2</x:v>
      </x:c>
      <x:c r="AO8" t="n">
        <x:v>0.511</x:v>
      </x:c>
      <x:c r="AP8" t="n">
        <x:v>4.31</x:v>
      </x:c>
      <x:c r="AQ8" t="n">
        <x:v>0.36921</x:v>
      </x:c>
      <x:c r="AR8" t="n">
        <x:v>3.82</x:v>
      </x:c>
      <x:c r="AS8" t="n">
        <x:v>0.2097</x:v>
      </x:c>
      <x:c r="AT8" t="n">
        <x:v>0.0871</x:v>
      </x:c>
      <x:c r="AU8" t="n">
        <x:v>0.9717</x:v>
      </x:c>
      <x:c r="AV8" t="n">
        <x:v>1</x:v>
      </x:c>
      <x:c r="AW8" t="n">
        <x:v>0.08961422678113501</x:v>
      </x:c>
      <x:c r="AX8" t="n">
        <x:v>0.04397029945359154</x:v>
      </x:c>
      <x:c r="AY8" t="n">
        <x:v>0.007582545829254419</x:v>
      </x:c>
      <x:c r="AZ8" t="n">
        <x:v>0.9441937472118512</x:v>
      </x:c>
    </x:row>
    <x:row r="9">
      <x:c r="A9" t="str">
        <x:v>100Hz-1</x:v>
      </x:c>
      <x:c r="B9" t="n">
        <x:v>100</x:v>
      </x:c>
      <x:c r="C9" t="n">
        <x:v>1</x:v>
      </x:c>
      <x:c r="D9" t="n">
        <x:v>8</x:v>
      </x:c>
      <x:c r="E9" t="n">
        <x:v>1</x:v>
      </x:c>
      <x:c r="F9" t="n">
        <x:v>100</x:v>
      </x:c>
      <x:c r="G9" t="n">
        <x:v>18</x:v>
      </x:c>
      <x:c r="H9" t="n">
        <x:v>259.60814</x:v>
      </x:c>
      <x:c r="I9" t="n">
        <x:v>0.27041</x:v>
      </x:c>
      <x:c r="J9" t="n">
        <x:v>22.52</x:v>
      </x:c>
      <x:c r="K9" t="n">
        <x:v>740.20467</x:v>
      </x:c>
      <x:c r="L9" t="n">
        <x:v>0.20491</x:v>
      </x:c>
      <x:c r="M9" t="n">
        <x:v>19.22</x:v>
      </x:c>
      <x:c r="N9" t="n">
        <x:v>100.00514</x:v>
      </x:c>
      <x:c r="O9" t="n">
        <x:v>0.39521</x:v>
      </x:c>
      <x:c r="P9" t="n">
        <x:v>25.65</x:v>
      </x:c>
      <x:c r="Q9" t="n">
        <x:v>99.92189</x:v>
      </x:c>
      <x:c r="R9" t="n">
        <x:v>0.08932</x:v>
      </x:c>
      <x:c r="S9" t="n">
        <x:v>100.0442</x:v>
      </x:c>
      <x:c r="T9" t="n">
        <x:v>0.02322</x:v>
      </x:c>
      <x:c r="U9" t="n">
        <x:v>100.00514</x:v>
      </x:c>
      <x:c r="V9" t="n">
        <x:v>0.39521</x:v>
      </x:c>
      <x:c r="W9" t="n">
        <x:v>100.00125</x:v>
      </x:c>
      <x:c r="X9" t="n">
        <x:v>0.00125</x:v>
      </x:c>
      <x:c r="Y9" t="n">
        <x:v>0.08932</x:v>
      </x:c>
      <x:c r="Z9" t="n">
        <x:v>0.02322</x:v>
      </x:c>
      <x:c r="AA9" t="n">
        <x:v>0.39521</x:v>
      </x:c>
      <x:c r="AB9" t="n">
        <x:v>0.40584</x:v>
      </x:c>
      <x:c r="AC9" t="n">
        <x:v>27.09</x:v>
      </x:c>
      <x:c r="AD9" t="str">
        <x:v>Z</x:v>
      </x:c>
      <x:c r="AE9" t="n">
        <x:v>0.08297</x:v>
      </x:c>
      <x:c r="AF9" t="n">
        <x:v>47.99</x:v>
      </x:c>
      <x:c r="AG9" t="n">
        <x:v>0.113</x:v>
      </x:c>
      <x:c r="AH9" t="n">
        <x:v>15.44</x:v>
      </x:c>
      <x:c r="AI9" t="n">
        <x:v>0.02236</x:v>
      </x:c>
      <x:c r="AJ9" t="n">
        <x:v>-113.88</x:v>
      </x:c>
      <x:c r="AK9" t="n">
        <x:v>0.029</x:v>
      </x:c>
      <x:c r="AL9" t="n">
        <x:v>59.49</x:v>
      </x:c>
      <x:c r="AM9" t="n">
        <x:v>0.38462</x:v>
      </x:c>
      <x:c r="AN9" t="n">
        <x:v>34.01</x:v>
      </x:c>
      <x:c r="AO9" t="n">
        <x:v>0.506</x:v>
      </x:c>
      <x:c r="AP9" t="n">
        <x:v>3.78</x:v>
      </x:c>
      <x:c r="AQ9" t="n">
        <x:v>0.39447</x:v>
      </x:c>
      <x:c r="AR9" t="n">
        <x:v>3.46</x:v>
      </x:c>
      <x:c r="AS9" t="n">
        <x:v>0.2103</x:v>
      </x:c>
      <x:c r="AT9" t="n">
        <x:v>0.0567</x:v>
      </x:c>
      <x:c r="AU9" t="n">
        <x:v>0.975</x:v>
      </x:c>
      <x:c r="AV9" t="n">
        <x:v>1</x:v>
      </x:c>
      <x:c r="AW9" t="n">
        <x:v>0.05813530237637148</x:v>
      </x:c>
      <x:c r="AX9" t="n">
        <x:v>0.04423990849348455</x:v>
      </x:c>
      <x:c r="AY9" t="n">
        <x:v>0.0032130363453027975</x:v>
      </x:c>
      <x:c r="AZ9" t="n">
        <x:v>0.9506830851522169</x:v>
      </x:c>
    </x:row>
    <x:row r="10">
      <x:c r="A10" t="str">
        <x:v>100Hz-1</x:v>
      </x:c>
      <x:c r="B10" t="n">
        <x:v>100</x:v>
      </x:c>
      <x:c r="C10" t="n">
        <x:v>1</x:v>
      </x:c>
      <x:c r="D10" t="n">
        <x:v>9</x:v>
      </x:c>
      <x:c r="E10" t="n">
        <x:v>1</x:v>
      </x:c>
      <x:c r="F10" t="n">
        <x:v>100</x:v>
      </x:c>
      <x:c r="G10" t="n">
        <x:v>19</x:v>
      </x:c>
      <x:c r="H10" t="n">
        <x:v>259.65455</x:v>
      </x:c>
      <x:c r="I10" t="n">
        <x:v>0.31244</x:v>
      </x:c>
      <x:c r="J10" t="n">
        <x:v>24.27</x:v>
      </x:c>
      <x:c r="K10" t="n">
        <x:v>299.9835</x:v>
      </x:c>
      <x:c r="L10" t="n">
        <x:v>0.2298</x:v>
      </x:c>
      <x:c r="M10" t="n">
        <x:v>20.16</x:v>
      </x:c>
      <x:c r="N10" t="n">
        <x:v>99.99291</x:v>
      </x:c>
      <x:c r="O10" t="n">
        <x:v>0.42882</x:v>
      </x:c>
      <x:c r="P10" t="n">
        <x:v>26.45</x:v>
      </x:c>
      <x:c r="Q10" t="n">
        <x:v>99.91681</x:v>
      </x:c>
      <x:c r="R10" t="n">
        <x:v>0.08849</x:v>
      </x:c>
      <x:c r="S10" t="n">
        <x:v>100.03897</x:v>
      </x:c>
      <x:c r="T10" t="n">
        <x:v>0.02628</x:v>
      </x:c>
      <x:c r="U10" t="n">
        <x:v>99.99291</x:v>
      </x:c>
      <x:c r="V10" t="n">
        <x:v>0.42882</x:v>
      </x:c>
      <x:c r="W10" t="n">
        <x:v>99.98993</x:v>
      </x:c>
      <x:c r="X10" t="n">
        <x:v>-0.01007</x:v>
      </x:c>
      <x:c r="Y10" t="n">
        <x:v>0.08849</x:v>
      </x:c>
      <x:c r="Z10" t="n">
        <x:v>0.02628</x:v>
      </x:c>
      <x:c r="AA10" t="n">
        <x:v>0.42882</x:v>
      </x:c>
      <x:c r="AB10" t="n">
        <x:v>0.43864</x:v>
      </x:c>
      <x:c r="AC10" t="n">
        <x:v>27.44</x:v>
      </x:c>
      <x:c r="AD10" t="str">
        <x:v>Z</x:v>
      </x:c>
      <x:c r="AE10" t="n">
        <x:v>0.08444</x:v>
      </x:c>
      <x:c r="AF10" t="n">
        <x:v>53.79</x:v>
      </x:c>
      <x:c r="AG10" t="n">
        <x:v>0.11</x:v>
      </x:c>
      <x:c r="AH10" t="n">
        <x:v>22.5</x:v>
      </x:c>
      <x:c r="AI10" t="n">
        <x:v>0.03804</x:v>
      </x:c>
      <x:c r="AJ10" t="n">
        <x:v>-144.44</x:v>
      </x:c>
      <x:c r="AK10" t="n">
        <x:v>0.045</x:v>
      </x:c>
      <x:c r="AL10" t="n">
        <x:v>41.58</x:v>
      </x:c>
      <x:c r="AM10" t="n">
        <x:v>0.44721</x:v>
      </x:c>
      <x:c r="AN10" t="n">
        <x:v>36.03</x:v>
      </x:c>
      <x:c r="AO10" t="n">
        <x:v>0.586</x:v>
      </x:c>
      <x:c r="AP10" t="n">
        <x:v>2.54</x:v>
      </x:c>
      <x:c r="AQ10" t="n">
        <x:v>0.45722</x:v>
      </x:c>
      <x:c r="AR10" t="n">
        <x:v>2.59</x:v>
      </x:c>
      <x:c r="AS10" t="n">
        <x:v>0.1847</x:v>
      </x:c>
      <x:c r="AT10" t="n">
        <x:v>0.0832</x:v>
      </x:c>
      <x:c r="AU10" t="n">
        <x:v>0.9781</x:v>
      </x:c>
      <x:c r="AV10" t="n">
        <x:v>1</x:v>
      </x:c>
      <x:c r="AW10" t="n">
        <x:v>0.08506070973368215</x:v>
      </x:c>
      <x:c r="AX10" t="n">
        <x:v>0.03410719550651087</x:v>
      </x:c>
      <x:c r="AY10" t="n">
        <x:v>0.0069219837896067025</x:v>
      </x:c>
      <x:c r="AZ10" t="n">
        <x:v>0.956692950301962</x:v>
      </x:c>
    </x:row>
    <x:row r="11">
      <x:c r="A11" t="str">
        <x:v>100Hz-1</x:v>
      </x:c>
      <x:c r="B11" t="n">
        <x:v>100</x:v>
      </x:c>
      <x:c r="C11" t="n">
        <x:v>1</x:v>
      </x:c>
      <x:c r="D11" t="n">
        <x:v>10</x:v>
      </x:c>
      <x:c r="E11" t="n">
        <x:v>1</x:v>
      </x:c>
      <x:c r="F11" t="n">
        <x:v>100</x:v>
      </x:c>
      <x:c r="G11" t="n">
        <x:v>20</x:v>
      </x:c>
      <x:c r="H11" t="n">
        <x:v>259.48335</x:v>
      </x:c>
      <x:c r="I11" t="n">
        <x:v>0.36457</x:v>
      </x:c>
      <x:c r="J11" t="n">
        <x:v>24.47</x:v>
      </x:c>
      <x:c r="K11" t="n">
        <x:v>439.23835</x:v>
      </x:c>
      <x:c r="L11" t="n">
        <x:v>0.29537</x:v>
      </x:c>
      <x:c r="M11" t="n">
        <x:v>21.9</x:v>
      </x:c>
      <x:c r="N11" t="n">
        <x:v>99.99295</x:v>
      </x:c>
      <x:c r="O11" t="n">
        <x:v>0.50246</x:v>
      </x:c>
      <x:c r="P11" t="n">
        <x:v>27.04</x:v>
      </x:c>
      <x:c r="Q11" t="n">
        <x:v>100.02721</x:v>
      </x:c>
      <x:c r="R11" t="n">
        <x:v>0.091</x:v>
      </x:c>
      <x:c r="S11" t="n">
        <x:v>100.20324</x:v>
      </x:c>
      <x:c r="T11" t="n">
        <x:v>0.03759</x:v>
      </x:c>
      <x:c r="U11" t="n">
        <x:v>99.99295</x:v>
      </x:c>
      <x:c r="V11" t="n">
        <x:v>0.50246</x:v>
      </x:c>
      <x:c r="W11" t="n">
        <x:v>99.99519</x:v>
      </x:c>
      <x:c r="X11" t="n">
        <x:v>-0.00481</x:v>
      </x:c>
      <x:c r="Y11" t="n">
        <x:v>0.091</x:v>
      </x:c>
      <x:c r="Z11" t="n">
        <x:v>0.03759</x:v>
      </x:c>
      <x:c r="AA11" t="n">
        <x:v>0.50246</x:v>
      </x:c>
      <x:c r="AB11" t="n">
        <x:v>0.51202</x:v>
      </x:c>
      <x:c r="AC11" t="n">
        <x:v>29.76</x:v>
      </x:c>
      <x:c r="AD11" t="str">
        <x:v>Z</x:v>
      </x:c>
      <x:c r="AE11" t="n">
        <x:v>0.08723</x:v>
      </x:c>
      <x:c r="AF11" t="n">
        <x:v>38.95</x:v>
      </x:c>
      <x:c r="AG11" t="n">
        <x:v>0.1</x:v>
      </x:c>
      <x:c r="AH11" t="n">
        <x:v>12.54</x:v>
      </x:c>
      <x:c r="AI11" t="n">
        <x:v>0.04333</x:v>
      </x:c>
      <x:c r="AJ11" t="n">
        <x:v>-132.59</x:v>
      </x:c>
      <x:c r="AK11" t="n">
        <x:v>0.05</x:v>
      </x:c>
      <x:c r="AL11" t="n">
        <x:v>22.29</x:v>
      </x:c>
      <x:c r="AM11" t="n">
        <x:v>0.50888</x:v>
      </x:c>
      <x:c r="AN11" t="n">
        <x:v>35.05</x:v>
      </x:c>
      <x:c r="AO11" t="n">
        <x:v>0.541</x:v>
      </x:c>
      <x:c r="AP11" t="n">
        <x:v>2.32</x:v>
      </x:c>
      <x:c r="AQ11" t="n">
        <x:v>0.5183</x:v>
      </x:c>
      <x:c r="AR11" t="n">
        <x:v>2.12</x:v>
      </x:c>
      <x:c r="AS11" t="n">
        <x:v>0.1683</x:v>
      </x:c>
      <x:c r="AT11" t="n">
        <x:v>0.0836</x:v>
      </x:c>
      <x:c r="AU11" t="n">
        <x:v>0.9818</x:v>
      </x:c>
      <x:c r="AV11" t="n">
        <x:v>1</x:v>
      </x:c>
      <x:c r="AW11" t="n">
        <x:v>0.08514777550699576</x:v>
      </x:c>
      <x:c r="AX11" t="n">
        <x:v>0.02832496143743652</x:v>
      </x:c>
      <x:c r="AY11" t="n">
        <x:v>0.006988998711224742</x:v>
      </x:c>
      <x:c r="AZ11" t="n">
        <x:v>0.9639807189602215</x:v>
      </x:c>
    </x:row>
    <x:row r="12">
      <x:c r="A12" t="str">
        <x:v>125Hz-1</x:v>
      </x:c>
      <x:c r="B12" t="n">
        <x:v>125</x:v>
      </x:c>
      <x:c r="C12" t="n">
        <x:v>1</x:v>
      </x:c>
      <x:c r="D12" t="n">
        <x:v>1</x:v>
      </x:c>
      <x:c r="E12" t="n">
        <x:v>1</x:v>
      </x:c>
      <x:c r="F12" t="n">
        <x:v>125</x:v>
      </x:c>
      <x:c r="G12" t="n">
        <x:v>11</x:v>
      </x:c>
      <x:c r="H12" t="n">
        <x:v>534.56918</x:v>
      </x:c>
      <x:c r="I12" t="n">
        <x:v>0.24833</x:v>
      </x:c>
      <x:c r="J12" t="n">
        <x:v>22.94</x:v>
      </x:c>
      <x:c r="K12" t="n">
        <x:v>364.47134</x:v>
      </x:c>
      <x:c r="L12" t="n">
        <x:v>0.19464</x:v>
      </x:c>
      <x:c r="M12" t="n">
        <x:v>18.82</x:v>
      </x:c>
      <x:c r="N12" t="n">
        <x:v>624.98642</x:v>
      </x:c>
      <x:c r="O12" t="n">
        <x:v>0.13166</x:v>
      </x:c>
      <x:c r="P12" t="n">
        <x:v>18.18</x:v>
      </x:c>
      <x:c r="Q12" t="n">
        <x:v>124.87763</x:v>
      </x:c>
      <x:c r="R12" t="n">
        <x:v>0.03251</x:v>
      </x:c>
      <x:c r="S12" t="n">
        <x:v>125.05945</x:v>
      </x:c>
      <x:c r="T12" t="n">
        <x:v>0.03722</x:v>
      </x:c>
      <x:c r="U12" t="n">
        <x:v>125.01969</x:v>
      </x:c>
      <x:c r="V12" t="n">
        <x:v>0.08791</x:v>
      </x:c>
      <x:c r="W12" t="n">
        <x:v>125.01008</x:v>
      </x:c>
      <x:c r="X12" t="n">
        <x:v>0.01008</x:v>
      </x:c>
      <x:c r="Y12" t="n">
        <x:v>0.03251</x:v>
      </x:c>
      <x:c r="Z12" t="n">
        <x:v>0.03722</x:v>
      </x:c>
      <x:c r="AA12" t="n">
        <x:v>0.08791</x:v>
      </x:c>
      <x:c r="AB12" t="n">
        <x:v>0.10085</x:v>
      </x:c>
      <x:c r="AC12" t="n">
        <x:v>12.39</x:v>
      </x:c>
      <x:c r="AD12" t="str">
        <x:v>Z</x:v>
      </x:c>
      <x:c r="AE12" t="n">
        <x:v>0.0296</x:v>
      </x:c>
      <x:c r="AF12" t="n">
        <x:v>29.38</x:v>
      </x:c>
      <x:c r="AG12" t="n">
        <x:v>0.052</x:v>
      </x:c>
      <x:c r="AH12" t="n">
        <x:v>50.37</x:v>
      </x:c>
      <x:c r="AI12" t="n">
        <x:v>0.04571</x:v>
      </x:c>
      <x:c r="AJ12" t="n">
        <x:v>46.33</x:v>
      </x:c>
      <x:c r="AK12" t="n">
        <x:v>0.063</x:v>
      </x:c>
      <x:c r="AL12" t="n">
        <x:v>18.76</x:v>
      </x:c>
      <x:c r="AM12" t="n">
        <x:v>0.10418</x:v>
      </x:c>
      <x:c r="AN12" t="n">
        <x:v>65.57</x:v>
      </x:c>
      <x:c r="AO12" t="n">
        <x:v>0.203</x:v>
      </x:c>
      <x:c r="AP12" t="n">
        <x:v>18.6</x:v>
      </x:c>
      <x:c r="AQ12" t="n">
        <x:v>0.11905</x:v>
      </x:c>
      <x:c r="AR12" t="n">
        <x:v>12.75</x:v>
      </x:c>
      <x:c r="AS12" t="n">
        <x:v>0.2486</x:v>
      </x:c>
      <x:c r="AT12" t="n">
        <x:v>0.384</x:v>
      </x:c>
      <x:c r="AU12" t="n">
        <x:v>0.8751</x:v>
      </x:c>
      <x:c r="AV12" t="n">
        <x:v>1</x:v>
      </x:c>
      <x:c r="AW12" t="n">
        <x:v>0.43875983874064123</x:v>
      </x:c>
      <x:c r="AX12" t="n">
        <x:v>0.06181937680020024</x:v>
      </x:c>
      <x:c r="AY12" t="n">
        <x:v>0.14742245633877746</x:v>
      </x:c>
      <x:c r="AZ12" t="n">
        <x:v>0.7657903806224589</x:v>
      </x:c>
    </x:row>
    <x:row r="13">
      <x:c r="A13" t="str">
        <x:v>125Hz-1</x:v>
      </x:c>
      <x:c r="B13" t="n">
        <x:v>125</x:v>
      </x:c>
      <x:c r="C13" t="n">
        <x:v>1</x:v>
      </x:c>
      <x:c r="D13" t="n">
        <x:v>2</x:v>
      </x:c>
      <x:c r="E13" t="n">
        <x:v>1</x:v>
      </x:c>
      <x:c r="F13" t="n">
        <x:v>125</x:v>
      </x:c>
      <x:c r="G13" t="n">
        <x:v>12</x:v>
      </x:c>
      <x:c r="H13" t="n">
        <x:v>535.48608</x:v>
      </x:c>
      <x:c r="I13" t="n">
        <x:v>0.15538</x:v>
      </x:c>
      <x:c r="J13" t="n">
        <x:v>18.78</x:v>
      </x:c>
      <x:c r="K13" t="n">
        <x:v>365.60833</x:v>
      </x:c>
      <x:c r="L13" t="n">
        <x:v>0.25452</x:v>
      </x:c>
      <x:c r="M13" t="n">
        <x:v>21.3</x:v>
      </x:c>
      <x:c r="N13" t="n">
        <x:v>624.94334</x:v>
      </x:c>
      <x:c r="O13" t="n">
        <x:v>0.11608</x:v>
      </x:c>
      <x:c r="P13" t="n">
        <x:v>17.03</x:v>
      </x:c>
      <x:c r="Q13" t="n">
        <x:v>124.89641</x:v>
      </x:c>
      <x:c r="R13" t="n">
        <x:v>0.03231</x:v>
      </x:c>
      <x:c r="S13" t="n">
        <x:v>125.07007</x:v>
      </x:c>
      <x:c r="T13" t="n">
        <x:v>0.04287</x:v>
      </x:c>
      <x:c r="U13" t="n">
        <x:v>125.07666</x:v>
      </x:c>
      <x:c r="V13" t="n">
        <x:v>0.10852</x:v>
      </x:c>
      <x:c r="W13" t="n">
        <x:v>125.0617</x:v>
      </x:c>
      <x:c r="X13" t="n">
        <x:v>0.0617</x:v>
      </x:c>
      <x:c r="Y13" t="n">
        <x:v>0.03231</x:v>
      </x:c>
      <x:c r="Z13" t="n">
        <x:v>0.04287</x:v>
      </x:c>
      <x:c r="AA13" t="n">
        <x:v>0.10852</x:v>
      </x:c>
      <x:c r="AB13" t="n">
        <x:v>0.12107</x:v>
      </x:c>
      <x:c r="AC13" t="n">
        <x:v>13.42</x:v>
      </x:c>
      <x:c r="AD13" t="str">
        <x:v>Z</x:v>
      </x:c>
      <x:c r="AE13" t="n">
        <x:v>0.03094</x:v>
      </x:c>
      <x:c r="AF13" t="n">
        <x:v>36.03</x:v>
      </x:c>
      <x:c r="AG13" t="n">
        <x:v>0.058</x:v>
      </x:c>
      <x:c r="AH13" t="n">
        <x:v>24.01</x:v>
      </x:c>
      <x:c r="AI13" t="n">
        <x:v>0.04938</x:v>
      </x:c>
      <x:c r="AJ13" t="n">
        <x:v>54.94</x:v>
      </x:c>
      <x:c r="AK13" t="n">
        <x:v>0.074</x:v>
      </x:c>
      <x:c r="AL13" t="n">
        <x:v>20.26</x:v>
      </x:c>
      <x:c r="AM13" t="n">
        <x:v>0.11389</x:v>
      </x:c>
      <x:c r="AN13" t="n">
        <x:v>50.22</x:v>
      </x:c>
      <x:c r="AO13" t="n">
        <x:v>0.26</x:v>
      </x:c>
      <x:c r="AP13" t="n">
        <x:v>13.2</x:v>
      </x:c>
      <x:c r="AQ13" t="n">
        <x:v>0.12864</x:v>
      </x:c>
      <x:c r="AR13" t="n">
        <x:v>9.68</x:v>
      </x:c>
      <x:c r="AS13" t="n">
        <x:v>0.2405</x:v>
      </x:c>
      <x:c r="AT13" t="n">
        <x:v>0.3839</x:v>
      </x:c>
      <x:c r="AU13" t="n">
        <x:v>0.8854</x:v>
      </x:c>
      <x:c r="AV13" t="n">
        <x:v>1</x:v>
      </x:c>
      <x:c r="AW13" t="n">
        <x:v>0.4335762577926069</x:v>
      </x:c>
      <x:c r="AX13" t="n">
        <x:v>0.05784802762462562</x:v>
      </x:c>
      <x:c r="AY13" t="n">
        <x:v>0.1473499892097349</x:v>
      </x:c>
      <x:c r="AZ13" t="n">
        <x:v>0.7838250215901988</x:v>
      </x:c>
    </x:row>
    <x:row r="14">
      <x:c r="A14" t="str">
        <x:v>125Hz-1</x:v>
      </x:c>
      <x:c r="B14" t="n">
        <x:v>125</x:v>
      </x:c>
      <x:c r="C14" t="n">
        <x:v>1</x:v>
      </x:c>
      <x:c r="D14" t="n">
        <x:v>3</x:v>
      </x:c>
      <x:c r="E14" t="n">
        <x:v>1</x:v>
      </x:c>
      <x:c r="F14" t="n">
        <x:v>125</x:v>
      </x:c>
      <x:c r="G14" t="n">
        <x:v>13</x:v>
      </x:c>
      <x:c r="H14" t="n">
        <x:v>534.91983</x:v>
      </x:c>
      <x:c r="I14" t="n">
        <x:v>0.19291</x:v>
      </x:c>
      <x:c r="J14" t="n">
        <x:v>21.28</x:v>
      </x:c>
      <x:c r="K14" t="n">
        <x:v>490.13398</x:v>
      </x:c>
      <x:c r="L14" t="n">
        <x:v>0.14926</x:v>
      </x:c>
      <x:c r="M14" t="n">
        <x:v>17.72</x:v>
      </x:c>
      <x:c r="N14" t="n">
        <x:v>124.9688</x:v>
      </x:c>
      <x:c r="O14" t="n">
        <x:v>0.1353</x:v>
      </x:c>
      <x:c r="P14" t="n">
        <x:v>18.69</x:v>
      </x:c>
      <x:c r="Q14" t="n">
        <x:v>124.91936</x:v>
      </x:c>
      <x:c r="R14" t="n">
        <x:v>0.03391</x:v>
      </x:c>
      <x:c r="S14" t="n">
        <x:v>124.98431</x:v>
      </x:c>
      <x:c r="T14" t="n">
        <x:v>0.05432</x:v>
      </x:c>
      <x:c r="U14" t="n">
        <x:v>124.9688</x:v>
      </x:c>
      <x:c r="V14" t="n">
        <x:v>0.1353</x:v>
      </x:c>
      <x:c r="W14" t="n">
        <x:v>124.9683</x:v>
      </x:c>
      <x:c r="X14" t="n">
        <x:v>-0.0317</x:v>
      </x:c>
      <x:c r="Y14" t="n">
        <x:v>0.03391</x:v>
      </x:c>
      <x:c r="Z14" t="n">
        <x:v>0.05432</x:v>
      </x:c>
      <x:c r="AA14" t="n">
        <x:v>0.1353</x:v>
      </x:c>
      <x:c r="AB14" t="n">
        <x:v>0.14969</x:v>
      </x:c>
      <x:c r="AC14" t="n">
        <x:v>18.39</x:v>
      </x:c>
      <x:c r="AD14" t="str">
        <x:v>Z</x:v>
      </x:c>
      <x:c r="AE14" t="n">
        <x:v>0.04144</x:v>
      </x:c>
      <x:c r="AF14" t="n">
        <x:v>42.72</x:v>
      </x:c>
      <x:c r="AG14" t="n">
        <x:v>0.078</x:v>
      </x:c>
      <x:c r="AH14" t="n">
        <x:v>14.17</x:v>
      </x:c>
      <x:c r="AI14" t="n">
        <x:v>0.04303</x:v>
      </x:c>
      <x:c r="AJ14" t="n">
        <x:v>45.16</x:v>
      </x:c>
      <x:c r="AK14" t="n">
        <x:v>0.077</x:v>
      </x:c>
      <x:c r="AL14" t="n">
        <x:v>22.59</x:v>
      </x:c>
      <x:c r="AM14" t="n">
        <x:v>0.13012</x:v>
      </x:c>
      <x:c r="AN14" t="n">
        <x:v>50.16</x:v>
      </x:c>
      <x:c r="AO14" t="n">
        <x:v>0.301</x:v>
      </x:c>
      <x:c r="AP14" t="n">
        <x:v>13.25</x:v>
      </x:c>
      <x:c r="AQ14" t="n">
        <x:v>0.14356</x:v>
      </x:c>
      <x:c r="AR14" t="n">
        <x:v>11.85</x:v>
      </x:c>
      <x:c r="AS14" t="n">
        <x:v>0.2886</x:v>
      </x:c>
      <x:c r="AT14" t="n">
        <x:v>0.2997</x:v>
      </x:c>
      <x:c r="AU14" t="n">
        <x:v>0.9064</x:v>
      </x:c>
      <x:c r="AV14" t="n">
        <x:v>1</x:v>
      </x:c>
      <x:c r="AW14" t="n">
        <x:v>0.33069474331386406</x:v>
      </x:c>
      <x:c r="AX14" t="n">
        <x:v>0.08332447656499097</x:v>
      </x:c>
      <x:c r="AY14" t="n">
        <x:v>0.08984125145243885</x:v>
      </x:c>
      <x:c r="AZ14" t="n">
        <x:v>0.8215258054917037</x:v>
      </x:c>
    </x:row>
    <x:row r="15">
      <x:c r="A15" t="str">
        <x:v>125Hz-1</x:v>
      </x:c>
      <x:c r="B15" t="n">
        <x:v>125</x:v>
      </x:c>
      <x:c r="C15" t="n">
        <x:v>1</x:v>
      </x:c>
      <x:c r="D15" t="n">
        <x:v>4</x:v>
      </x:c>
      <x:c r="E15" t="n">
        <x:v>1</x:v>
      </x:c>
      <x:c r="F15" t="n">
        <x:v>125</x:v>
      </x:c>
      <x:c r="G15" t="n">
        <x:v>14</x:v>
      </x:c>
      <x:c r="H15" t="n">
        <x:v>534.8769</x:v>
      </x:c>
      <x:c r="I15" t="n">
        <x:v>0.20121</x:v>
      </x:c>
      <x:c r="J15" t="n">
        <x:v>20.81</x:v>
      </x:c>
      <x:c r="K15" t="n">
        <x:v>490.04543</x:v>
      </x:c>
      <x:c r="L15" t="n">
        <x:v>0.15176</x:v>
      </x:c>
      <x:c r="M15" t="n">
        <x:v>16.94</x:v>
      </x:c>
      <x:c r="N15" t="n">
        <x:v>125.02401</x:v>
      </x:c>
      <x:c r="O15" t="n">
        <x:v>0.16556</x:v>
      </x:c>
      <x:c r="P15" t="n">
        <x:v>19.92</x:v>
      </x:c>
      <x:c r="Q15" t="n">
        <x:v>125.07149</x:v>
      </x:c>
      <x:c r="R15" t="n">
        <x:v>0.03885</x:v>
      </x:c>
      <x:c r="S15" t="n">
        <x:v>124.95579</x:v>
      </x:c>
      <x:c r="T15" t="n">
        <x:v>0.04913</x:v>
      </x:c>
      <x:c r="U15" t="n">
        <x:v>125.02401</x:v>
      </x:c>
      <x:c r="V15" t="n">
        <x:v>0.16556</x:v>
      </x:c>
      <x:c r="W15" t="n">
        <x:v>125.02106</x:v>
      </x:c>
      <x:c r="X15" t="n">
        <x:v>0.02106</x:v>
      </x:c>
      <x:c r="Y15" t="n">
        <x:v>0.03885</x:v>
      </x:c>
      <x:c r="Z15" t="n">
        <x:v>0.04913</x:v>
      </x:c>
      <x:c r="AA15" t="n">
        <x:v>0.16556</x:v>
      </x:c>
      <x:c r="AB15" t="n">
        <x:v>0.17701</x:v>
      </x:c>
      <x:c r="AC15" t="n">
        <x:v>19.31</x:v>
      </x:c>
      <x:c r="AD15" t="str">
        <x:v>Z</x:v>
      </x:c>
      <x:c r="AE15" t="n">
        <x:v>0.0402</x:v>
      </x:c>
      <x:c r="AF15" t="n">
        <x:v>45.13</x:v>
      </x:c>
      <x:c r="AG15" t="n">
        <x:v>0.067</x:v>
      </x:c>
      <x:c r="AH15" t="n">
        <x:v>21.78</x:v>
      </x:c>
      <x:c r="AI15" t="n">
        <x:v>0.05791</x:v>
      </x:c>
      <x:c r="AJ15" t="n">
        <x:v>46.98</x:v>
      </x:c>
      <x:c r="AK15" t="n">
        <x:v>0.09</x:v>
      </x:c>
      <x:c r="AL15" t="n">
        <x:v>30.92</x:v>
      </x:c>
      <x:c r="AM15" t="n">
        <x:v>0.16809</x:v>
      </x:c>
      <x:c r="AN15" t="n">
        <x:v>47.95</x:v>
      </x:c>
      <x:c r="AO15" t="n">
        <x:v>0.353</x:v>
      </x:c>
      <x:c r="AP15" t="n">
        <x:v>5.08</x:v>
      </x:c>
      <x:c r="AQ15" t="n">
        <x:v>0.1831</x:v>
      </x:c>
      <x:c r="AR15" t="n">
        <x:v>5.28</x:v>
      </x:c>
      <x:c r="AS15" t="n">
        <x:v>0.2196</x:v>
      </x:c>
      <x:c r="AT15" t="n">
        <x:v>0.3163</x:v>
      </x:c>
      <x:c r="AU15" t="n">
        <x:v>0.918</x:v>
      </x:c>
      <x:c r="AV15" t="n">
        <x:v>1</x:v>
      </x:c>
      <x:c r="AW15" t="n">
        <x:v>0.3445178178356833</x:v>
      </x:c>
      <x:c r="AX15" t="n">
        <x:v>0.04820314977117492</x:v>
      </x:c>
      <x:c r="AY15" t="n">
        <x:v>0.10003003972187233</x:v>
      </x:c>
      <x:c r="AZ15" t="n">
        <x:v>0.8427661152175902</x:v>
      </x:c>
    </x:row>
    <x:row r="16">
      <x:c r="A16" t="str">
        <x:v>125Hz-1</x:v>
      </x:c>
      <x:c r="B16" t="n">
        <x:v>125</x:v>
      </x:c>
      <x:c r="C16" t="n">
        <x:v>1</x:v>
      </x:c>
      <x:c r="D16" t="n">
        <x:v>5</x:v>
      </x:c>
      <x:c r="E16" t="n">
        <x:v>1</x:v>
      </x:c>
      <x:c r="F16" t="n">
        <x:v>125</x:v>
      </x:c>
      <x:c r="G16" t="n">
        <x:v>15</x:v>
      </x:c>
      <x:c r="H16" t="n">
        <x:v>285.1686</x:v>
      </x:c>
      <x:c r="I16" t="n">
        <x:v>0.23818</x:v>
      </x:c>
      <x:c r="J16" t="n">
        <x:v>22.16</x:v>
      </x:c>
      <x:c r="K16" t="n">
        <x:v>365.33711</x:v>
      </x:c>
      <x:c r="L16" t="n">
        <x:v>0.33151</x:v>
      </x:c>
      <x:c r="M16" t="n">
        <x:v>22.76</x:v>
      </x:c>
      <x:c r="N16" t="n">
        <x:v>125.03328</x:v>
      </x:c>
      <x:c r="O16" t="n">
        <x:v>0.19262</x:v>
      </x:c>
      <x:c r="P16" t="n">
        <x:v>20.7</x:v>
      </x:c>
      <x:c r="Q16" t="n">
        <x:v>124.83077</x:v>
      </x:c>
      <x:c r="R16" t="n">
        <x:v>0.03791</x:v>
      </x:c>
      <x:c r="S16" t="n">
        <x:v>125.05556</x:v>
      </x:c>
      <x:c r="T16" t="n">
        <x:v>0.05732</x:v>
      </x:c>
      <x:c r="U16" t="n">
        <x:v>125.03328</x:v>
      </x:c>
      <x:c r="V16" t="n">
        <x:v>0.19262</x:v>
      </x:c>
      <x:c r="W16" t="n">
        <x:v>125.02835</x:v>
      </x:c>
      <x:c r="X16" t="n">
        <x:v>0.02835</x:v>
      </x:c>
      <x:c r="Y16" t="n">
        <x:v>0.03791</x:v>
      </x:c>
      <x:c r="Z16" t="n">
        <x:v>0.05732</x:v>
      </x:c>
      <x:c r="AA16" t="n">
        <x:v>0.19262</x:v>
      </x:c>
      <x:c r="AB16" t="n">
        <x:v>0.20451</x:v>
      </x:c>
      <x:c r="AC16" t="n">
        <x:v>19.49</x:v>
      </x:c>
      <x:c r="AD16" t="str">
        <x:v>Z</x:v>
      </x:c>
      <x:c r="AE16" t="n">
        <x:v>0.03971</x:v>
      </x:c>
      <x:c r="AF16" t="n">
        <x:v>34.86</x:v>
      </x:c>
      <x:c r="AG16" t="n">
        <x:v>0.062</x:v>
      </x:c>
      <x:c r="AH16" t="n">
        <x:v>35.06</x:v>
      </x:c>
      <x:c r="AI16" t="n">
        <x:v>0.06011</x:v>
      </x:c>
      <x:c r="AJ16" t="n">
        <x:v>49.78</x:v>
      </x:c>
      <x:c r="AK16" t="n">
        <x:v>0.078</x:v>
      </x:c>
      <x:c r="AL16" t="n">
        <x:v>4.4</x:v>
      </x:c>
      <x:c r="AM16" t="n">
        <x:v>0.20952</x:v>
      </x:c>
      <x:c r="AN16" t="n">
        <x:v>49.12</x:v>
      </x:c>
      <x:c r="AO16" t="n">
        <x:v>0.394</x:v>
      </x:c>
      <x:c r="AP16" t="n">
        <x:v>10.48</x:v>
      </x:c>
      <x:c r="AQ16" t="n">
        <x:v>0.22192</x:v>
      </x:c>
      <x:c r="AR16" t="n">
        <x:v>9.91</x:v>
      </x:c>
      <x:c r="AS16" t="n">
        <x:v>0.1789</x:v>
      </x:c>
      <x:c r="AT16" t="n">
        <x:v>0.2709</x:v>
      </x:c>
      <x:c r="AU16" t="n">
        <x:v>0.9441</x:v>
      </x:c>
      <x:c r="AV16" t="n">
        <x:v>1</x:v>
      </x:c>
      <x:c r="AW16" t="n">
        <x:v>0.28689385261550204</x:v>
      </x:c>
      <x:c r="AX16" t="n">
        <x:v>0.03201893530681179</x:v>
      </x:c>
      <x:c r="AY16" t="n">
        <x:v>0.07336696747699438</x:v>
      </x:c>
      <x:c r="AZ16" t="n">
        <x:v>0.8913701437126809</x:v>
      </x:c>
    </x:row>
    <x:row r="17">
      <x:c r="A17" t="str">
        <x:v>125Hz-1</x:v>
      </x:c>
      <x:c r="B17" t="n">
        <x:v>125</x:v>
      </x:c>
      <x:c r="C17" t="n">
        <x:v>1</x:v>
      </x:c>
      <x:c r="D17" t="n">
        <x:v>6</x:v>
      </x:c>
      <x:c r="E17" t="n">
        <x:v>1</x:v>
      </x:c>
      <x:c r="F17" t="n">
        <x:v>125</x:v>
      </x:c>
      <x:c r="G17" t="n">
        <x:v>16</x:v>
      </x:c>
      <x:c r="H17" t="n">
        <x:v>534.38632</x:v>
      </x:c>
      <x:c r="I17" t="n">
        <x:v>0.20539</x:v>
      </x:c>
      <x:c r="J17" t="n">
        <x:v>21.11</x:v>
      </x:c>
      <x:c r="K17" t="n">
        <x:v>614.09076</x:v>
      </x:c>
      <x:c r="L17" t="n">
        <x:v>0.40173</x:v>
      </x:c>
      <x:c r="M17" t="n">
        <x:v>24.01</x:v>
      </x:c>
      <x:c r="N17" t="n">
        <x:v>125.0105</x:v>
      </x:c>
      <x:c r="O17" t="n">
        <x:v>0.21897</x:v>
      </x:c>
      <x:c r="P17" t="n">
        <x:v>21.98</x:v>
      </x:c>
      <x:c r="Q17" t="n">
        <x:v>125.10827</x:v>
      </x:c>
      <x:c r="R17" t="n">
        <x:v>0.0563</x:v>
      </x:c>
      <x:c r="S17" t="n">
        <x:v>124.88227</x:v>
      </x:c>
      <x:c r="T17" t="n">
        <x:v>0.04959</x:v>
      </x:c>
      <x:c r="U17" t="n">
        <x:v>125.0105</x:v>
      </x:c>
      <x:c r="V17" t="n">
        <x:v>0.21897</x:v>
      </x:c>
      <x:c r="W17" t="n">
        <x:v>125.01029</x:v>
      </x:c>
      <x:c r="X17" t="n">
        <x:v>0.01029</x:v>
      </x:c>
      <x:c r="Y17" t="n">
        <x:v>0.0563</x:v>
      </x:c>
      <x:c r="Z17" t="n">
        <x:v>0.04959</x:v>
      </x:c>
      <x:c r="AA17" t="n">
        <x:v>0.21897</x:v>
      </x:c>
      <x:c r="AB17" t="n">
        <x:v>0.23147</x:v>
      </x:c>
      <x:c r="AC17" t="n">
        <x:v>21.52</x:v>
      </x:c>
      <x:c r="AD17" t="str">
        <x:v>Z</x:v>
      </x:c>
      <x:c r="AE17" t="n">
        <x:v>0.05773</x:v>
      </x:c>
      <x:c r="AF17" t="n">
        <x:v>39.45</x:v>
      </x:c>
      <x:c r="AG17" t="n">
        <x:v>0.099</x:v>
      </x:c>
      <x:c r="AH17" t="n">
        <x:v>12.99</x:v>
      </x:c>
      <x:c r="AI17" t="n">
        <x:v>0.05224</x:v>
      </x:c>
      <x:c r="AJ17" t="n">
        <x:v>51.88</x:v>
      </x:c>
      <x:c r="AK17" t="n">
        <x:v>0.061</x:v>
      </x:c>
      <x:c r="AL17" t="n">
        <x:v>19.09</x:v>
      </x:c>
      <x:c r="AM17" t="n">
        <x:v>0.23032</x:v>
      </x:c>
      <x:c r="AN17" t="n">
        <x:v>49.23</x:v>
      </x:c>
      <x:c r="AO17" t="n">
        <x:v>0.444</x:v>
      </x:c>
      <x:c r="AP17" t="n">
        <x:v>5.02</x:v>
      </x:c>
      <x:c r="AQ17" t="n">
        <x:v>0.24344</x:v>
      </x:c>
      <x:c r="AR17" t="n">
        <x:v>3.98</x:v>
      </x:c>
      <x:c r="AS17" t="n">
        <x:v>0.2371</x:v>
      </x:c>
      <x:c r="AT17" t="n">
        <x:v>0.2146</x:v>
      </x:c>
      <x:c r="AU17" t="n">
        <x:v>0.9461</x:v>
      </x:c>
      <x:c r="AV17" t="n">
        <x:v>1</x:v>
      </x:c>
      <x:c r="AW17" t="n">
        <x:v>0.22681486627301148</x:v>
      </x:c>
      <x:c r="AX17" t="n">
        <x:v>0.056236623364484664</x:v>
      </x:c>
      <x:c r="AY17" t="n">
        <x:v>0.04604923903186759</x:v>
      </x:c>
      <x:c r="AZ17" t="n">
        <x:v>0.8951162162579541</x:v>
      </x:c>
    </x:row>
    <x:row r="18">
      <x:c r="A18" t="str">
        <x:v>125Hz-1</x:v>
      </x:c>
      <x:c r="B18" t="n">
        <x:v>125</x:v>
      </x:c>
      <x:c r="C18" t="n">
        <x:v>1</x:v>
      </x:c>
      <x:c r="D18" t="n">
        <x:v>7</x:v>
      </x:c>
      <x:c r="E18" t="n">
        <x:v>1</x:v>
      </x:c>
      <x:c r="F18" t="n">
        <x:v>125</x:v>
      </x:c>
      <x:c r="G18" t="n">
        <x:v>17</x:v>
      </x:c>
      <x:c r="H18" t="n">
        <x:v>534.29006</x:v>
      </x:c>
      <x:c r="I18" t="n">
        <x:v>0.29035</x:v>
      </x:c>
      <x:c r="J18" t="n">
        <x:v>23.93</x:v>
      </x:c>
      <x:c r="K18" t="n">
        <x:v>34.28539</x:v>
      </x:c>
      <x:c r="L18" t="n">
        <x:v>0.35171</x:v>
      </x:c>
      <x:c r="M18" t="n">
        <x:v>23.28</x:v>
      </x:c>
      <x:c r="N18" t="n">
        <x:v>125.00115</x:v>
      </x:c>
      <x:c r="O18" t="n">
        <x:v>0.26356</x:v>
      </x:c>
      <x:c r="P18" t="n">
        <x:v>23.37</x:v>
      </x:c>
      <x:c r="Q18" t="n">
        <x:v>124.8916</x:v>
      </x:c>
      <x:c r="R18" t="n">
        <x:v>0.0613</x:v>
      </x:c>
      <x:c r="S18" t="n">
        <x:v>125.06065</x:v>
      </x:c>
      <x:c r="T18" t="n">
        <x:v>0.05285</x:v>
      </x:c>
      <x:c r="U18" t="n">
        <x:v>125.00115</x:v>
      </x:c>
      <x:c r="V18" t="n">
        <x:v>0.26356</x:v>
      </x:c>
      <x:c r="W18" t="n">
        <x:v>124.99791</x:v>
      </x:c>
      <x:c r="X18" t="n">
        <x:v>-0.00209</x:v>
      </x:c>
      <x:c r="Y18" t="n">
        <x:v>0.0613</x:v>
      </x:c>
      <x:c r="Z18" t="n">
        <x:v>0.05285</x:v>
      </x:c>
      <x:c r="AA18" t="n">
        <x:v>0.26356</x:v>
      </x:c>
      <x:c r="AB18" t="n">
        <x:v>0.2757</x:v>
      </x:c>
      <x:c r="AC18" t="n">
        <x:v>21.12</x:v>
      </x:c>
      <x:c r="AD18" t="str">
        <x:v>Z</x:v>
      </x:c>
      <x:c r="AE18" t="n">
        <x:v>0.05488</x:v>
      </x:c>
      <x:c r="AF18" t="n">
        <x:v>26.25</x:v>
      </x:c>
      <x:c r="AG18" t="n">
        <x:v>0.084</x:v>
      </x:c>
      <x:c r="AH18" t="n">
        <x:v>16.68</x:v>
      </x:c>
      <x:c r="AI18" t="n">
        <x:v>0.04999</x:v>
      </x:c>
      <x:c r="AJ18" t="n">
        <x:v>48.58</x:v>
      </x:c>
      <x:c r="AK18" t="n">
        <x:v>0.063</x:v>
      </x:c>
      <x:c r="AL18" t="n">
        <x:v>24.98</x:v>
      </x:c>
      <x:c r="AM18" t="n">
        <x:v>0.25794</x:v>
      </x:c>
      <x:c r="AN18" t="n">
        <x:v>42.18</x:v>
      </x:c>
      <x:c r="AO18" t="n">
        <x:v>0.505</x:v>
      </x:c>
      <x:c r="AP18" t="n">
        <x:v>1.41</x:v>
      </x:c>
      <x:c r="AQ18" t="n">
        <x:v>0.26874</x:v>
      </x:c>
      <x:c r="AR18" t="n">
        <x:v>2.11</x:v>
      </x:c>
      <x:c r="AS18" t="n">
        <x:v>0.2042</x:v>
      </x:c>
      <x:c r="AT18" t="n">
        <x:v>0.186</x:v>
      </x:c>
      <x:c r="AU18" t="n">
        <x:v>0.9598</x:v>
      </x:c>
      <x:c r="AV18" t="n">
        <x:v>1</x:v>
      </x:c>
      <x:c r="AW18" t="n">
        <x:v>0.19380476079708459</x:v>
      </x:c>
      <x:c r="AX18" t="n">
        <x:v>0.04170264295127709</x:v>
      </x:c>
      <x:c r="AY18" t="n">
        <x:v>0.034602035538944816</x:v>
      </x:c>
      <x:c r="AZ18" t="n">
        <x:v>0.9212399547968666</x:v>
      </x:c>
    </x:row>
    <x:row r="19">
      <x:c r="A19" t="str">
        <x:v>125Hz-1</x:v>
      </x:c>
      <x:c r="B19" t="n">
        <x:v>125</x:v>
      </x:c>
      <x:c r="C19" t="n">
        <x:v>1</x:v>
      </x:c>
      <x:c r="D19" t="n">
        <x:v>8</x:v>
      </x:c>
      <x:c r="E19" t="n">
        <x:v>1</x:v>
      </x:c>
      <x:c r="F19" t="n">
        <x:v>125</x:v>
      </x:c>
      <x:c r="G19" t="n">
        <x:v>18</x:v>
      </x:c>
      <x:c r="H19" t="n">
        <x:v>534.33488</x:v>
      </x:c>
      <x:c r="I19" t="n">
        <x:v>0.2272</x:v>
      </x:c>
      <x:c r="J19" t="n">
        <x:v>21.77</x:v>
      </x:c>
      <x:c r="K19" t="n">
        <x:v>613.95404</x:v>
      </x:c>
      <x:c r="L19" t="n">
        <x:v>0.36503</x:v>
      </x:c>
      <x:c r="M19" t="n">
        <x:v>22.51</x:v>
      </x:c>
      <x:c r="N19" t="n">
        <x:v>125.01114</x:v>
      </x:c>
      <x:c r="O19" t="n">
        <x:v>0.32423</x:v>
      </x:c>
      <x:c r="P19" t="n">
        <x:v>24.62</x:v>
      </x:c>
      <x:c r="Q19" t="n">
        <x:v>124.99165</x:v>
      </x:c>
      <x:c r="R19" t="n">
        <x:v>0.0654</x:v>
      </x:c>
      <x:c r="S19" t="n">
        <x:v>124.91841</x:v>
      </x:c>
      <x:c r="T19" t="n">
        <x:v>0.04292</x:v>
      </x:c>
      <x:c r="U19" t="n">
        <x:v>125.01114</x:v>
      </x:c>
      <x:c r="V19" t="n">
        <x:v>0.32423</x:v>
      </x:c>
      <x:c r="W19" t="n">
        <x:v>125.00884</x:v>
      </x:c>
      <x:c r="X19" t="n">
        <x:v>0.00884</x:v>
      </x:c>
      <x:c r="Y19" t="n">
        <x:v>0.0654</x:v>
      </x:c>
      <x:c r="Z19" t="n">
        <x:v>0.04292</x:v>
      </x:c>
      <x:c r="AA19" t="n">
        <x:v>0.32423</x:v>
      </x:c>
      <x:c r="AB19" t="n">
        <x:v>0.33353</x:v>
      </x:c>
      <x:c r="AC19" t="n">
        <x:v>26.26</x:v>
      </x:c>
      <x:c r="AD19" t="str">
        <x:v>Z</x:v>
      </x:c>
      <x:c r="AE19" t="n">
        <x:v>0.05876</x:v>
      </x:c>
      <x:c r="AF19" t="n">
        <x:v>43.93</x:v>
      </x:c>
      <x:c r="AG19" t="n">
        <x:v>0.095</x:v>
      </x:c>
      <x:c r="AH19" t="n">
        <x:v>11.14</x:v>
      </x:c>
      <x:c r="AI19" t="n">
        <x:v>0.0455</x:v>
      </x:c>
      <x:c r="AJ19" t="n">
        <x:v>83.62</x:v>
      </x:c>
      <x:c r="AK19" t="n">
        <x:v>0.049</x:v>
      </x:c>
      <x:c r="AL19" t="n">
        <x:v>22.21</x:v>
      </x:c>
      <x:c r="AM19" t="n">
        <x:v>0.32739</x:v>
      </x:c>
      <x:c r="AN19" t="n">
        <x:v>39.95</x:v>
      </x:c>
      <x:c r="AO19" t="n">
        <x:v>0.565</x:v>
      </x:c>
      <x:c r="AP19" t="n">
        <x:v>6.33</x:v>
      </x:c>
      <x:c r="AQ19" t="n">
        <x:v>0.33588</x:v>
      </x:c>
      <x:c r="AR19" t="n">
        <x:v>6.27</x:v>
      </x:c>
      <x:c r="AS19" t="n">
        <x:v>0.175</x:v>
      </x:c>
      <x:c r="AT19" t="n">
        <x:v>0.1355</x:v>
      </x:c>
      <x:c r="AU19" t="n">
        <x:v>0.9747</x:v>
      </x:c>
      <x:c r="AV19" t="n">
        <x:v>1</x:v>
      </x:c>
      <x:c r="AW19" t="n">
        <x:v>0.13897797733589906</x:v>
      </x:c>
      <x:c r="AX19" t="n">
        <x:v>0.03060520446227407</x:v>
      </x:c>
      <x:c r="AY19" t="n">
        <x:v>0.01835077896971461</x:v>
      </x:c>
      <x:c r="AZ19" t="n">
        <x:v>0.950085151691878</x:v>
      </x:c>
    </x:row>
    <x:row r="20">
      <x:c r="A20" t="str">
        <x:v>125Hz-1</x:v>
      </x:c>
      <x:c r="B20" t="n">
        <x:v>125</x:v>
      </x:c>
      <x:c r="C20" t="n">
        <x:v>1</x:v>
      </x:c>
      <x:c r="D20" t="n">
        <x:v>9</x:v>
      </x:c>
      <x:c r="E20" t="n">
        <x:v>1</x:v>
      </x:c>
      <x:c r="F20" t="n">
        <x:v>125</x:v>
      </x:c>
      <x:c r="G20" t="n">
        <x:v>19</x:v>
      </x:c>
      <x:c r="H20" t="n">
        <x:v>534.23833</x:v>
      </x:c>
      <x:c r="I20" t="n">
        <x:v>0.21532</x:v>
      </x:c>
      <x:c r="J20" t="n">
        <x:v>20.96</x:v>
      </x:c>
      <x:c r="K20" t="n">
        <x:v>363.85765</x:v>
      </x:c>
      <x:c r="L20" t="n">
        <x:v>0.3781</x:v>
      </x:c>
      <x:c r="M20" t="n">
        <x:v>23.4</x:v>
      </x:c>
      <x:c r="N20" t="n">
        <x:v>125.0113</x:v>
      </x:c>
      <x:c r="O20" t="n">
        <x:v>0.3642</x:v>
      </x:c>
      <x:c r="P20" t="n">
        <x:v>25.73</x:v>
      </x:c>
      <x:c r="Q20" t="n">
        <x:v>125.01879</x:v>
      </x:c>
      <x:c r="R20" t="n">
        <x:v>0.06296</x:v>
      </x:c>
      <x:c r="S20" t="n">
        <x:v>125.00269</x:v>
      </x:c>
      <x:c r="T20" t="n">
        <x:v>0.04131</x:v>
      </x:c>
      <x:c r="U20" t="n">
        <x:v>125.0113</x:v>
      </x:c>
      <x:c r="V20" t="n">
        <x:v>0.3642</x:v>
      </x:c>
      <x:c r="W20" t="n">
        <x:v>125.01141</x:v>
      </x:c>
      <x:c r="X20" t="n">
        <x:v>0.01141</x:v>
      </x:c>
      <x:c r="Y20" t="n">
        <x:v>0.06296</x:v>
      </x:c>
      <x:c r="Z20" t="n">
        <x:v>0.04131</x:v>
      </x:c>
      <x:c r="AA20" t="n">
        <x:v>0.3642</x:v>
      </x:c>
      <x:c r="AB20" t="n">
        <x:v>0.3719</x:v>
      </x:c>
      <x:c r="AC20" t="n">
        <x:v>25.51</x:v>
      </x:c>
      <x:c r="AD20" t="str">
        <x:v>Z</x:v>
      </x:c>
      <x:c r="AE20" t="n">
        <x:v>0.07699</x:v>
      </x:c>
      <x:c r="AF20" t="n">
        <x:v>41.82</x:v>
      </x:c>
      <x:c r="AG20" t="n">
        <x:v>0.126</x:v>
      </x:c>
      <x:c r="AH20" t="n">
        <x:v>20.24</x:v>
      </x:c>
      <x:c r="AI20" t="n">
        <x:v>0.04066</x:v>
      </x:c>
      <x:c r="AJ20" t="n">
        <x:v>71.28</x:v>
      </x:c>
      <x:c r="AK20" t="n">
        <x:v>0.047</x:v>
      </x:c>
      <x:c r="AL20" t="n">
        <x:v>23.18</x:v>
      </x:c>
      <x:c r="AM20" t="n">
        <x:v>0.36594</x:v>
      </x:c>
      <x:c r="AN20" t="n">
        <x:v>39.9</x:v>
      </x:c>
      <x:c r="AO20" t="n">
        <x:v>0.593</x:v>
      </x:c>
      <x:c r="AP20" t="n">
        <x:v>5.54</x:v>
      </x:c>
      <x:c r="AQ20" t="n">
        <x:v>0.37642</x:v>
      </x:c>
      <x:c r="AR20" t="n">
        <x:v>5.92</x:v>
      </x:c>
      <x:c r="AS20" t="n">
        <x:v>0.2045</x:v>
      </x:c>
      <x:c r="AT20" t="n">
        <x:v>0.108</x:v>
      </x:c>
      <x:c r="AU20" t="n">
        <x:v>0.9722</x:v>
      </x:c>
      <x:c r="AV20" t="n">
        <x:v>1</x:v>
      </x:c>
      <x:c r="AW20" t="n">
        <x:v>0.11111111111111112</x:v>
      </x:c>
      <x:c r="AX20" t="n">
        <x:v>0.04183340918281971</x:v>
      </x:c>
      <x:c r="AY20" t="n">
        <x:v>0.011667810523162266</x:v>
      </x:c>
      <x:c r="AZ20" t="n">
        <x:v>0.9450926523761434</x:v>
      </x:c>
    </x:row>
    <x:row r="21">
      <x:c r="A21" t="str">
        <x:v>125Hz-1</x:v>
      </x:c>
      <x:c r="B21" t="n">
        <x:v>125</x:v>
      </x:c>
      <x:c r="C21" t="n">
        <x:v>1</x:v>
      </x:c>
      <x:c r="D21" t="n">
        <x:v>10</x:v>
      </x:c>
      <x:c r="E21" t="n">
        <x:v>1</x:v>
      </x:c>
      <x:c r="F21" t="n">
        <x:v>125</x:v>
      </x:c>
      <x:c r="G21" t="n">
        <x:v>20</x:v>
      </x:c>
      <x:c r="H21" t="n">
        <x:v>409.45369</x:v>
      </x:c>
      <x:c r="I21" t="n">
        <x:v>0.16475</x:v>
      </x:c>
      <x:c r="J21" t="n">
        <x:v>19.4</x:v>
      </x:c>
      <x:c r="K21" t="n">
        <x:v>364.18196</x:v>
      </x:c>
      <x:c r="L21" t="n">
        <x:v>0.27156</x:v>
      </x:c>
      <x:c r="M21" t="n">
        <x:v>20.86</x:v>
      </x:c>
      <x:c r="N21" t="n">
        <x:v>125.01382</x:v>
      </x:c>
      <x:c r="O21" t="n">
        <x:v>0.42593</x:v>
      </x:c>
      <x:c r="P21" t="n">
        <x:v>26.77</x:v>
      </x:c>
      <x:c r="Q21" t="n">
        <x:v>124.99024</x:v>
      </x:c>
      <x:c r="R21" t="n">
        <x:v>0.0753</x:v>
      </x:c>
      <x:c r="S21" t="n">
        <x:v>124.92927</x:v>
      </x:c>
      <x:c r="T21" t="n">
        <x:v>0.04283</x:v>
      </x:c>
      <x:c r="U21" t="n">
        <x:v>125.01382</x:v>
      </x:c>
      <x:c r="V21" t="n">
        <x:v>0.42593</x:v>
      </x:c>
      <x:c r="W21" t="n">
        <x:v>125.01228</x:v>
      </x:c>
      <x:c r="X21" t="n">
        <x:v>0.01228</x:v>
      </x:c>
      <x:c r="Y21" t="n">
        <x:v>0.0753</x:v>
      </x:c>
      <x:c r="Z21" t="n">
        <x:v>0.04283</x:v>
      </x:c>
      <x:c r="AA21" t="n">
        <x:v>0.42593</x:v>
      </x:c>
      <x:c r="AB21" t="n">
        <x:v>0.43465</x:v>
      </x:c>
      <x:c r="AC21" t="n">
        <x:v>27.15</x:v>
      </x:c>
      <x:c r="AD21" t="str">
        <x:v>Z</x:v>
      </x:c>
      <x:c r="AE21" t="n">
        <x:v>0.08957</x:v>
      </x:c>
      <x:c r="AF21" t="n">
        <x:v>43.41</x:v>
      </x:c>
      <x:c r="AG21" t="n">
        <x:v>0.171</x:v>
      </x:c>
      <x:c r="AH21" t="n">
        <x:v>6.52</x:v>
      </x:c>
      <x:c r="AI21" t="n">
        <x:v>0.03514</x:v>
      </x:c>
      <x:c r="AJ21" t="n">
        <x:v>112.94</x:v>
      </x:c>
      <x:c r="AK21" t="n">
        <x:v>0.046</x:v>
      </x:c>
      <x:c r="AL21" t="n">
        <x:v>46.52</x:v>
      </x:c>
      <x:c r="AM21" t="n">
        <x:v>0.44424</x:v>
      </x:c>
      <x:c r="AN21" t="n">
        <x:v>35.36</x:v>
      </x:c>
      <x:c r="AO21" t="n">
        <x:v>0.622</x:v>
      </x:c>
      <x:c r="AP21" t="n">
        <x:v>3.42</x:v>
      </x:c>
      <x:c r="AQ21" t="n">
        <x:v>0.45484</x:v>
      </x:c>
      <x:c r="AR21" t="n">
        <x:v>3.02</x:v>
      </x:c>
      <x:c r="AS21" t="n">
        <x:v>0.1969</x:v>
      </x:c>
      <x:c r="AT21" t="n">
        <x:v>0.0773</x:v>
      </x:c>
      <x:c r="AU21" t="n">
        <x:v>0.9767</x:v>
      </x:c>
      <x:c r="AV21" t="n">
        <x:v>1</x:v>
      </x:c>
      <x:c r="AW21" t="n">
        <x:v>0.0791013866378534</x:v>
      </x:c>
      <x:c r="AX21" t="n">
        <x:v>0.03878000374726485</x:v>
      </x:c>
      <x:c r="AY21" t="n">
        <x:v>0.005968788807387329</x:v>
      </x:c>
      <x:c r="AZ21" t="n">
        <x:v>0.9539333214389976</x:v>
      </x:c>
    </x:row>
    <x:row r="22">
      <x:c r="A22" t="str">
        <x:v>150Hz-1</x:v>
      </x:c>
      <x:c r="B22" t="n">
        <x:v>150</x:v>
      </x:c>
      <x:c r="C22" t="n">
        <x:v>1</x:v>
      </x:c>
      <x:c r="D22" t="n">
        <x:v>1</x:v>
      </x:c>
      <x:c r="E22" t="n">
        <x:v>1</x:v>
      </x:c>
      <x:c r="F22" t="n">
        <x:v>150</x:v>
      </x:c>
      <x:c r="G22" t="n">
        <x:v>11</x:v>
      </x:c>
      <x:c r="H22" t="n">
        <x:v>510.08435</x:v>
      </x:c>
      <x:c r="I22" t="n">
        <x:v>0.154</x:v>
      </x:c>
      <x:c r="J22" t="n">
        <x:v>17.39</x:v>
      </x:c>
      <x:c r="K22" t="n">
        <x:v>690.14015</x:v>
      </x:c>
      <x:c r="L22" t="n">
        <x:v>0.22447</x:v>
      </x:c>
      <x:c r="M22" t="n">
        <x:v>18.95</x:v>
      </x:c>
      <x:c r="N22" t="n">
        <x:v>150.02386</x:v>
      </x:c>
      <x:c r="O22" t="n">
        <x:v>0.21805</x:v>
      </x:c>
      <x:c r="P22" t="n">
        <x:v>21.87</x:v>
      </x:c>
      <x:c r="Q22" t="n">
        <x:v>150.05835</x:v>
      </x:c>
      <x:c r="R22" t="n">
        <x:v>0.04454</x:v>
      </x:c>
      <x:c r="S22" t="n">
        <x:v>149.93564</x:v>
      </x:c>
      <x:c r="T22" t="n">
        <x:v>0.09859</x:v>
      </x:c>
      <x:c r="U22" t="n">
        <x:v>150.02386</x:v>
      </x:c>
      <x:c r="V22" t="n">
        <x:v>0.21805</x:v>
      </x:c>
      <x:c r="W22" t="n">
        <x:v>150.01038</x:v>
      </x:c>
      <x:c r="X22" t="n">
        <x:v>0.01038</x:v>
      </x:c>
      <x:c r="Y22" t="n">
        <x:v>0.04454</x:v>
      </x:c>
      <x:c r="Z22" t="n">
        <x:v>0.09859</x:v>
      </x:c>
      <x:c r="AA22" t="n">
        <x:v>0.21805</x:v>
      </x:c>
      <x:c r="AB22" t="n">
        <x:v>0.24341</x:v>
      </x:c>
      <x:c r="AC22" t="n">
        <x:v>18.86</x:v>
      </x:c>
      <x:c r="AD22" t="str">
        <x:v>Z</x:v>
      </x:c>
      <x:c r="AE22" t="n">
        <x:v>0.03146</x:v>
      </x:c>
      <x:c r="AF22" t="n">
        <x:v>44.29</x:v>
      </x:c>
      <x:c r="AG22" t="n">
        <x:v>0.051</x:v>
      </x:c>
      <x:c r="AH22" t="n">
        <x:v>18.54</x:v>
      </x:c>
      <x:c r="AI22" t="n">
        <x:v>0.0967</x:v>
      </x:c>
      <x:c r="AJ22" t="n">
        <x:v>41.69</x:v>
      </x:c>
      <x:c r="AK22" t="n">
        <x:v>0.123</x:v>
      </x:c>
      <x:c r="AL22" t="n">
        <x:v>30.57</x:v>
      </x:c>
      <x:c r="AM22" t="n">
        <x:v>0.22788</x:v>
      </x:c>
      <x:c r="AN22" t="n">
        <x:v>39.23</x:v>
      </x:c>
      <x:c r="AO22" t="n">
        <x:v>0.447</x:v>
      </x:c>
      <x:c r="AP22" t="n">
        <x:v>6.61</x:v>
      </x:c>
      <x:c r="AQ22" t="n">
        <x:v>0.25111</x:v>
      </x:c>
      <x:c r="AR22" t="n">
        <x:v>4.92</x:v>
      </x:c>
      <x:c r="AS22" t="n">
        <x:v>0.1253</x:v>
      </x:c>
      <x:c r="AT22" t="n">
        <x:v>0.3851</x:v>
      </x:c>
      <x:c r="AU22" t="n">
        <x:v>0.9075</x:v>
      </x:c>
      <x:c r="AV22" t="n">
        <x:v>1</x:v>
      </x:c>
      <x:c r="AW22" t="n">
        <x:v>0.4243461470949622</x:v>
      </x:c>
      <x:c r="AX22" t="n">
        <x:v>0.015696015556882603</x:v>
      </x:c>
      <x:c r="AY22" t="n">
        <x:v>0.14829446176185335</x:v>
      </x:c>
      <x:c r="AZ22" t="n">
        <x:v>0.8235394451994222</x:v>
      </x:c>
    </x:row>
    <x:row r="23">
      <x:c r="A23" t="str">
        <x:v>150Hz-1</x:v>
      </x:c>
      <x:c r="B23" t="n">
        <x:v>150</x:v>
      </x:c>
      <x:c r="C23" t="n">
        <x:v>1</x:v>
      </x:c>
      <x:c r="D23" t="n">
        <x:v>2</x:v>
      </x:c>
      <x:c r="E23" t="n">
        <x:v>1</x:v>
      </x:c>
      <x:c r="F23" t="n">
        <x:v>150</x:v>
      </x:c>
      <x:c r="G23" t="n">
        <x:v>12</x:v>
      </x:c>
      <x:c r="H23" t="n">
        <x:v>170.28831</x:v>
      </x:c>
      <x:c r="I23" t="n">
        <x:v>0.15382</x:v>
      </x:c>
      <x:c r="J23" t="n">
        <x:v>17.81</x:v>
      </x:c>
      <x:c r="K23" t="n">
        <x:v>689.09052</x:v>
      </x:c>
      <x:c r="L23" t="n">
        <x:v>0.22636</x:v>
      </x:c>
      <x:c r="M23" t="n">
        <x:v>19.15</x:v>
      </x:c>
      <x:c r="N23" t="n">
        <x:v>150.00516</x:v>
      </x:c>
      <x:c r="O23" t="n">
        <x:v>0.25816</x:v>
      </x:c>
      <x:c r="P23" t="n">
        <x:v>23.62</x:v>
      </x:c>
      <x:c r="Q23" t="n">
        <x:v>157.03125</x:v>
      </x:c>
      <x:c r="R23" t="n">
        <x:v>0.05819</x:v>
      </x:c>
      <x:c r="S23" t="n">
        <x:v>149.98723</x:v>
      </x:c>
      <x:c r="T23" t="n">
        <x:v>0.09568</x:v>
      </x:c>
      <x:c r="U23" t="n">
        <x:v>150.00516</x:v>
      </x:c>
      <x:c r="V23" t="n">
        <x:v>0.25816</x:v>
      </x:c>
      <x:c r="W23" t="n">
        <x:v>150.00522</x:v>
      </x:c>
      <x:c r="X23" t="n">
        <x:v>0.00522</x:v>
      </x:c>
      <x:c r="Y23" t="n">
        <x:v>0.04543</x:v>
      </x:c>
      <x:c r="Z23" t="n">
        <x:v>0.09568</x:v>
      </x:c>
      <x:c r="AA23" t="n">
        <x:v>0.25816</x:v>
      </x:c>
      <x:c r="AB23" t="n">
        <x:v>0.27905</x:v>
      </x:c>
      <x:c r="AC23" t="n">
        <x:v>17.64</x:v>
      </x:c>
      <x:c r="AD23" t="str">
        <x:v>Z</x:v>
      </x:c>
      <x:c r="AE23" t="n">
        <x:v>0.03584</x:v>
      </x:c>
      <x:c r="AF23" t="n">
        <x:v>55.8</x:v>
      </x:c>
      <x:c r="AG23" t="n">
        <x:v>0.059</x:v>
      </x:c>
      <x:c r="AH23" t="n">
        <x:v>21.04</x:v>
      </x:c>
      <x:c r="AI23" t="n">
        <x:v>0.10841</x:v>
      </x:c>
      <x:c r="AJ23" t="n">
        <x:v>39.93</x:v>
      </x:c>
      <x:c r="AK23" t="n">
        <x:v>0.141</x:v>
      </x:c>
      <x:c r="AL23" t="n">
        <x:v>6.86</x:v>
      </x:c>
      <x:c r="AM23" t="n">
        <x:v>0.25558</x:v>
      </x:c>
      <x:c r="AN23" t="n">
        <x:v>44.86</x:v>
      </x:c>
      <x:c r="AO23" t="n">
        <x:v>0.504</x:v>
      </x:c>
      <x:c r="AP23" t="n">
        <x:v>2.92</x:v>
      </x:c>
      <x:c r="AQ23" t="n">
        <x:v>0.2801</x:v>
      </x:c>
      <x:c r="AR23" t="n">
        <x:v>2.57</x:v>
      </x:c>
      <x:c r="AS23" t="n">
        <x:v>0.1279</x:v>
      </x:c>
      <x:c r="AT23" t="n">
        <x:v>0.387</x:v>
      </x:c>
      <x:c r="AU23" t="n">
        <x:v>0.9125</x:v>
      </x:c>
      <x:c r="AV23" t="n">
        <x:v>1</x:v>
      </x:c>
      <x:c r="AW23" t="n">
        <x:v>0.4241724704593474</x:v>
      </x:c>
      <x:c r="AX23" t="n">
        <x:v>0.016372303409260804</x:v>
      </x:c>
      <x:c r="AY23" t="n">
        <x:v>0.14980022690422315</x:v>
      </x:c>
      <x:c r="AZ23" t="n">
        <x:v>0.8325829518987773</x:v>
      </x:c>
    </x:row>
    <x:row r="24">
      <x:c r="A24" t="str">
        <x:v>150Hz-1</x:v>
      </x:c>
      <x:c r="B24" t="n">
        <x:v>150</x:v>
      </x:c>
      <x:c r="C24" t="n">
        <x:v>1</x:v>
      </x:c>
      <x:c r="D24" t="n">
        <x:v>3</x:v>
      </x:c>
      <x:c r="E24" t="n">
        <x:v>1</x:v>
      </x:c>
      <x:c r="F24" t="n">
        <x:v>150</x:v>
      </x:c>
      <x:c r="G24" t="n">
        <x:v>13</x:v>
      </x:c>
      <x:c r="H24" t="n">
        <x:v>370.26832</x:v>
      </x:c>
      <x:c r="I24" t="n">
        <x:v>0.18587</x:v>
      </x:c>
      <x:c r="J24" t="n">
        <x:v>20.41</x:v>
      </x:c>
      <x:c r="K24" t="n">
        <x:v>589.03258</x:v>
      </x:c>
      <x:c r="L24" t="n">
        <x:v>0.31277</x:v>
      </x:c>
      <x:c r="M24" t="n">
        <x:v>21.87</x:v>
      </x:c>
      <x:c r="N24" t="n">
        <x:v>150.04053</x:v>
      </x:c>
      <x:c r="O24" t="n">
        <x:v>0.2983</x:v>
      </x:c>
      <x:c r="P24" t="n">
        <x:v>24.75</x:v>
      </x:c>
      <x:c r="Q24" t="n">
        <x:v>149.98746</x:v>
      </x:c>
      <x:c r="R24" t="n">
        <x:v>0.05132</x:v>
      </x:c>
      <x:c r="S24" t="n">
        <x:v>149.9738</x:v>
      </x:c>
      <x:c r="T24" t="n">
        <x:v>0.10513</x:v>
      </x:c>
      <x:c r="U24" t="n">
        <x:v>150.04053</x:v>
      </x:c>
      <x:c r="V24" t="n">
        <x:v>0.2983</x:v>
      </x:c>
      <x:c r="W24" t="n">
        <x:v>150.03207</x:v>
      </x:c>
      <x:c r="X24" t="n">
        <x:v>0.03207</x:v>
      </x:c>
      <x:c r="Y24" t="n">
        <x:v>0.05132</x:v>
      </x:c>
      <x:c r="Z24" t="n">
        <x:v>0.10513</x:v>
      </x:c>
      <x:c r="AA24" t="n">
        <x:v>0.2983</x:v>
      </x:c>
      <x:c r="AB24" t="n">
        <x:v>0.32042</x:v>
      </x:c>
      <x:c r="AC24" t="n">
        <x:v>18.74</x:v>
      </x:c>
      <x:c r="AD24" t="str">
        <x:v>Z</x:v>
      </x:c>
      <x:c r="AE24" t="n">
        <x:v>0.05105</x:v>
      </x:c>
      <x:c r="AF24" t="n">
        <x:v>36.9</x:v>
      </x:c>
      <x:c r="AG24" t="n">
        <x:v>0.09</x:v>
      </x:c>
      <x:c r="AH24" t="n">
        <x:v>12.47</x:v>
      </x:c>
      <x:c r="AI24" t="n">
        <x:v>0.09663</x:v>
      </x:c>
      <x:c r="AJ24" t="n">
        <x:v>54.2</x:v>
      </x:c>
      <x:c r="AK24" t="n">
        <x:v>0.118</x:v>
      </x:c>
      <x:c r="AL24" t="n">
        <x:v>20.04</x:v>
      </x:c>
      <x:c r="AM24" t="n">
        <x:v>0.29289</x:v>
      </x:c>
      <x:c r="AN24" t="n">
        <x:v>39.67</x:v>
      </x:c>
      <x:c r="AO24" t="n">
        <x:v>0.5</x:v>
      </x:c>
      <x:c r="AP24" t="n">
        <x:v>3.08</x:v>
      </x:c>
      <x:c r="AQ24" t="n">
        <x:v>0.313</x:v>
      </x:c>
      <x:c r="AR24" t="n">
        <x:v>4.5</x:v>
      </x:c>
      <x:c r="AS24" t="n">
        <x:v>0.1631</x:v>
      </x:c>
      <x:c r="AT24" t="n">
        <x:v>0.3087</x:v>
      </x:c>
      <x:c r="AU24" t="n">
        <x:v>0.9358</x:v>
      </x:c>
      <x:c r="AV24" t="n">
        <x:v>1</x:v>
      </x:c>
      <x:c r="AW24" t="n">
        <x:v>0.3299190822493086</x:v>
      </x:c>
      <x:c r="AX24" t="n">
        <x:v>0.026601297349161467</x:v>
      </x:c>
      <x:c r="AY24" t="n">
        <x:v>0.09530930090130549</x:v>
      </x:c>
      <x:c r="AZ24" t="n">
        <x:v>0.8756295573089447</x:v>
      </x:c>
    </x:row>
    <x:row r="25">
      <x:c r="A25" t="str">
        <x:v>150Hz-1</x:v>
      </x:c>
      <x:c r="B25" t="n">
        <x:v>150</x:v>
      </x:c>
      <x:c r="C25" t="n">
        <x:v>1</x:v>
      </x:c>
      <x:c r="D25" t="n">
        <x:v>4</x:v>
      </x:c>
      <x:c r="E25" t="n">
        <x:v>1</x:v>
      </x:c>
      <x:c r="F25" t="n">
        <x:v>150</x:v>
      </x:c>
      <x:c r="G25" t="n">
        <x:v>14</x:v>
      </x:c>
      <x:c r="H25" t="n">
        <x:v>109.39637</x:v>
      </x:c>
      <x:c r="I25" t="n">
        <x:v>0.24241</x:v>
      </x:c>
      <x:c r="J25" t="n">
        <x:v>21.36</x:v>
      </x:c>
      <x:c r="K25" t="n">
        <x:v>109.39817</x:v>
      </x:c>
      <x:c r="L25" t="n">
        <x:v>0.25873</x:v>
      </x:c>
      <x:c r="M25" t="n">
        <x:v>20.47</x:v>
      </x:c>
      <x:c r="N25" t="n">
        <x:v>149.97064</x:v>
      </x:c>
      <x:c r="O25" t="n">
        <x:v>0.32305</x:v>
      </x:c>
      <x:c r="P25" t="n">
        <x:v>25.07</x:v>
      </x:c>
      <x:c r="Q25" t="n">
        <x:v>157.03125</x:v>
      </x:c>
      <x:c r="R25" t="n">
        <x:v>0.05386</x:v>
      </x:c>
      <x:c r="S25" t="n">
        <x:v>149.93219</x:v>
      </x:c>
      <x:c r="T25" t="n">
        <x:v>0.11845</x:v>
      </x:c>
      <x:c r="U25" t="n">
        <x:v>149.97064</x:v>
      </x:c>
      <x:c r="V25" t="n">
        <x:v>0.32305</x:v>
      </x:c>
      <x:c r="W25" t="n">
        <x:v>149.9688</x:v>
      </x:c>
      <x:c r="X25" t="n">
        <x:v>-0.0312</x:v>
      </x:c>
      <x:c r="Y25" t="n">
        <x:v>0.04894</x:v>
      </x:c>
      <x:c r="Z25" t="n">
        <x:v>0.11845</x:v>
      </x:c>
      <x:c r="AA25" t="n">
        <x:v>0.32305</x:v>
      </x:c>
      <x:c r="AB25" t="n">
        <x:v>0.34754</x:v>
      </x:c>
      <x:c r="AC25" t="n">
        <x:v>18.81</x:v>
      </x:c>
      <x:c r="AD25" t="str">
        <x:v>Z</x:v>
      </x:c>
      <x:c r="AE25" t="n">
        <x:v>0.0582</x:v>
      </x:c>
      <x:c r="AF25" t="n">
        <x:v>31.57</x:v>
      </x:c>
      <x:c r="AG25" t="n">
        <x:v>0.085</x:v>
      </x:c>
      <x:c r="AH25" t="n">
        <x:v>6.23</x:v>
      </x:c>
      <x:c r="AI25" t="n">
        <x:v>0.10321</x:v>
      </x:c>
      <x:c r="AJ25" t="n">
        <x:v>50.83</x:v>
      </x:c>
      <x:c r="AK25" t="n">
        <x:v>0.126</x:v>
      </x:c>
      <x:c r="AL25" t="n">
        <x:v>20.94</x:v>
      </x:c>
      <x:c r="AM25" t="n">
        <x:v>0.31441</x:v>
      </x:c>
      <x:c r="AN25" t="n">
        <x:v>42.53</x:v>
      </x:c>
      <x:c r="AO25" t="n">
        <x:v>0.533</x:v>
      </x:c>
      <x:c r="AP25" t="n">
        <x:v>5.75</x:v>
      </x:c>
      <x:c r="AQ25" t="n">
        <x:v>0.33679</x:v>
      </x:c>
      <x:c r="AR25" t="n">
        <x:v>3.49</x:v>
      </x:c>
      <x:c r="AS25" t="n">
        <x:v>0.1728</x:v>
      </x:c>
      <x:c r="AT25" t="n">
        <x:v>0.3064</x:v>
      </x:c>
      <x:c r="AU25" t="n">
        <x:v>0.9335</x:v>
      </x:c>
      <x:c r="AV25" t="n">
        <x:v>1</x:v>
      </x:c>
      <x:c r="AW25" t="n">
        <x:v>0.3282656404058395</x:v>
      </x:c>
      <x:c r="AX25" t="n">
        <x:v>0.029862598378376914</x:v>
      </x:c>
      <x:c r="AY25" t="n">
        <x:v>0.09391288457346918</x:v>
      </x:c>
      <x:c r="AZ25" t="n">
        <x:v>0.8715139144104647</x:v>
      </x:c>
    </x:row>
    <x:row r="26">
      <x:c r="A26" t="str">
        <x:v>150Hz-1</x:v>
      </x:c>
      <x:c r="B26" t="n">
        <x:v>150</x:v>
      </x:c>
      <x:c r="C26" t="n">
        <x:v>1</x:v>
      </x:c>
      <x:c r="D26" t="n">
        <x:v>5</x:v>
      </x:c>
      <x:c r="E26" t="n">
        <x:v>1</x:v>
      </x:c>
      <x:c r="F26" t="n">
        <x:v>150</x:v>
      </x:c>
      <x:c r="G26" t="n">
        <x:v>15</x:v>
      </x:c>
      <x:c r="H26" t="n">
        <x:v>609.29232</x:v>
      </x:c>
      <x:c r="I26" t="n">
        <x:v>0.1891</x:v>
      </x:c>
      <x:c r="J26" t="n">
        <x:v>19.49</x:v>
      </x:c>
      <x:c r="K26" t="n">
        <x:v>688.99506</x:v>
      </x:c>
      <x:c r="L26" t="n">
        <x:v>0.28932</x:v>
      </x:c>
      <x:c r="M26" t="n">
        <x:v>20.61</x:v>
      </x:c>
      <x:c r="N26" t="n">
        <x:v>150.01313</x:v>
      </x:c>
      <x:c r="O26" t="n">
        <x:v>0.35555</x:v>
      </x:c>
      <x:c r="P26" t="n">
        <x:v>25.98</x:v>
      </x:c>
      <x:c r="Q26" t="n">
        <x:v>157.03125</x:v>
      </x:c>
      <x:c r="R26" t="n">
        <x:v>0.06086</x:v>
      </x:c>
      <x:c r="S26" t="n">
        <x:v>149.93757</x:v>
      </x:c>
      <x:c r="T26" t="n">
        <x:v>0.10139</x:v>
      </x:c>
      <x:c r="U26" t="n">
        <x:v>150.01313</x:v>
      </x:c>
      <x:c r="V26" t="n">
        <x:v>0.35555</x:v>
      </x:c>
      <x:c r="W26" t="n">
        <x:v>150.00798</x:v>
      </x:c>
      <x:c r="X26" t="n">
        <x:v>0.00798</x:v>
      </x:c>
      <x:c r="Y26" t="n">
        <x:v>0.05302</x:v>
      </x:c>
      <x:c r="Z26" t="n">
        <x:v>0.10139</x:v>
      </x:c>
      <x:c r="AA26" t="n">
        <x:v>0.35555</x:v>
      </x:c>
      <x:c r="AB26" t="n">
        <x:v>0.3735</x:v>
      </x:c>
      <x:c r="AC26" t="n">
        <x:v>19</x:v>
      </x:c>
      <x:c r="AD26" t="str">
        <x:v>Z</x:v>
      </x:c>
      <x:c r="AE26" t="n">
        <x:v>0.05076</x:v>
      </x:c>
      <x:c r="AF26" t="n">
        <x:v>47.88</x:v>
      </x:c>
      <x:c r="AG26" t="n">
        <x:v>0.082</x:v>
      </x:c>
      <x:c r="AH26" t="n">
        <x:v>23.97</x:v>
      </x:c>
      <x:c r="AI26" t="n">
        <x:v>0.10497</x:v>
      </x:c>
      <x:c r="AJ26" t="n">
        <x:v>45.06</x:v>
      </x:c>
      <x:c r="AK26" t="n">
        <x:v>0.121</x:v>
      </x:c>
      <x:c r="AL26" t="n">
        <x:v>12.03</x:v>
      </x:c>
      <x:c r="AM26" t="n">
        <x:v>0.3536</x:v>
      </x:c>
      <x:c r="AN26" t="n">
        <x:v>41.99</x:v>
      </x:c>
      <x:c r="AO26" t="n">
        <x:v>0.589</x:v>
      </x:c>
      <x:c r="AP26" t="n">
        <x:v>3.27</x:v>
      </x:c>
      <x:c r="AQ26" t="n">
        <x:v>0.37255</x:v>
      </x:c>
      <x:c r="AR26" t="n">
        <x:v>4.08</x:v>
      </x:c>
      <x:c r="AS26" t="n">
        <x:v>0.1363</x:v>
      </x:c>
      <x:c r="AT26" t="n">
        <x:v>0.2817</x:v>
      </x:c>
      <x:c r="AU26" t="n">
        <x:v>0.9491</x:v>
      </x:c>
      <x:c r="AV26" t="n">
        <x:v>1</x:v>
      </x:c>
      <x:c r="AW26" t="n">
        <x:v>0.29686085972850673</x:v>
      </x:c>
      <x:c r="AX26" t="n">
        <x:v>0.018564108215368365</x:v>
      </x:c>
      <x:c r="AY26" t="n">
        <x:v>0.07938916953262995</x:v>
      </x:c>
      <x:c r="AZ26" t="n">
        <x:v>0.900856003687925</x:v>
      </x:c>
    </x:row>
    <x:row r="27">
      <x:c r="A27" t="str">
        <x:v>150Hz-1</x:v>
      </x:c>
      <x:c r="B27" t="n">
        <x:v>150</x:v>
      </x:c>
      <x:c r="C27" t="n">
        <x:v>1</x:v>
      </x:c>
      <x:c r="D27" t="n">
        <x:v>6</x:v>
      </x:c>
      <x:c r="E27" t="n">
        <x:v>1</x:v>
      </x:c>
      <x:c r="F27" t="n">
        <x:v>150</x:v>
      </x:c>
      <x:c r="G27" t="n">
        <x:v>16</x:v>
      </x:c>
      <x:c r="H27" t="n">
        <x:v>209.36941</x:v>
      </x:c>
      <x:c r="I27" t="n">
        <x:v>0.2801</x:v>
      </x:c>
      <x:c r="J27" t="n">
        <x:v>22.81</x:v>
      </x:c>
      <x:c r="K27" t="n">
        <x:v>209.39454</x:v>
      </x:c>
      <x:c r="L27" t="n">
        <x:v>0.21757</x:v>
      </x:c>
      <x:c r="M27" t="n">
        <x:v>19.01</x:v>
      </x:c>
      <x:c r="N27" t="n">
        <x:v>150.00428</x:v>
      </x:c>
      <x:c r="O27" t="n">
        <x:v>0.39838</x:v>
      </x:c>
      <x:c r="P27" t="n">
        <x:v>26.71</x:v>
      </x:c>
      <x:c r="Q27" t="n">
        <x:v>149.98862</x:v>
      </x:c>
      <x:c r="R27" t="n">
        <x:v>0.05937</x:v>
      </x:c>
      <x:c r="S27" t="n">
        <x:v>149.97812</x:v>
      </x:c>
      <x:c r="T27" t="n">
        <x:v>0.10018</x:v>
      </x:c>
      <x:c r="U27" t="n">
        <x:v>150.00428</x:v>
      </x:c>
      <x:c r="V27" t="n">
        <x:v>0.39838</x:v>
      </x:c>
      <x:c r="W27" t="n">
        <x:v>150.00246</x:v>
      </x:c>
      <x:c r="X27" t="n">
        <x:v>0.00246</x:v>
      </x:c>
      <x:c r="Y27" t="n">
        <x:v>0.05937</x:v>
      </x:c>
      <x:c r="Z27" t="n">
        <x:v>0.10018</x:v>
      </x:c>
      <x:c r="AA27" t="n">
        <x:v>0.39838</x:v>
      </x:c>
      <x:c r="AB27" t="n">
        <x:v>0.41505</x:v>
      </x:c>
      <x:c r="AC27" t="n">
        <x:v>20.15</x:v>
      </x:c>
      <x:c r="AD27" t="str">
        <x:v>Z</x:v>
      </x:c>
      <x:c r="AE27" t="n">
        <x:v>0.06711</x:v>
      </x:c>
      <x:c r="AF27" t="n">
        <x:v>32.69</x:v>
      </x:c>
      <x:c r="AG27" t="n">
        <x:v>0.095</x:v>
      </x:c>
      <x:c r="AH27" t="n">
        <x:v>16.96</x:v>
      </x:c>
      <x:c r="AI27" t="n">
        <x:v>0.10025</x:v>
      </x:c>
      <x:c r="AJ27" t="n">
        <x:v>50.81</x:v>
      </x:c>
      <x:c r="AK27" t="n">
        <x:v>0.126</x:v>
      </x:c>
      <x:c r="AL27" t="n">
        <x:v>30.35</x:v>
      </x:c>
      <x:c r="AM27" t="n">
        <x:v>0.39074</x:v>
      </x:c>
      <x:c r="AN27" t="n">
        <x:v>39.32</x:v>
      </x:c>
      <x:c r="AO27" t="n">
        <x:v>0.542</x:v>
      </x:c>
      <x:c r="AP27" t="n">
        <x:v>3.77</x:v>
      </x:c>
      <x:c r="AQ27" t="n">
        <x:v>0.40996</x:v>
      </x:c>
      <x:c r="AR27" t="n">
        <x:v>3.67</x:v>
      </x:c>
      <x:c r="AS27" t="n">
        <x:v>0.1637</x:v>
      </x:c>
      <x:c r="AT27" t="n">
        <x:v>0.2445</x:v>
      </x:c>
      <x:c r="AU27" t="n">
        <x:v>0.9531</x:v>
      </x:c>
      <x:c r="AV27" t="n">
        <x:v>1</x:v>
      </x:c>
      <x:c r="AW27" t="n">
        <x:v>0.25656446742079136</x:v>
      </x:c>
      <x:c r="AX27" t="n">
        <x:v>0.026797329027462076</x:v>
      </x:c>
      <x:c r="AY27" t="n">
        <x:v>0.059797880873385126</x:v>
      </x:c>
      <x:c r="AZ27" t="n">
        <x:v>0.9084327349209578</x:v>
      </x:c>
    </x:row>
    <x:row r="28">
      <x:c r="A28" t="str">
        <x:v>150Hz-1</x:v>
      </x:c>
      <x:c r="B28" t="n">
        <x:v>150</x:v>
      </x:c>
      <x:c r="C28" t="n">
        <x:v>1</x:v>
      </x:c>
      <x:c r="D28" t="n">
        <x:v>7</x:v>
      </x:c>
      <x:c r="E28" t="n">
        <x:v>1</x:v>
      </x:c>
      <x:c r="F28" t="n">
        <x:v>150</x:v>
      </x:c>
      <x:c r="G28" t="n">
        <x:v>17</x:v>
      </x:c>
      <x:c r="H28" t="n">
        <x:v>309.27421</x:v>
      </x:c>
      <x:c r="I28" t="n">
        <x:v>0.21585</x:v>
      </x:c>
      <x:c r="J28" t="n">
        <x:v>19.28</x:v>
      </x:c>
      <x:c r="K28" t="n">
        <x:v>109.22208</x:v>
      </x:c>
      <x:c r="L28" t="n">
        <x:v>0.20956</x:v>
      </x:c>
      <x:c r="M28" t="n">
        <x:v>18.03</x:v>
      </x:c>
      <x:c r="N28" t="n">
        <x:v>149.98309</x:v>
      </x:c>
      <x:c r="O28" t="n">
        <x:v>0.42656</x:v>
      </x:c>
      <x:c r="P28" t="n">
        <x:v>27.25</x:v>
      </x:c>
      <x:c r="Q28" t="n">
        <x:v>150.05881</x:v>
      </x:c>
      <x:c r="R28" t="n">
        <x:v>0.0732</x:v>
      </x:c>
      <x:c r="S28" t="n">
        <x:v>149.94834</x:v>
      </x:c>
      <x:c r="T28" t="n">
        <x:v>0.09413</x:v>
      </x:c>
      <x:c r="U28" t="n">
        <x:v>149.98309</x:v>
      </x:c>
      <x:c r="V28" t="n">
        <x:v>0.42656</x:v>
      </x:c>
      <x:c r="W28" t="n">
        <x:v>149.98358</x:v>
      </x:c>
      <x:c r="X28" t="n">
        <x:v>-0.01642</x:v>
      </x:c>
      <x:c r="Y28" t="n">
        <x:v>0.0732</x:v>
      </x:c>
      <x:c r="Z28" t="n">
        <x:v>0.09413</x:v>
      </x:c>
      <x:c r="AA28" t="n">
        <x:v>0.42656</x:v>
      </x:c>
      <x:c r="AB28" t="n">
        <x:v>0.44291</x:v>
      </x:c>
      <x:c r="AC28" t="n">
        <x:v>19.99</x:v>
      </x:c>
      <x:c r="AD28" t="str">
        <x:v>Z</x:v>
      </x:c>
      <x:c r="AE28" t="n">
        <x:v>0.0648</x:v>
      </x:c>
      <x:c r="AF28" t="n">
        <x:v>39.02</x:v>
      </x:c>
      <x:c r="AG28" t="n">
        <x:v>0.087</x:v>
      </x:c>
      <x:c r="AH28" t="n">
        <x:v>31.38</x:v>
      </x:c>
      <x:c r="AI28" t="n">
        <x:v>0.11487</x:v>
      </x:c>
      <x:c r="AJ28" t="n">
        <x:v>54.96</x:v>
      </x:c>
      <x:c r="AK28" t="n">
        <x:v>0.147</x:v>
      </x:c>
      <x:c r="AL28" t="n">
        <x:v>15.08</x:v>
      </x:c>
      <x:c r="AM28" t="n">
        <x:v>0.41203</x:v>
      </x:c>
      <x:c r="AN28" t="n">
        <x:v>38.06</x:v>
      </x:c>
      <x:c r="AO28" t="n">
        <x:v>0.651</x:v>
      </x:c>
      <x:c r="AP28" t="n">
        <x:v>4</x:v>
      </x:c>
      <x:c r="AQ28" t="n">
        <x:v>0.43333</x:v>
      </x:c>
      <x:c r="AR28" t="n">
        <x:v>3.38</x:v>
      </x:c>
      <x:c r="AS28" t="n">
        <x:v>0.1495</x:v>
      </x:c>
      <x:c r="AT28" t="n">
        <x:v>0.2651</x:v>
      </x:c>
      <x:c r="AU28" t="n">
        <x:v>0.9508</x:v>
      </x:c>
      <x:c r="AV28" t="n">
        <x:v>1</x:v>
      </x:c>
      <x:c r="AW28" t="n">
        <x:v>0.27879037934131007</x:v>
      </x:c>
      <x:c r="AX28" t="n">
        <x:v>0.022362095510205356</x:v>
      </x:c>
      <x:c r="AY28" t="n">
        <x:v>0.0702709344007499</x:v>
      </x:c>
      <x:c r="AZ28" t="n">
        <x:v>0.9041076892363962</x:v>
      </x:c>
    </x:row>
    <x:row r="29">
      <x:c r="A29" t="str">
        <x:v>150Hz-1</x:v>
      </x:c>
      <x:c r="B29" t="n">
        <x:v>150</x:v>
      </x:c>
      <x:c r="C29" t="n">
        <x:v>1</x:v>
      </x:c>
      <x:c r="D29" t="n">
        <x:v>8</x:v>
      </x:c>
      <x:c r="E29" t="n">
        <x:v>1</x:v>
      </x:c>
      <x:c r="F29" t="n">
        <x:v>150</x:v>
      </x:c>
      <x:c r="G29" t="n">
        <x:v>18</x:v>
      </x:c>
      <x:c r="H29" t="n">
        <x:v>309.38977</x:v>
      </x:c>
      <x:c r="I29" t="n">
        <x:v>0.22334</x:v>
      </x:c>
      <x:c r="J29" t="n">
        <x:v>20.68</x:v>
      </x:c>
      <x:c r="K29" t="n">
        <x:v>489.06348</x:v>
      </x:c>
      <x:c r="L29" t="n">
        <x:v>0.16132</x:v>
      </x:c>
      <x:c r="M29" t="n">
        <x:v>16.02</x:v>
      </x:c>
      <x:c r="N29" t="n">
        <x:v>150.00906</x:v>
      </x:c>
      <x:c r="O29" t="n">
        <x:v>0.51651</x:v>
      </x:c>
      <x:c r="P29" t="n">
        <x:v>28.22</x:v>
      </x:c>
      <x:c r="Q29" t="n">
        <x:v>150.00017</x:v>
      </x:c>
      <x:c r="R29" t="n">
        <x:v>0.07586</x:v>
      </x:c>
      <x:c r="S29" t="n">
        <x:v>150.14714</x:v>
      </x:c>
      <x:c r="T29" t="n">
        <x:v>0.09458</x:v>
      </x:c>
      <x:c r="U29" t="n">
        <x:v>150.00906</x:v>
      </x:c>
      <x:c r="V29" t="n">
        <x:v>0.51651</x:v>
      </x:c>
      <x:c r="W29" t="n">
        <x:v>150.01327</x:v>
      </x:c>
      <x:c r="X29" t="n">
        <x:v>0.01327</x:v>
      </x:c>
      <x:c r="Y29" t="n">
        <x:v>0.07586</x:v>
      </x:c>
      <x:c r="Z29" t="n">
        <x:v>0.09458</x:v>
      </x:c>
      <x:c r="AA29" t="n">
        <x:v>0.51651</x:v>
      </x:c>
      <x:c r="AB29" t="n">
        <x:v>0.53055</x:v>
      </x:c>
      <x:c r="AC29" t="n">
        <x:v>22.34</x:v>
      </x:c>
      <x:c r="AD29" t="str">
        <x:v>Z</x:v>
      </x:c>
      <x:c r="AE29" t="n">
        <x:v>0.07349</x:v>
      </x:c>
      <x:c r="AF29" t="n">
        <x:v>17.95</x:v>
      </x:c>
      <x:c r="AG29" t="n">
        <x:v>0.113</x:v>
      </x:c>
      <x:c r="AH29" t="n">
        <x:v>25.35</x:v>
      </x:c>
      <x:c r="AI29" t="n">
        <x:v>0.09839</x:v>
      </x:c>
      <x:c r="AJ29" t="n">
        <x:v>67.84</x:v>
      </x:c>
      <x:c r="AK29" t="n">
        <x:v>0.122</x:v>
      </x:c>
      <x:c r="AL29" t="n">
        <x:v>3.74</x:v>
      </x:c>
      <x:c r="AM29" t="n">
        <x:v>0.51496</x:v>
      </x:c>
      <x:c r="AN29" t="n">
        <x:v>35.64</x:v>
      </x:c>
      <x:c r="AO29" t="n">
        <x:v>0.691</x:v>
      </x:c>
      <x:c r="AP29" t="n">
        <x:v>2.67</x:v>
      </x:c>
      <x:c r="AQ29" t="n">
        <x:v>0.52969</x:v>
      </x:c>
      <x:c r="AR29" t="n">
        <x:v>2.48</x:v>
      </x:c>
      <x:c r="AS29" t="n">
        <x:v>0.1387</x:v>
      </x:c>
      <x:c r="AT29" t="n">
        <x:v>0.1857</x:v>
      </x:c>
      <x:c r="AU29" t="n">
        <x:v>0.9722</x:v>
      </x:c>
      <x:c r="AV29" t="n">
        <x:v>1</x:v>
      </x:c>
      <x:c r="AW29" t="n">
        <x:v>0.19106338356377198</x:v>
      </x:c>
      <x:c r="AX29" t="n">
        <x:v>0.019249211609418365</x:v>
      </x:c>
      <x:c r="AY29" t="n">
        <x:v>0.03450312036169807</x:v>
      </x:c>
      <x:c r="AZ29" t="n">
        <x:v>0.945155888200006</x:v>
      </x:c>
    </x:row>
    <x:row r="30">
      <x:c r="A30" t="str">
        <x:v>150Hz-1</x:v>
      </x:c>
      <x:c r="B30" t="n">
        <x:v>150</x:v>
      </x:c>
      <x:c r="C30" t="n">
        <x:v>1</x:v>
      </x:c>
      <x:c r="D30" t="n">
        <x:v>9</x:v>
      </x:c>
      <x:c r="E30" t="n">
        <x:v>1</x:v>
      </x:c>
      <x:c r="F30" t="n">
        <x:v>150</x:v>
      </x:c>
      <x:c r="G30" t="n">
        <x:v>19</x:v>
      </x:c>
      <x:c r="H30" t="n">
        <x:v>609.29598</x:v>
      </x:c>
      <x:c r="I30" t="n">
        <x:v>0.22942</x:v>
      </x:c>
      <x:c r="J30" t="n">
        <x:v>20.14</x:v>
      </x:c>
      <x:c r="K30" t="n">
        <x:v>588.90864</x:v>
      </x:c>
      <x:c r="L30" t="n">
        <x:v>0.28737</x:v>
      </x:c>
      <x:c r="M30" t="n">
        <x:v>20.56</x:v>
      </x:c>
      <x:c r="N30" t="n">
        <x:v>149.99038</x:v>
      </x:c>
      <x:c r="O30" t="n">
        <x:v>0.5929</x:v>
      </x:c>
      <x:c r="P30" t="n">
        <x:v>28.52</x:v>
      </x:c>
      <x:c r="Q30" t="n">
        <x:v>150.01935</x:v>
      </x:c>
      <x:c r="R30" t="n">
        <x:v>0.08389</x:v>
      </x:c>
      <x:c r="S30" t="n">
        <x:v>150.10314</x:v>
      </x:c>
      <x:c r="T30" t="n">
        <x:v>0.08123</x:v>
      </x:c>
      <x:c r="U30" t="n">
        <x:v>149.99038</x:v>
      </x:c>
      <x:c r="V30" t="n">
        <x:v>0.5929</x:v>
      </x:c>
      <x:c r="W30" t="n">
        <x:v>149.99301</x:v>
      </x:c>
      <x:c r="X30" t="n">
        <x:v>-0.00699</x:v>
      </x:c>
      <x:c r="Y30" t="n">
        <x:v>0.08389</x:v>
      </x:c>
      <x:c r="Z30" t="n">
        <x:v>0.08123</x:v>
      </x:c>
      <x:c r="AA30" t="n">
        <x:v>0.5929</x:v>
      </x:c>
      <x:c r="AB30" t="n">
        <x:v>0.60429</x:v>
      </x:c>
      <x:c r="AC30" t="n">
        <x:v>22.79</x:v>
      </x:c>
      <x:c r="AD30" t="str">
        <x:v>Z</x:v>
      </x:c>
      <x:c r="AE30" t="n">
        <x:v>0.08105</x:v>
      </x:c>
      <x:c r="AF30" t="n">
        <x:v>27.55</x:v>
      </x:c>
      <x:c r="AG30" t="n">
        <x:v>0.112</x:v>
      </x:c>
      <x:c r="AH30" t="n">
        <x:v>9.77</x:v>
      </x:c>
      <x:c r="AI30" t="n">
        <x:v>0.10217</x:v>
      </x:c>
      <x:c r="AJ30" t="n">
        <x:v>69.86</x:v>
      </x:c>
      <x:c r="AK30" t="n">
        <x:v>0.117</x:v>
      </x:c>
      <x:c r="AL30" t="n">
        <x:v>6.03</x:v>
      </x:c>
      <x:c r="AM30" t="n">
        <x:v>0.58658</x:v>
      </x:c>
      <x:c r="AN30" t="n">
        <x:v>30.71</x:v>
      </x:c>
      <x:c r="AO30" t="n">
        <x:v>0.647</x:v>
      </x:c>
      <x:c r="AP30" t="n">
        <x:v>2.6</x:v>
      </x:c>
      <x:c r="AQ30" t="n">
        <x:v>0.60097</x:v>
      </x:c>
      <x:c r="AR30" t="n">
        <x:v>2.54</x:v>
      </x:c>
      <x:c r="AS30" t="n">
        <x:v>0.1349</x:v>
      </x:c>
      <x:c r="AT30" t="n">
        <x:v>0.17</x:v>
      </x:c>
      <x:c r="AU30" t="n">
        <x:v>0.9761</x:v>
      </x:c>
      <x:c r="AV30" t="n">
        <x:v>1</x:v>
      </x:c>
      <x:c r="AW30" t="n">
        <x:v>0.17417914010024207</x:v>
      </x:c>
      <x:c r="AX30" t="n">
        <x:v>0.018188649439865937</x:v>
      </x:c>
      <x:c r="AY30" t="n">
        <x:v>0.028902885407391433</x:v>
      </x:c>
      <x:c r="AZ30" t="n">
        <x:v>0.9526840992444734</x:v>
      </x:c>
    </x:row>
    <x:row r="31">
      <x:c r="A31" t="str">
        <x:v>150Hz-1</x:v>
      </x:c>
      <x:c r="B31" t="n">
        <x:v>150</x:v>
      </x:c>
      <x:c r="C31" t="n">
        <x:v>1</x:v>
      </x:c>
      <x:c r="D31" t="n">
        <x:v>10</x:v>
      </x:c>
      <x:c r="E31" t="n">
        <x:v>1</x:v>
      </x:c>
      <x:c r="F31" t="n">
        <x:v>150</x:v>
      </x:c>
      <x:c r="G31" t="n">
        <x:v>20</x:v>
      </x:c>
      <x:c r="H31" t="n">
        <x:v>609.32618</x:v>
      </x:c>
      <x:c r="I31" t="n">
        <x:v>0.25789</x:v>
      </x:c>
      <x:c r="J31" t="n">
        <x:v>20.43</x:v>
      </x:c>
      <x:c r="K31" t="n">
        <x:v>388.9169</x:v>
      </x:c>
      <x:c r="L31" t="n">
        <x:v>0.27152</x:v>
      </x:c>
      <x:c r="M31" t="n">
        <x:v>19.69</x:v>
      </x:c>
      <x:c r="N31" t="n">
        <x:v>149.99164</x:v>
      </x:c>
      <x:c r="O31" t="n">
        <x:v>0.64414</x:v>
      </x:c>
      <x:c r="P31" t="n">
        <x:v>28.6</x:v>
      </x:c>
      <x:c r="Q31" t="n">
        <x:v>150.02327</x:v>
      </x:c>
      <x:c r="R31" t="n">
        <x:v>0.09119</x:v>
      </x:c>
      <x:c r="S31" t="n">
        <x:v>150.02457</x:v>
      </x:c>
      <x:c r="T31" t="n">
        <x:v>0.08622</x:v>
      </x:c>
      <x:c r="U31" t="n">
        <x:v>149.99164</x:v>
      </x:c>
      <x:c r="V31" t="n">
        <x:v>0.64414</x:v>
      </x:c>
      <x:c r="W31" t="n">
        <x:v>149.99283</x:v>
      </x:c>
      <x:c r="X31" t="n">
        <x:v>-0.00717</x:v>
      </x:c>
      <x:c r="Y31" t="n">
        <x:v>0.09119</x:v>
      </x:c>
      <x:c r="Z31" t="n">
        <x:v>0.08622</x:v>
      </x:c>
      <x:c r="AA31" t="n">
        <x:v>0.64414</x:v>
      </x:c>
      <x:c r="AB31" t="n">
        <x:v>0.65625</x:v>
      </x:c>
      <x:c r="AC31" t="n">
        <x:v>23.14</x:v>
      </x:c>
      <x:c r="AD31" t="str">
        <x:v>Z</x:v>
      </x:c>
      <x:c r="AE31" t="n">
        <x:v>0.08873</x:v>
      </x:c>
      <x:c r="AF31" t="n">
        <x:v>31.02</x:v>
      </x:c>
      <x:c r="AG31" t="n">
        <x:v>0.114</x:v>
      </x:c>
      <x:c r="AH31" t="n">
        <x:v>11.62</x:v>
      </x:c>
      <x:c r="AI31" t="n">
        <x:v>0.10404</x:v>
      </x:c>
      <x:c r="AJ31" t="n">
        <x:v>87.3</x:v>
      </x:c>
      <x:c r="AK31" t="n">
        <x:v>0.121</x:v>
      </x:c>
      <x:c r="AL31" t="n">
        <x:v>13.95</x:v>
      </x:c>
      <x:c r="AM31" t="n">
        <x:v>0.64303</x:v>
      </x:c>
      <x:c r="AN31" t="n">
        <x:v>29.14</x:v>
      </x:c>
      <x:c r="AO31" t="n">
        <x:v>0.622</x:v>
      </x:c>
      <x:c r="AP31" t="n">
        <x:v>3.31</x:v>
      </x:c>
      <x:c r="AQ31" t="n">
        <x:v>0.65758</x:v>
      </x:c>
      <x:c r="AR31" t="n">
        <x:v>3.35</x:v>
      </x:c>
      <x:c r="AS31" t="n">
        <x:v>0.1349</x:v>
      </x:c>
      <x:c r="AT31" t="n">
        <x:v>0.1582</x:v>
      </x:c>
      <x:c r="AU31" t="n">
        <x:v>0.9779</x:v>
      </x:c>
      <x:c r="AV31" t="n">
        <x:v>1</x:v>
      </x:c>
      <x:c r="AW31" t="n">
        <x:v>0.16179649472030852</x:v>
      </x:c>
      <x:c r="AX31" t="n">
        <x:v>0.01820722551050338</x:v>
      </x:c>
      <x:c r="AY31" t="n">
        <x:v>0.025032457951315274</x:v>
      </x:c>
      <x:c r="AZ31" t="n">
        <x:v>0.956236415062753</x:v>
      </x:c>
    </x:row>
    <x:row r="32">
      <x:c r="A32" t="str">
        <x:v>175Hz-1</x:v>
      </x:c>
      <x:c r="B32" t="n">
        <x:v>175</x:v>
      </x:c>
      <x:c r="C32" t="n">
        <x:v>1</x:v>
      </x:c>
      <x:c r="D32" t="n">
        <x:v>1</x:v>
      </x:c>
      <x:c r="E32" t="n">
        <x:v>1</x:v>
      </x:c>
      <x:c r="F32" t="n">
        <x:v>175</x:v>
      </x:c>
      <x:c r="G32" t="n">
        <x:v>11</x:v>
      </x:c>
      <x:c r="H32" t="n">
        <x:v>184.39993</x:v>
      </x:c>
      <x:c r="I32" t="n">
        <x:v>0.24247</x:v>
      </x:c>
      <x:c r="J32" t="n">
        <x:v>21.65</x:v>
      </x:c>
      <x:c r="K32" t="n">
        <x:v>514.15238</x:v>
      </x:c>
      <x:c r="L32" t="n">
        <x:v>0.27967</x:v>
      </x:c>
      <x:c r="M32" t="n">
        <x:v>20.51</x:v>
      </x:c>
      <x:c r="N32" t="n">
        <x:v>174.95822</x:v>
      </x:c>
      <x:c r="O32" t="n">
        <x:v>0.26839</x:v>
      </x:c>
      <x:c r="P32" t="n">
        <x:v>23.35</x:v>
      </x:c>
      <x:c r="Q32" t="n">
        <x:v>182.03125</x:v>
      </x:c>
      <x:c r="R32" t="n">
        <x:v>0.10082</x:v>
      </x:c>
      <x:c r="S32" t="n">
        <x:v>174.90628</x:v>
      </x:c>
      <x:c r="T32" t="n">
        <x:v>0.14357</x:v>
      </x:c>
      <x:c r="U32" t="n">
        <x:v>174.95822</x:v>
      </x:c>
      <x:c r="V32" t="n">
        <x:v>0.26839</x:v>
      </x:c>
      <x:c r="W32" t="n">
        <x:v>174.94794</x:v>
      </x:c>
      <x:c r="X32" t="n">
        <x:v>-0.05206</x:v>
      </x:c>
      <x:c r="Y32" t="n">
        <x:v>0.04322</x:v>
      </x:c>
      <x:c r="Z32" t="n">
        <x:v>0.14357</x:v>
      </x:c>
      <x:c r="AA32" t="n">
        <x:v>0.26839</x:v>
      </x:c>
      <x:c r="AB32" t="n">
        <x:v>0.30743</x:v>
      </x:c>
      <x:c r="AC32" t="n">
        <x:v>12.72</x:v>
      </x:c>
      <x:c r="AD32" t="str">
        <x:v>Z</x:v>
      </x:c>
      <x:c r="AE32" t="n">
        <x:v>0.04326</x:v>
      </x:c>
      <x:c r="AF32" t="n">
        <x:v>40.9</x:v>
      </x:c>
      <x:c r="AG32" t="n">
        <x:v>0.077</x:v>
      </x:c>
      <x:c r="AH32" t="n">
        <x:v>19.9</x:v>
      </x:c>
      <x:c r="AI32" t="n">
        <x:v>0.14801</x:v>
      </x:c>
      <x:c r="AJ32" t="n">
        <x:v>42.58</x:v>
      </x:c>
      <x:c r="AK32" t="n">
        <x:v>0.203</x:v>
      </x:c>
      <x:c r="AL32" t="n">
        <x:v>15.06</x:v>
      </x:c>
      <x:c r="AM32" t="n">
        <x:v>0.25647</x:v>
      </x:c>
      <x:c r="AN32" t="n">
        <x:v>39.65</x:v>
      </x:c>
      <x:c r="AO32" t="n">
        <x:v>0.525</x:v>
      </x:c>
      <x:c r="AP32" t="n">
        <x:v>9.73</x:v>
      </x:c>
      <x:c r="AQ32" t="n">
        <x:v>0.29994</x:v>
      </x:c>
      <x:c r="AR32" t="n">
        <x:v>8.75</x:v>
      </x:c>
      <x:c r="AS32" t="n">
        <x:v>0.1442</x:v>
      </x:c>
      <x:c r="AT32" t="n">
        <x:v>0.4935</x:v>
      </x:c>
      <x:c r="AU32" t="n">
        <x:v>0.8551</x:v>
      </x:c>
      <x:c r="AV32" t="n">
        <x:v>1</x:v>
      </x:c>
      <x:c r="AW32" t="n">
        <x:v>0.5771045346434281</x:v>
      </x:c>
      <x:c r="AX32" t="n">
        <x:v>0.020801959951902364</x:v>
      </x:c>
      <x:c r="AY32" t="n">
        <x:v>0.24350806126196015</x:v>
      </x:c>
      <x:c r="AZ32" t="n">
        <x:v>0.7311464393298742</x:v>
      </x:c>
    </x:row>
    <x:row r="33">
      <x:c r="A33" t="str">
        <x:v>175Hz-1</x:v>
      </x:c>
      <x:c r="B33" t="n">
        <x:v>175</x:v>
      </x:c>
      <x:c r="C33" t="n">
        <x:v>1</x:v>
      </x:c>
      <x:c r="D33" t="n">
        <x:v>2</x:v>
      </x:c>
      <x:c r="E33" t="n">
        <x:v>1</x:v>
      </x:c>
      <x:c r="F33" t="n">
        <x:v>175</x:v>
      </x:c>
      <x:c r="G33" t="n">
        <x:v>12</x:v>
      </x:c>
      <x:c r="H33" t="n">
        <x:v>183.95723</x:v>
      </x:c>
      <x:c r="I33" t="n">
        <x:v>0.23155</x:v>
      </x:c>
      <x:c r="J33" t="n">
        <x:v>21.05</x:v>
      </x:c>
      <x:c r="K33" t="n">
        <x:v>183.93439</x:v>
      </x:c>
      <x:c r="L33" t="n">
        <x:v>0.18392</x:v>
      </x:c>
      <x:c r="M33" t="n">
        <x:v>17.27</x:v>
      </x:c>
      <x:c r="N33" t="n">
        <x:v>175.03772</x:v>
      </x:c>
      <x:c r="O33" t="n">
        <x:v>0.27102</x:v>
      </x:c>
      <x:c r="P33" t="n">
        <x:v>23.89</x:v>
      </x:c>
      <x:c r="Q33" t="n">
        <x:v>183.59375</x:v>
      </x:c>
      <x:c r="R33" t="n">
        <x:v>0.18297</x:v>
      </x:c>
      <x:c r="S33" t="n">
        <x:v>183.59375</x:v>
      </x:c>
      <x:c r="T33" t="n">
        <x:v>0.15145</x:v>
      </x:c>
      <x:c r="U33" t="n">
        <x:v>175.03772</x:v>
      </x:c>
      <x:c r="V33" t="n">
        <x:v>0.27102</x:v>
      </x:c>
      <x:c r="W33" t="n">
        <x:v>175.02476</x:v>
      </x:c>
      <x:c r="X33" t="n">
        <x:v>0.02476</x:v>
      </x:c>
      <x:c r="Y33" t="n">
        <x:v>0.04822</x:v>
      </x:c>
      <x:c r="Z33" t="n">
        <x:v>0.14737</x:v>
      </x:c>
      <x:c r="AA33" t="n">
        <x:v>0.27102</x:v>
      </x:c>
      <x:c r="AB33" t="n">
        <x:v>0.31224</x:v>
      </x:c>
      <x:c r="AC33" t="n">
        <x:v>9.93</x:v>
      </x:c>
      <x:c r="AD33" t="str">
        <x:v>Z</x:v>
      </x:c>
      <x:c r="AE33" t="n">
        <x:v>0.04327</x:v>
      </x:c>
      <x:c r="AF33" t="n">
        <x:v>28.66</x:v>
      </x:c>
      <x:c r="AG33" t="n">
        <x:v>0.07</x:v>
      </x:c>
      <x:c r="AH33" t="n">
        <x:v>29.83</x:v>
      </x:c>
      <x:c r="AI33" t="n">
        <x:v>0.15961</x:v>
      </x:c>
      <x:c r="AJ33" t="n">
        <x:v>32.51</x:v>
      </x:c>
      <x:c r="AK33" t="n">
        <x:v>0.224</x:v>
      </x:c>
      <x:c r="AL33" t="n">
        <x:v>6.29</x:v>
      </x:c>
      <x:c r="AM33" t="n">
        <x:v>0.27412</x:v>
      </x:c>
      <x:c r="AN33" t="n">
        <x:v>39.9</x:v>
      </x:c>
      <x:c r="AO33" t="n">
        <x:v>0.546</x:v>
      </x:c>
      <x:c r="AP33" t="n">
        <x:v>3.26</x:v>
      </x:c>
      <x:c r="AQ33" t="n">
        <x:v>0.32044</x:v>
      </x:c>
      <x:c r="AR33" t="n">
        <x:v>3.2</x:v>
      </x:c>
      <x:c r="AS33" t="n">
        <x:v>0.135</x:v>
      </x:c>
      <x:c r="AT33" t="n">
        <x:v>0.4981</x:v>
      </x:c>
      <x:c r="AU33" t="n">
        <x:v>0.8554</x:v>
      </x:c>
      <x:c r="AV33" t="n">
        <x:v>1</x:v>
      </x:c>
      <x:c r="AW33" t="n">
        <x:v>0.582263242375602</x:v>
      </x:c>
      <x:c r="AX33" t="n">
        <x:v>0.018233932563484167</x:v>
      </x:c>
      <x:c r="AY33" t="n">
        <x:v>0.24809999131141006</x:v>
      </x:c>
      <x:c r="AZ33" t="n">
        <x:v>0.7317925774915562</x:v>
      </x:c>
    </x:row>
    <x:row r="34">
      <x:c r="A34" t="str">
        <x:v>175Hz-1</x:v>
      </x:c>
      <x:c r="B34" t="n">
        <x:v>175</x:v>
      </x:c>
      <x:c r="C34" t="n">
        <x:v>1</x:v>
      </x:c>
      <x:c r="D34" t="n">
        <x:v>3</x:v>
      </x:c>
      <x:c r="E34" t="n">
        <x:v>1</x:v>
      </x:c>
      <x:c r="F34" t="n">
        <x:v>175</x:v>
      </x:c>
      <x:c r="G34" t="n">
        <x:v>13</x:v>
      </x:c>
      <x:c r="H34" t="n">
        <x:v>345.42773</x:v>
      </x:c>
      <x:c r="I34" t="n">
        <x:v>0.14836</x:v>
      </x:c>
      <x:c r="J34" t="n">
        <x:v>17.86</x:v>
      </x:c>
      <x:c r="K34" t="n">
        <x:v>175.05561</x:v>
      </x:c>
      <x:c r="L34" t="n">
        <x:v>0.16306</x:v>
      </x:c>
      <x:c r="M34" t="n">
        <x:v>16.3</x:v>
      </x:c>
      <x:c r="N34" t="n">
        <x:v>174.98227</x:v>
      </x:c>
      <x:c r="O34" t="n">
        <x:v>0.29138</x:v>
      </x:c>
      <x:c r="P34" t="n">
        <x:v>24.73</x:v>
      </x:c>
      <x:c r="Q34" t="n">
        <x:v>170.38014</x:v>
      </x:c>
      <x:c r="R34" t="n">
        <x:v>0.06582</x:v>
      </x:c>
      <x:c r="S34" t="n">
        <x:v>175.05561</x:v>
      </x:c>
      <x:c r="T34" t="n">
        <x:v>0.16306</x:v>
      </x:c>
      <x:c r="U34" t="n">
        <x:v>174.98227</x:v>
      </x:c>
      <x:c r="V34" t="n">
        <x:v>0.29138</x:v>
      </x:c>
      <x:c r="W34" t="n">
        <x:v>174.99895</x:v>
      </x:c>
      <x:c r="X34" t="n">
        <x:v>-0.00105</x:v>
      </x:c>
      <x:c r="Y34" t="n">
        <x:v>0.05098</x:v>
      </x:c>
      <x:c r="Z34" t="n">
        <x:v>0.16306</x:v>
      </x:c>
      <x:c r="AA34" t="n">
        <x:v>0.29138</x:v>
      </x:c>
      <x:c r="AB34" t="n">
        <x:v>0.33777</x:v>
      </x:c>
      <x:c r="AC34" t="n">
        <x:v>15.87</x:v>
      </x:c>
      <x:c r="AD34" t="str">
        <x:v>Z</x:v>
      </x:c>
      <x:c r="AE34" t="n">
        <x:v>0.05901</x:v>
      </x:c>
      <x:c r="AF34" t="n">
        <x:v>43.09</x:v>
      </x:c>
      <x:c r="AG34" t="n">
        <x:v>0.112</x:v>
      </x:c>
      <x:c r="AH34" t="n">
        <x:v>16.07</x:v>
      </x:c>
      <x:c r="AI34" t="n">
        <x:v>0.16245</x:v>
      </x:c>
      <x:c r="AJ34" t="n">
        <x:v>36.52</x:v>
      </x:c>
      <x:c r="AK34" t="n">
        <x:v>0.235</x:v>
      </x:c>
      <x:c r="AL34" t="n">
        <x:v>9.06</x:v>
      </x:c>
      <x:c r="AM34" t="n">
        <x:v>0.27853</x:v>
      </x:c>
      <x:c r="AN34" t="n">
        <x:v>37.98</x:v>
      </x:c>
      <x:c r="AO34" t="n">
        <x:v>0.583</x:v>
      </x:c>
      <x:c r="AP34" t="n">
        <x:v>5.69</x:v>
      </x:c>
      <x:c r="AQ34" t="n">
        <x:v>0.3281</x:v>
      </x:c>
      <x:c r="AR34" t="n">
        <x:v>5.36</x:v>
      </x:c>
      <x:c r="AS34" t="n">
        <x:v>0.1799</x:v>
      </x:c>
      <x:c r="AT34" t="n">
        <x:v>0.4951</x:v>
      </x:c>
      <x:c r="AU34" t="n">
        <x:v>0.8489</x:v>
      </x:c>
      <x:c r="AV34" t="n">
        <x:v>1</x:v>
      </x:c>
      <x:c r="AW34" t="n">
        <x:v>0.5832405844971816</x:v>
      </x:c>
      <x:c r="AX34" t="n">
        <x:v>0.0323473545329147</x:v>
      </x:c>
      <x:c r="AY34" t="n">
        <x:v>0.24514721883339846</x:v>
      </x:c>
      <x:c r="AZ34" t="n">
        <x:v>0.7206617924579568</x:v>
      </x:c>
    </x:row>
    <x:row r="35">
      <x:c r="A35" t="str">
        <x:v>175Hz-1</x:v>
      </x:c>
      <x:c r="B35" t="n">
        <x:v>175</x:v>
      </x:c>
      <x:c r="C35" t="n">
        <x:v>1</x:v>
      </x:c>
      <x:c r="D35" t="n">
        <x:v>4</x:v>
      </x:c>
      <x:c r="E35" t="n">
        <x:v>1</x:v>
      </x:c>
      <x:c r="F35" t="n">
        <x:v>175</x:v>
      </x:c>
      <x:c r="G35" t="n">
        <x:v>14</x:v>
      </x:c>
      <x:c r="H35" t="n">
        <x:v>184.2971</x:v>
      </x:c>
      <x:c r="I35" t="n">
        <x:v>0.20315</x:v>
      </x:c>
      <x:c r="J35" t="n">
        <x:v>20.72</x:v>
      </x:c>
      <x:c r="K35" t="n">
        <x:v>184.32821</x:v>
      </x:c>
      <x:c r="L35" t="n">
        <x:v>0.17638</x:v>
      </x:c>
      <x:c r="M35" t="n">
        <x:v>16.62</x:v>
      </x:c>
      <x:c r="N35" t="n">
        <x:v>175.02032</x:v>
      </x:c>
      <x:c r="O35" t="n">
        <x:v>0.31185</x:v>
      </x:c>
      <x:c r="P35" t="n">
        <x:v>25.29</x:v>
      </x:c>
      <x:c r="Q35" t="n">
        <x:v>182.03125</x:v>
      </x:c>
      <x:c r="R35" t="n">
        <x:v>0.10242</x:v>
      </x:c>
      <x:c r="S35" t="n">
        <x:v>174.94358</x:v>
      </x:c>
      <x:c r="T35" t="n">
        <x:v>0.16735</x:v>
      </x:c>
      <x:c r="U35" t="n">
        <x:v>175.02032</x:v>
      </x:c>
      <x:c r="V35" t="n">
        <x:v>0.31185</x:v>
      </x:c>
      <x:c r="W35" t="n">
        <x:v>175.00321</x:v>
      </x:c>
      <x:c r="X35" t="n">
        <x:v>0.00321</x:v>
      </x:c>
      <x:c r="Y35" t="n">
        <x:v>0.06048</x:v>
      </x:c>
      <x:c r="Z35" t="n">
        <x:v>0.16735</x:v>
      </x:c>
      <x:c r="AA35" t="n">
        <x:v>0.31185</x:v>
      </x:c>
      <x:c r="AB35" t="n">
        <x:v>0.35904</x:v>
      </x:c>
      <x:c r="AC35" t="n">
        <x:v>14.93</x:v>
      </x:c>
      <x:c r="AD35" t="str">
        <x:v>Z</x:v>
      </x:c>
      <x:c r="AE35" t="n">
        <x:v>0.05941</x:v>
      </x:c>
      <x:c r="AF35" t="n">
        <x:v>36.3</x:v>
      </x:c>
      <x:c r="AG35" t="n">
        <x:v>0.106</x:v>
      </x:c>
      <x:c r="AH35" t="n">
        <x:v>21.8</x:v>
      </x:c>
      <x:c r="AI35" t="n">
        <x:v>0.16858</x:v>
      </x:c>
      <x:c r="AJ35" t="n">
        <x:v>44.15</x:v>
      </x:c>
      <x:c r="AK35" t="n">
        <x:v>0.23</x:v>
      </x:c>
      <x:c r="AL35" t="n">
        <x:v>7.35</x:v>
      </x:c>
      <x:c r="AM35" t="n">
        <x:v>0.31232</x:v>
      </x:c>
      <x:c r="AN35" t="n">
        <x:v>38.17</x:v>
      </x:c>
      <x:c r="AO35" t="n">
        <x:v>0.599</x:v>
      </x:c>
      <x:c r="AP35" t="n">
        <x:v>5.97</x:v>
      </x:c>
      <x:c r="AQ35" t="n">
        <x:v>0.36036</x:v>
      </x:c>
      <x:c r="AR35" t="n">
        <x:v>3.95</x:v>
      </x:c>
      <x:c r="AS35" t="n">
        <x:v>0.1649</x:v>
      </x:c>
      <x:c r="AT35" t="n">
        <x:v>0.4678</x:v>
      </x:c>
      <x:c r="AU35" t="n">
        <x:v>0.8667</x:v>
      </x:c>
      <x:c r="AV35" t="n">
        <x:v>1</x:v>
      </x:c>
      <x:c r="AW35" t="n">
        <x:v>0.5397669057377049</x:v>
      </x:c>
      <x:c r="AX35" t="n">
        <x:v>0.027179780697096707</x:v>
      </x:c>
      <x:c r="AY35" t="n">
        <x:v>0.21884616598236312</x:v>
      </x:c>
      <x:c r="AZ35" t="n">
        <x:v>0.7511495916424319</x:v>
      </x:c>
    </x:row>
    <x:row r="36">
      <x:c r="A36" t="str">
        <x:v>175Hz-1</x:v>
      </x:c>
      <x:c r="B36" t="n">
        <x:v>175</x:v>
      </x:c>
      <x:c r="C36" t="n">
        <x:v>1</x:v>
      </x:c>
      <x:c r="D36" t="n">
        <x:v>5</x:v>
      </x:c>
      <x:c r="E36" t="n">
        <x:v>1</x:v>
      </x:c>
      <x:c r="F36" t="n">
        <x:v>175</x:v>
      </x:c>
      <x:c r="G36" t="n">
        <x:v>15</x:v>
      </x:c>
      <x:c r="H36" t="n">
        <x:v>184.33829</x:v>
      </x:c>
      <x:c r="I36" t="n">
        <x:v>0.27485</x:v>
      </x:c>
      <x:c r="J36" t="n">
        <x:v>23.06</x:v>
      </x:c>
      <x:c r="K36" t="n">
        <x:v>564.09076</x:v>
      </x:c>
      <x:c r="L36" t="n">
        <x:v>0.27793</x:v>
      </x:c>
      <x:c r="M36" t="n">
        <x:v>19.49</x:v>
      </x:c>
      <x:c r="N36" t="n">
        <x:v>175.01693</x:v>
      </x:c>
      <x:c r="O36" t="n">
        <x:v>0.36192</x:v>
      </x:c>
      <x:c r="P36" t="n">
        <x:v>26.79</x:v>
      </x:c>
      <x:c r="Q36" t="n">
        <x:v>182.03125</x:v>
      </x:c>
      <x:c r="R36" t="n">
        <x:v>0.12981</x:v>
      </x:c>
      <x:c r="S36" t="n">
        <x:v>175.04641</x:v>
      </x:c>
      <x:c r="T36" t="n">
        <x:v>0.1814</x:v>
      </x:c>
      <x:c r="U36" t="n">
        <x:v>175.01693</x:v>
      </x:c>
      <x:c r="V36" t="n">
        <x:v>0.36192</x:v>
      </x:c>
      <x:c r="W36" t="n">
        <x:v>175.02257</x:v>
      </x:c>
      <x:c r="X36" t="n">
        <x:v>0.02257</x:v>
      </x:c>
      <x:c r="Y36" t="n">
        <x:v>0.06096</x:v>
      </x:c>
      <x:c r="Z36" t="n">
        <x:v>0.1814</x:v>
      </x:c>
      <x:c r="AA36" t="n">
        <x:v>0.36192</x:v>
      </x:c>
      <x:c r="AB36" t="n">
        <x:v>0.4094</x:v>
      </x:c>
      <x:c r="AC36" t="n">
        <x:v>14.49</x:v>
      </x:c>
      <x:c r="AD36" t="str">
        <x:v>Z</x:v>
      </x:c>
      <x:c r="AE36" t="n">
        <x:v>0.07024</x:v>
      </x:c>
      <x:c r="AF36" t="n">
        <x:v>32.52</x:v>
      </x:c>
      <x:c r="AG36" t="n">
        <x:v>0.118</x:v>
      </x:c>
      <x:c r="AH36" t="n">
        <x:v>14.09</x:v>
      </x:c>
      <x:c r="AI36" t="n">
        <x:v>0.18806</x:v>
      </x:c>
      <x:c r="AJ36" t="n">
        <x:v>35.99</x:v>
      </x:c>
      <x:c r="AK36" t="n">
        <x:v>0.216</x:v>
      </x:c>
      <x:c r="AL36" t="n">
        <x:v>2.33</x:v>
      </x:c>
      <x:c r="AM36" t="n">
        <x:v>0.36519</x:v>
      </x:c>
      <x:c r="AN36" t="n">
        <x:v>40.66</x:v>
      </x:c>
      <x:c r="AO36" t="n">
        <x:v>0.647</x:v>
      </x:c>
      <x:c r="AP36" t="n">
        <x:v>7.68</x:v>
      </x:c>
      <x:c r="AQ36" t="n">
        <x:v>0.41712</x:v>
      </x:c>
      <x:c r="AR36" t="n">
        <x:v>5.32</x:v>
      </x:c>
      <x:c r="AS36" t="n">
        <x:v>0.1684</x:v>
      </x:c>
      <x:c r="AT36" t="n">
        <x:v>0.4509</x:v>
      </x:c>
      <x:c r="AU36" t="n">
        <x:v>0.8755</x:v>
      </x:c>
      <x:c r="AV36" t="n">
        <x:v>1</x:v>
      </x:c>
      <x:c r="AW36" t="n">
        <x:v>0.5149648128371532</x:v>
      </x:c>
      <x:c r="AX36" t="n">
        <x:v>0.028356131267960664</x:v>
      </x:c>
      <x:c r="AY36" t="n">
        <x:v>0.20326885269425257</x:v>
      </x:c>
      <x:c r="AZ36" t="n">
        <x:v>0.7665062948910896</x:v>
      </x:c>
    </x:row>
    <x:row r="37">
      <x:c r="A37" t="str">
        <x:v>175Hz-1</x:v>
      </x:c>
      <x:c r="B37" t="n">
        <x:v>175</x:v>
      </x:c>
      <x:c r="C37" t="n">
        <x:v>1</x:v>
      </x:c>
      <x:c r="D37" t="n">
        <x:v>6</x:v>
      </x:c>
      <x:c r="E37" t="n">
        <x:v>1</x:v>
      </x:c>
      <x:c r="F37" t="n">
        <x:v>175</x:v>
      </x:c>
      <x:c r="G37" t="n">
        <x:v>16</x:v>
      </x:c>
      <x:c r="H37" t="n">
        <x:v>184.33201</x:v>
      </x:c>
      <x:c r="I37" t="n">
        <x:v>0.27256</x:v>
      </x:c>
      <x:c r="J37" t="n">
        <x:v>22.24</x:v>
      </x:c>
      <x:c r="K37" t="n">
        <x:v>184.293</x:v>
      </x:c>
      <x:c r="L37" t="n">
        <x:v>0.22294</x:v>
      </x:c>
      <x:c r="M37" t="n">
        <x:v>18.23</x:v>
      </x:c>
      <x:c r="N37" t="n">
        <x:v>175.00465</x:v>
      </x:c>
      <x:c r="O37" t="n">
        <x:v>0.39938</x:v>
      </x:c>
      <x:c r="P37" t="n">
        <x:v>27.08</x:v>
      </x:c>
      <x:c r="Q37" t="n">
        <x:v>182.03125</x:v>
      </x:c>
      <x:c r="R37" t="n">
        <x:v>0.12247</x:v>
      </x:c>
      <x:c r="S37" t="n">
        <x:v>175.00295</x:v>
      </x:c>
      <x:c r="T37" t="n">
        <x:v>0.19081</x:v>
      </x:c>
      <x:c r="U37" t="n">
        <x:v>175.00465</x:v>
      </x:c>
      <x:c r="V37" t="n">
        <x:v>0.39938</x:v>
      </x:c>
      <x:c r="W37" t="n">
        <x:v>175.0042</x:v>
      </x:c>
      <x:c r="X37" t="n">
        <x:v>0.0042</x:v>
      </x:c>
      <x:c r="Y37" t="n">
        <x:v>0.07371</x:v>
      </x:c>
      <x:c r="Z37" t="n">
        <x:v>0.19081</x:v>
      </x:c>
      <x:c r="AA37" t="n">
        <x:v>0.39938</x:v>
      </x:c>
      <x:c r="AB37" t="n">
        <x:v>0.44872</x:v>
      </x:c>
      <x:c r="AC37" t="n">
        <x:v>14.33</x:v>
      </x:c>
      <x:c r="AD37" t="str">
        <x:v>Z</x:v>
      </x:c>
      <x:c r="AE37" t="n">
        <x:v>0.06879</x:v>
      </x:c>
      <x:c r="AF37" t="n">
        <x:v>33.46</x:v>
      </x:c>
      <x:c r="AG37" t="n">
        <x:v>0.108</x:v>
      </x:c>
      <x:c r="AH37" t="n">
        <x:v>18.05</x:v>
      </x:c>
      <x:c r="AI37" t="n">
        <x:v>0.19334</x:v>
      </x:c>
      <x:c r="AJ37" t="n">
        <x:v>42.05</x:v>
      </x:c>
      <x:c r="AK37" t="n">
        <x:v>0.247</x:v>
      </x:c>
      <x:c r="AL37" t="n">
        <x:v>5.13</x:v>
      </x:c>
      <x:c r="AM37" t="n">
        <x:v>0.40237</x:v>
      </x:c>
      <x:c r="AN37" t="n">
        <x:v>39.49</x:v>
      </x:c>
      <x:c r="AO37" t="n">
        <x:v>0.681</x:v>
      </x:c>
      <x:c r="AP37" t="n">
        <x:v>4.06</x:v>
      </x:c>
      <x:c r="AQ37" t="n">
        <x:v>0.45189</x:v>
      </x:c>
      <x:c r="AR37" t="n">
        <x:v>3.71</x:v>
      </x:c>
      <x:c r="AS37" t="n">
        <x:v>0.1522</x:v>
      </x:c>
      <x:c r="AT37" t="n">
        <x:v>0.4278</x:v>
      </x:c>
      <x:c r="AU37" t="n">
        <x:v>0.8904</x:v>
      </x:c>
      <x:c r="AV37" t="n">
        <x:v>1</x:v>
      </x:c>
      <x:c r="AW37" t="n">
        <x:v>0.4805030196088178</x:v>
      </x:c>
      <x:c r="AX37" t="n">
        <x:v>0.02317315450548622</x:v>
      </x:c>
      <x:c r="AY37" t="n">
        <x:v>0.18305347042716877</x:v>
      </x:c>
      <x:c r="AZ37" t="n">
        <x:v>0.7928403131968856</x:v>
      </x:c>
    </x:row>
    <x:row r="38">
      <x:c r="A38" t="str">
        <x:v>175Hz-1</x:v>
      </x:c>
      <x:c r="B38" t="n">
        <x:v>175</x:v>
      </x:c>
      <x:c r="C38" t="n">
        <x:v>1</x:v>
      </x:c>
      <x:c r="D38" t="n">
        <x:v>7</x:v>
      </x:c>
      <x:c r="E38" t="n">
        <x:v>1</x:v>
      </x:c>
      <x:c r="F38" t="n">
        <x:v>175</x:v>
      </x:c>
      <x:c r="G38" t="n">
        <x:v>17</x:v>
      </x:c>
      <x:c r="H38" t="n">
        <x:v>345.42644</x:v>
      </x:c>
      <x:c r="I38" t="n">
        <x:v>0.22092</x:v>
      </x:c>
      <x:c r="J38" t="n">
        <x:v>20.35</x:v>
      </x:c>
      <x:c r="K38" t="n">
        <x:v>175.00359</x:v>
      </x:c>
      <x:c r="L38" t="n">
        <x:v>0.20064</x:v>
      </x:c>
      <x:c r="M38" t="n">
        <x:v>16.99</x:v>
      </x:c>
      <x:c r="N38" t="n">
        <x:v>174.96774</x:v>
      </x:c>
      <x:c r="O38" t="n">
        <x:v>0.44061</x:v>
      </x:c>
      <x:c r="P38" t="n">
        <x:v>27.89</x:v>
      </x:c>
      <x:c r="Q38" t="n">
        <x:v>183.59375</x:v>
      </x:c>
      <x:c r="R38" t="n">
        <x:v>0.11521</x:v>
      </x:c>
      <x:c r="S38" t="n">
        <x:v>175.00359</x:v>
      </x:c>
      <x:c r="T38" t="n">
        <x:v>0.20064</x:v>
      </x:c>
      <x:c r="U38" t="n">
        <x:v>174.96774</x:v>
      </x:c>
      <x:c r="V38" t="n">
        <x:v>0.44061</x:v>
      </x:c>
      <x:c r="W38" t="n">
        <x:v>174.97602</x:v>
      </x:c>
      <x:c r="X38" t="n">
        <x:v>-0.02398</x:v>
      </x:c>
      <x:c r="Y38" t="n">
        <x:v>0.07271</x:v>
      </x:c>
      <x:c r="Z38" t="n">
        <x:v>0.20064</x:v>
      </x:c>
      <x:c r="AA38" t="n">
        <x:v>0.44061</x:v>
      </x:c>
      <x:c r="AB38" t="n">
        <x:v>0.48957</x:v>
      </x:c>
      <x:c r="AC38" t="n">
        <x:v>16.75</x:v>
      </x:c>
      <x:c r="AD38" t="str">
        <x:v>Z</x:v>
      </x:c>
      <x:c r="AE38" t="n">
        <x:v>0.06355</x:v>
      </x:c>
      <x:c r="AF38" t="n">
        <x:v>43.39</x:v>
      </x:c>
      <x:c r="AG38" t="n">
        <x:v>0.101</x:v>
      </x:c>
      <x:c r="AH38" t="n">
        <x:v>17.37</x:v>
      </x:c>
      <x:c r="AI38" t="n">
        <x:v>0.22128</x:v>
      </x:c>
      <x:c r="AJ38" t="n">
        <x:v>38.5</x:v>
      </x:c>
      <x:c r="AK38" t="n">
        <x:v>0.277</x:v>
      </x:c>
      <x:c r="AL38" t="n">
        <x:v>10.59</x:v>
      </x:c>
      <x:c r="AM38" t="n">
        <x:v>0.43109</x:v>
      </x:c>
      <x:c r="AN38" t="n">
        <x:v>38.7</x:v>
      </x:c>
      <x:c r="AO38" t="n">
        <x:v>0.687</x:v>
      </x:c>
      <x:c r="AP38" t="n">
        <x:v>3.5</x:v>
      </x:c>
      <x:c r="AQ38" t="n">
        <x:v>0.48916</x:v>
      </x:c>
      <x:c r="AR38" t="n">
        <x:v>3.85</x:v>
      </x:c>
      <x:c r="AS38" t="n">
        <x:v>0.1299</x:v>
      </x:c>
      <x:c r="AT38" t="n">
        <x:v>0.4524</x:v>
      </x:c>
      <x:c r="AU38" t="n">
        <x:v>0.8813</x:v>
      </x:c>
      <x:c r="AV38" t="n">
        <x:v>1</x:v>
      </x:c>
      <x:c r="AW38" t="n">
        <x:v>0.5133034865109374</x:v>
      </x:c>
      <x:c r="AX38" t="n">
        <x:v>0.01687832080108411</x:v>
      </x:c>
      <x:c r="AY38" t="n">
        <x:v>0.20463619543850678</x:v>
      </x:c>
      <x:c r="AZ38" t="n">
        <x:v>0.7766655191176483</x:v>
      </x:c>
    </x:row>
    <x:row r="39">
      <x:c r="A39" t="str">
        <x:v>175Hz-1</x:v>
      </x:c>
      <x:c r="B39" t="n">
        <x:v>175</x:v>
      </x:c>
      <x:c r="C39" t="n">
        <x:v>1</x:v>
      </x:c>
      <x:c r="D39" t="n">
        <x:v>8</x:v>
      </x:c>
      <x:c r="E39" t="n">
        <x:v>1</x:v>
      </x:c>
      <x:c r="F39" t="n">
        <x:v>175</x:v>
      </x:c>
      <x:c r="G39" t="n">
        <x:v>18</x:v>
      </x:c>
      <x:c r="H39" t="n">
        <x:v>184.23997</x:v>
      </x:c>
      <x:c r="I39" t="n">
        <x:v>0.25236</x:v>
      </x:c>
      <x:c r="J39" t="n">
        <x:v>21.65</x:v>
      </x:c>
      <x:c r="K39" t="n">
        <x:v>174.96299</x:v>
      </x:c>
      <x:c r="L39" t="n">
        <x:v>0.21248</x:v>
      </x:c>
      <x:c r="M39" t="n">
        <x:v>17.11</x:v>
      </x:c>
      <x:c r="N39" t="n">
        <x:v>174.99025</x:v>
      </x:c>
      <x:c r="O39" t="n">
        <x:v>0.48458</x:v>
      </x:c>
      <x:c r="P39" t="n">
        <x:v>28.33</x:v>
      </x:c>
      <x:c r="Q39" t="n">
        <x:v>183.59375</x:v>
      </x:c>
      <x:c r="R39" t="n">
        <x:v>0.13595</x:v>
      </x:c>
      <x:c r="S39" t="n">
        <x:v>174.96299</x:v>
      </x:c>
      <x:c r="T39" t="n">
        <x:v>0.21248</x:v>
      </x:c>
      <x:c r="U39" t="n">
        <x:v>174.99025</x:v>
      </x:c>
      <x:c r="V39" t="n">
        <x:v>0.48458</x:v>
      </x:c>
      <x:c r="W39" t="n">
        <x:v>174.98739</x:v>
      </x:c>
      <x:c r="X39" t="n">
        <x:v>-0.01261</x:v>
      </x:c>
      <x:c r="Y39" t="n">
        <x:v>0.08226</x:v>
      </x:c>
      <x:c r="Z39" t="n">
        <x:v>0.21248</x:v>
      </x:c>
      <x:c r="AA39" t="n">
        <x:v>0.48458</x:v>
      </x:c>
      <x:c r="AB39" t="n">
        <x:v>0.53548</x:v>
      </x:c>
      <x:c r="AC39" t="n">
        <x:v>15.2</x:v>
      </x:c>
      <x:c r="AD39" t="str">
        <x:v>Z</x:v>
      </x:c>
      <x:c r="AE39" t="n">
        <x:v>0.08525</x:v>
      </x:c>
      <x:c r="AF39" t="n">
        <x:v>41.29</x:v>
      </x:c>
      <x:c r="AG39" t="n">
        <x:v>0.139</x:v>
      </x:c>
      <x:c r="AH39" t="n">
        <x:v>11.86</x:v>
      </x:c>
      <x:c r="AI39" t="n">
        <x:v>0.20346</x:v>
      </x:c>
      <x:c r="AJ39" t="n">
        <x:v>37.15</x:v>
      </x:c>
      <x:c r="AK39" t="n">
        <x:v>0.241</x:v>
      </x:c>
      <x:c r="AL39" t="n">
        <x:v>5.24</x:v>
      </x:c>
      <x:c r="AM39" t="n">
        <x:v>0.50842</x:v>
      </x:c>
      <x:c r="AN39" t="n">
        <x:v>39.03</x:v>
      </x:c>
      <x:c r="AO39" t="n">
        <x:v>0.756</x:v>
      </x:c>
      <x:c r="AP39" t="n">
        <x:v>5.33</x:v>
      </x:c>
      <x:c r="AQ39" t="n">
        <x:v>0.55449</x:v>
      </x:c>
      <x:c r="AR39" t="n">
        <x:v>4.28</x:v>
      </x:c>
      <x:c r="AS39" t="n">
        <x:v>0.1537</x:v>
      </x:c>
      <x:c r="AT39" t="n">
        <x:v>0.3669</x:v>
      </x:c>
      <x:c r="AU39" t="n">
        <x:v>0.9169</x:v>
      </x:c>
      <x:c r="AV39" t="n">
        <x:v>1</x:v>
      </x:c>
      <x:c r="AW39" t="n">
        <x:v>0.4001809527555958</x:v>
      </x:c>
      <x:c r="AX39" t="n">
        <x:v>0.023637488951821283</x:v>
      </x:c>
      <x:c r="AY39" t="n">
        <x:v>0.1346389276108609</x:v>
      </x:c>
      <x:c r="AZ39" t="n">
        <x:v>0.8407324612346132</x:v>
      </x:c>
    </x:row>
    <x:row r="40">
      <x:c r="A40" t="str">
        <x:v>175Hz-1</x:v>
      </x:c>
      <x:c r="B40" t="n">
        <x:v>175</x:v>
      </x:c>
      <x:c r="C40" t="n">
        <x:v>1</x:v>
      </x:c>
      <x:c r="D40" t="n">
        <x:v>9</x:v>
      </x:c>
      <x:c r="E40" t="n">
        <x:v>1</x:v>
      </x:c>
      <x:c r="F40" t="n">
        <x:v>175</x:v>
      </x:c>
      <x:c r="G40" t="n">
        <x:v>19</x:v>
      </x:c>
      <x:c r="H40" t="n">
        <x:v>184.26595</x:v>
      </x:c>
      <x:c r="I40" t="n">
        <x:v>0.33862</x:v>
      </x:c>
      <x:c r="J40" t="n">
        <x:v>24.48</x:v>
      </x:c>
      <x:c r="K40" t="n">
        <x:v>184.30379</x:v>
      </x:c>
      <x:c r="L40" t="n">
        <x:v>0.26876</x:v>
      </x:c>
      <x:c r="M40" t="n">
        <x:v>19.27</x:v>
      </x:c>
      <x:c r="N40" t="n">
        <x:v>174.99449</x:v>
      </x:c>
      <x:c r="O40" t="n">
        <x:v>0.57822</x:v>
      </x:c>
      <x:c r="P40" t="n">
        <x:v>29.6</x:v>
      </x:c>
      <x:c r="Q40" t="n">
        <x:v>182.03125</x:v>
      </x:c>
      <x:c r="R40" t="n">
        <x:v>0.1765</x:v>
      </x:c>
      <x:c r="S40" t="n">
        <x:v>175.03644</x:v>
      </x:c>
      <x:c r="T40" t="n">
        <x:v>0.2203</x:v>
      </x:c>
      <x:c r="U40" t="n">
        <x:v>174.99449</x:v>
      </x:c>
      <x:c r="V40" t="n">
        <x:v>0.57822</x:v>
      </x:c>
      <x:c r="W40" t="n">
        <x:v>174.99825</x:v>
      </x:c>
      <x:c r="X40" t="n">
        <x:v>-0.00175</x:v>
      </x:c>
      <x:c r="Y40" t="n">
        <x:v>0.08896</x:v>
      </x:c>
      <x:c r="Z40" t="n">
        <x:v>0.2203</x:v>
      </x:c>
      <x:c r="AA40" t="n">
        <x:v>0.57822</x:v>
      </x:c>
      <x:c r="AB40" t="n">
        <x:v>0.62513</x:v>
      </x:c>
      <x:c r="AC40" t="n">
        <x:v>15.94</x:v>
      </x:c>
      <x:c r="AD40" t="str">
        <x:v>Z</x:v>
      </x:c>
      <x:c r="AE40" t="n">
        <x:v>0.08795</x:v>
      </x:c>
      <x:c r="AF40" t="n">
        <x:v>32.53</x:v>
      </x:c>
      <x:c r="AG40" t="n">
        <x:v>0.129</x:v>
      </x:c>
      <x:c r="AH40" t="n">
        <x:v>26.08</x:v>
      </x:c>
      <x:c r="AI40" t="n">
        <x:v>0.2111</x:v>
      </x:c>
      <x:c r="AJ40" t="n">
        <x:v>35.53</x:v>
      </x:c>
      <x:c r="AK40" t="n">
        <x:v>0.251</x:v>
      </x:c>
      <x:c r="AL40" t="n">
        <x:v>10.67</x:v>
      </x:c>
      <x:c r="AM40" t="n">
        <x:v>0.58035</x:v>
      </x:c>
      <x:c r="AN40" t="n">
        <x:v>37.96</x:v>
      </x:c>
      <x:c r="AO40" t="n">
        <x:v>0.78</x:v>
      </x:c>
      <x:c r="AP40" t="n">
        <x:v>3.39</x:v>
      </x:c>
      <x:c r="AQ40" t="n">
        <x:v>0.6246</x:v>
      </x:c>
      <x:c r="AR40" t="n">
        <x:v>1.87</x:v>
      </x:c>
      <x:c r="AS40" t="n">
        <x:v>0.1408</x:v>
      </x:c>
      <x:c r="AT40" t="n">
        <x:v>0.338</x:v>
      </x:c>
      <x:c r="AU40" t="n">
        <x:v>0.9291</x:v>
      </x:c>
      <x:c r="AV40" t="n">
        <x:v>1</x:v>
      </x:c>
      <x:c r="AW40" t="n">
        <x:v>0.3637460153355734</x:v>
      </x:c>
      <x:c r="AX40" t="n">
        <x:v>0.019827489465175735</x:v>
      </x:c>
      <x:c r="AY40" t="n">
        <x:v>0.11422798262998468</x:v>
      </x:c>
      <x:c r="AZ40" t="n">
        <x:v>0.8633283803074889</x:v>
      </x:c>
    </x:row>
    <x:row r="41">
      <x:c r="A41" t="str">
        <x:v>175Hz-1</x:v>
      </x:c>
      <x:c r="B41" t="n">
        <x:v>175</x:v>
      </x:c>
      <x:c r="C41" t="n">
        <x:v>1</x:v>
      </x:c>
      <x:c r="D41" t="n">
        <x:v>10</x:v>
      </x:c>
      <x:c r="E41" t="n">
        <x:v>1</x:v>
      </x:c>
      <x:c r="F41" t="n">
        <x:v>175</x:v>
      </x:c>
      <x:c r="G41" t="n">
        <x:v>20</x:v>
      </x:c>
      <x:c r="H41" t="n">
        <x:v>184.35504</x:v>
      </x:c>
      <x:c r="I41" t="n">
        <x:v>0.42384</x:v>
      </x:c>
      <x:c r="J41" t="n">
        <x:v>24.68</x:v>
      </x:c>
      <x:c r="K41" t="n">
        <x:v>184.30737</x:v>
      </x:c>
      <x:c r="L41" t="n">
        <x:v>0.33891</x:v>
      </x:c>
      <x:c r="M41" t="n">
        <x:v>20.69</x:v>
      </x:c>
      <x:c r="N41" t="n">
        <x:v>174.99232</x:v>
      </x:c>
      <x:c r="O41" t="n">
        <x:v>0.91995</x:v>
      </x:c>
      <x:c r="P41" t="n">
        <x:v>29.58</x:v>
      </x:c>
      <x:c r="Q41" t="n">
        <x:v>182.03125</x:v>
      </x:c>
      <x:c r="R41" t="n">
        <x:v>0.19113</x:v>
      </x:c>
      <x:c r="S41" t="n">
        <x:v>175.00267</x:v>
      </x:c>
      <x:c r="T41" t="n">
        <x:v>0.18885</x:v>
      </x:c>
      <x:c r="U41" t="n">
        <x:v>174.99232</x:v>
      </x:c>
      <x:c r="V41" t="n">
        <x:v>0.91995</x:v>
      </x:c>
      <x:c r="W41" t="n">
        <x:v>174.99297</x:v>
      </x:c>
      <x:c r="X41" t="n">
        <x:v>-0.00703</x:v>
      </x:c>
      <x:c r="Y41" t="n">
        <x:v>0.10726</x:v>
      </x:c>
      <x:c r="Z41" t="n">
        <x:v>0.18885</x:v>
      </x:c>
      <x:c r="AA41" t="n">
        <x:v>0.91995</x:v>
      </x:c>
      <x:c r="AB41" t="n">
        <x:v>0.94524</x:v>
      </x:c>
      <x:c r="AC41" t="n">
        <x:v>18.87</x:v>
      </x:c>
      <x:c r="AD41" t="str">
        <x:v>Z</x:v>
      </x:c>
      <x:c r="AE41" t="n">
        <x:v>0.11027</x:v>
      </x:c>
      <x:c r="AF41" t="n">
        <x:v>28.1</x:v>
      </x:c>
      <x:c r="AG41" t="n">
        <x:v>0.135</x:v>
      </x:c>
      <x:c r="AH41" t="n">
        <x:v>23.92</x:v>
      </x:c>
      <x:c r="AI41" t="n">
        <x:v>0.19574</x:v>
      </x:c>
      <x:c r="AJ41" t="n">
        <x:v>70.78</x:v>
      </x:c>
      <x:c r="AK41" t="n">
        <x:v>0.211</x:v>
      </x:c>
      <x:c r="AL41" t="n">
        <x:v>9.71</x:v>
      </x:c>
      <x:c r="AM41" t="n">
        <x:v>0.89936</x:v>
      </x:c>
      <x:c r="AN41" t="n">
        <x:v>20.35</x:v>
      </x:c>
      <x:c r="AO41" t="n">
        <x:v>0.627</x:v>
      </x:c>
      <x:c r="AP41" t="n">
        <x:v>1.41</x:v>
      </x:c>
      <x:c r="AQ41" t="n">
        <x:v>0.92739</x:v>
      </x:c>
      <x:c r="AR41" t="n">
        <x:v>1.9</x:v>
      </x:c>
      <x:c r="AS41" t="n">
        <x:v>0.1189</x:v>
      </x:c>
      <x:c r="AT41" t="n">
        <x:v>0.2111</x:v>
      </x:c>
      <x:c r="AU41" t="n">
        <x:v>0.9698</x:v>
      </x:c>
      <x:c r="AV41" t="n">
        <x:v>1</x:v>
      </x:c>
      <x:c r="AW41" t="n">
        <x:v>0.21764365771215086</x:v>
      </x:c>
      <x:c r="AX41" t="n">
        <x:v>0.014138063630241782</x:v>
      </x:c>
      <x:c r="AY41" t="n">
        <x:v>0.044548629793588784</x:v>
      </x:c>
      <x:c r="AZ41" t="n">
        <x:v>0.9404643092830666</x:v>
      </x:c>
    </x:row>
    <x:row r="42">
      <x:c r="A42" t="str">
        <x:v>200Hz-1</x:v>
      </x:c>
      <x:c r="B42" t="n">
        <x:v>200</x:v>
      </x:c>
      <x:c r="C42" t="n">
        <x:v>1</x:v>
      </x:c>
      <x:c r="D42" t="n">
        <x:v>1</x:v>
      </x:c>
      <x:c r="E42" t="n">
        <x:v>1</x:v>
      </x:c>
      <x:c r="F42" t="n">
        <x:v>200</x:v>
      </x:c>
      <x:c r="G42" t="n">
        <x:v>11</x:v>
      </x:c>
      <x:c r="H42" t="n">
        <x:v>159.22885</x:v>
      </x:c>
      <x:c r="I42" t="n">
        <x:v>0.22397</x:v>
      </x:c>
      <x:c r="J42" t="n">
        <x:v>24.14</x:v>
      </x:c>
      <x:c r="K42" t="n">
        <x:v>159.23446</x:v>
      </x:c>
      <x:c r="L42" t="n">
        <x:v>0.20758</x:v>
      </x:c>
      <x:c r="M42" t="n">
        <x:v>21.16</x:v>
      </x:c>
      <x:c r="N42" t="n">
        <x:v>200.0038</x:v>
      </x:c>
      <x:c r="O42" t="n">
        <x:v>0.2419</x:v>
      </x:c>
      <x:c r="P42" t="n">
        <x:v>23.86</x:v>
      </x:c>
      <x:c r="Q42" t="n">
        <x:v>200.15184</x:v>
      </x:c>
      <x:c r="R42" t="n">
        <x:v>0.03821</x:v>
      </x:c>
      <x:c r="S42" t="n">
        <x:v>199.98034</x:v>
      </x:c>
      <x:c r="T42" t="n">
        <x:v>0.1632</x:v>
      </x:c>
      <x:c r="U42" t="n">
        <x:v>200.0038</x:v>
      </x:c>
      <x:c r="V42" t="n">
        <x:v>0.2419</x:v>
      </x:c>
      <x:c r="W42" t="n">
        <x:v>199.99909</x:v>
      </x:c>
      <x:c r="X42" t="n">
        <x:v>-0.00091</x:v>
      </x:c>
      <x:c r="Y42" t="n">
        <x:v>0.03821</x:v>
      </x:c>
      <x:c r="Z42" t="n">
        <x:v>0.1632</x:v>
      </x:c>
      <x:c r="AA42" t="n">
        <x:v>0.2419</x:v>
      </x:c>
      <x:c r="AB42" t="n">
        <x:v>0.2943</x:v>
      </x:c>
      <x:c r="AC42" t="n">
        <x:v>22.11</x:v>
      </x:c>
      <x:c r="AD42" t="str">
        <x:v>Z</x:v>
      </x:c>
      <x:c r="AE42" t="n">
        <x:v>0.05039</x:v>
      </x:c>
      <x:c r="AF42" t="n">
        <x:v>47.28</x:v>
      </x:c>
      <x:c r="AG42" t="n">
        <x:v>0.099</x:v>
      </x:c>
      <x:c r="AH42" t="n">
        <x:v>50.89</x:v>
      </x:c>
      <x:c r="AI42" t="n">
        <x:v>0.17981</x:v>
      </x:c>
      <x:c r="AJ42" t="n">
        <x:v>28.77</x:v>
      </x:c>
      <x:c r="AK42" t="n">
        <x:v>0.29</x:v>
      </x:c>
      <x:c r="AL42" t="n">
        <x:v>6.69</x:v>
      </x:c>
      <x:c r="AM42" t="n">
        <x:v>0.24849</x:v>
      </x:c>
      <x:c r="AN42" t="n">
        <x:v>33.87</x:v>
      </x:c>
      <x:c r="AO42" t="n">
        <x:v>0.519</x:v>
      </x:c>
      <x:c r="AP42" t="n">
        <x:v>2.33</x:v>
      </x:c>
      <x:c r="AQ42" t="n">
        <x:v>0.3118</x:v>
      </x:c>
      <x:c r="AR42" t="n">
        <x:v>2.95</x:v>
      </x:c>
      <x:c r="AS42" t="n">
        <x:v>0.1616</x:v>
      </x:c>
      <x:c r="AT42" t="n">
        <x:v>0.5767</x:v>
      </x:c>
      <x:c r="AU42" t="n">
        <x:v>0.797</x:v>
      </x:c>
      <x:c r="AV42" t="n">
        <x:v>1</x:v>
      </x:c>
      <x:c r="AW42" t="n">
        <x:v>0.7236106080727595</x:v>
      </x:c>
      <x:c r="AX42" t="n">
        <x:v>0.02611779417325212</x:v>
      </x:c>
      <x:c r="AY42" t="n">
        <x:v>0.33256417248273074</x:v>
      </x:c>
      <x:c r="AZ42" t="n">
        <x:v>0.6351343633214988</x:v>
      </x:c>
    </x:row>
    <x:row r="43">
      <x:c r="A43" t="str">
        <x:v>200Hz-1</x:v>
      </x:c>
      <x:c r="B43" t="n">
        <x:v>200</x:v>
      </x:c>
      <x:c r="C43" t="n">
        <x:v>1</x:v>
      </x:c>
      <x:c r="D43" t="n">
        <x:v>2</x:v>
      </x:c>
      <x:c r="E43" t="n">
        <x:v>1</x:v>
      </x:c>
      <x:c r="F43" t="n">
        <x:v>200</x:v>
      </x:c>
      <x:c r="G43" t="n">
        <x:v>12</x:v>
      </x:c>
      <x:c r="H43" t="n">
        <x:v>220.38804</x:v>
      </x:c>
      <x:c r="I43" t="n">
        <x:v>0.1965</x:v>
      </x:c>
      <x:c r="J43" t="n">
        <x:v>22.96</x:v>
      </x:c>
      <x:c r="K43" t="n">
        <x:v>538.84355</x:v>
      </x:c>
      <x:c r="L43" t="n">
        <x:v>0.34931</x:v>
      </x:c>
      <x:c r="M43" t="n">
        <x:v>24.94</x:v>
      </x:c>
      <x:c r="N43" t="n">
        <x:v>200.00706</x:v>
      </x:c>
      <x:c r="O43" t="n">
        <x:v>0.28074</x:v>
      </x:c>
      <x:c r="P43" t="n">
        <x:v>25.25</x:v>
      </x:c>
      <x:c r="Q43" t="n">
        <x:v>199.94602</x:v>
      </x:c>
      <x:c r="R43" t="n">
        <x:v>0.04509</x:v>
      </x:c>
      <x:c r="S43" t="n">
        <x:v>200.00757</x:v>
      </x:c>
      <x:c r="T43" t="n">
        <x:v>0.19622</x:v>
      </x:c>
      <x:c r="U43" t="n">
        <x:v>200.00706</x:v>
      </x:c>
      <x:c r="V43" t="n">
        <x:v>0.28074</x:v>
      </x:c>
      <x:c r="W43" t="n">
        <x:v>200.00618</x:v>
      </x:c>
      <x:c r="X43" t="n">
        <x:v>0.00618</x:v>
      </x:c>
      <x:c r="Y43" t="n">
        <x:v>0.04509</x:v>
      </x:c>
      <x:c r="Z43" t="n">
        <x:v>0.19622</x:v>
      </x:c>
      <x:c r="AA43" t="n">
        <x:v>0.28074</x:v>
      </x:c>
      <x:c r="AB43" t="n">
        <x:v>0.34547</x:v>
      </x:c>
      <x:c r="AC43" t="n">
        <x:v>25.9</x:v>
      </x:c>
      <x:c r="AD43" t="str">
        <x:v>Z</x:v>
      </x:c>
      <x:c r="AE43" t="n">
        <x:v>0.06058</x:v>
      </x:c>
      <x:c r="AF43" t="n">
        <x:v>31.25</x:v>
      </x:c>
      <x:c r="AG43" t="n">
        <x:v>0.132</x:v>
      </x:c>
      <x:c r="AH43" t="n">
        <x:v>38.87</x:v>
      </x:c>
      <x:c r="AI43" t="n">
        <x:v>0.19539</x:v>
      </x:c>
      <x:c r="AJ43" t="n">
        <x:v>31.48</x:v>
      </x:c>
      <x:c r="AK43" t="n">
        <x:v>0.274</x:v>
      </x:c>
      <x:c r="AL43" t="n">
        <x:v>3.09</x:v>
      </x:c>
      <x:c r="AM43" t="n">
        <x:v>0.28026</x:v>
      </x:c>
      <x:c r="AN43" t="n">
        <x:v>37.82</x:v>
      </x:c>
      <x:c r="AO43" t="n">
        <x:v>0.583</x:v>
      </x:c>
      <x:c r="AP43" t="n">
        <x:v>3.36</x:v>
      </x:c>
      <x:c r="AQ43" t="n">
        <x:v>0.34767</x:v>
      </x:c>
      <x:c r="AR43" t="n">
        <x:v>2.47</x:v>
      </x:c>
      <x:c r="AS43" t="n">
        <x:v>0.1742</x:v>
      </x:c>
      <x:c r="AT43" t="n">
        <x:v>0.562</x:v>
      </x:c>
      <x:c r="AU43" t="n">
        <x:v>0.8061</x:v>
      </x:c>
      <x:c r="AV43" t="n">
        <x:v>1</x:v>
      </x:c>
      <x:c r="AW43" t="n">
        <x:v>0.6971740526653821</x:v>
      </x:c>
      <x:c r="AX43" t="n">
        <x:v>0.030361561443538704</x:v>
      </x:c>
      <x:c r="AY43" t="n">
        <x:v>0.3158422542089877</x:v>
      </x:c>
      <x:c r="AZ43" t="n">
        <x:v>0.6498121092673887</x:v>
      </x:c>
    </x:row>
    <x:row r="44">
      <x:c r="A44" t="str">
        <x:v>200Hz-1</x:v>
      </x:c>
      <x:c r="B44" t="n">
        <x:v>200</x:v>
      </x:c>
      <x:c r="C44" t="n">
        <x:v>1</x:v>
      </x:c>
      <x:c r="D44" t="n">
        <x:v>3</x:v>
      </x:c>
      <x:c r="E44" t="n">
        <x:v>1</x:v>
      </x:c>
      <x:c r="F44" t="n">
        <x:v>200</x:v>
      </x:c>
      <x:c r="G44" t="n">
        <x:v>13</x:v>
      </x:c>
      <x:c r="H44" t="n">
        <x:v>359.23257</x:v>
      </x:c>
      <x:c r="I44" t="n">
        <x:v>0.19208</x:v>
      </x:c>
      <x:c r="J44" t="n">
        <x:v>23.16</x:v>
      </x:c>
      <x:c r="K44" t="n">
        <x:v>200.02207</x:v>
      </x:c>
      <x:c r="L44" t="n">
        <x:v>0.22473</x:v>
      </x:c>
      <x:c r="M44" t="n">
        <x:v>21.74</x:v>
      </x:c>
      <x:c r="N44" t="n">
        <x:v>200.00029</x:v>
      </x:c>
      <x:c r="O44" t="n">
        <x:v>0.33878</x:v>
      </x:c>
      <x:c r="P44" t="n">
        <x:v>26.55</x:v>
      </x:c>
      <x:c r="Q44" t="n">
        <x:v>200.03934</x:v>
      </x:c>
      <x:c r="R44" t="n">
        <x:v>0.04982</x:v>
      </x:c>
      <x:c r="S44" t="n">
        <x:v>200.02207</x:v>
      </x:c>
      <x:c r="T44" t="n">
        <x:v>0.22473</x:v>
      </x:c>
      <x:c r="U44" t="n">
        <x:v>200.00029</x:v>
      </x:c>
      <x:c r="V44" t="n">
        <x:v>0.33878</x:v>
      </x:c>
      <x:c r="W44" t="n">
        <x:v>200.00744</x:v>
      </x:c>
      <x:c r="X44" t="n">
        <x:v>0.00744</x:v>
      </x:c>
      <x:c r="Y44" t="n">
        <x:v>0.04982</x:v>
      </x:c>
      <x:c r="Z44" t="n">
        <x:v>0.22473</x:v>
      </x:c>
      <x:c r="AA44" t="n">
        <x:v>0.33878</x:v>
      </x:c>
      <x:c r="AB44" t="n">
        <x:v>0.40958</x:v>
      </x:c>
      <x:c r="AC44" t="n">
        <x:v>26.84</x:v>
      </x:c>
      <x:c r="AD44" t="str">
        <x:v>Z</x:v>
      </x:c>
      <x:c r="AE44" t="n">
        <x:v>0.06709</x:v>
      </x:c>
      <x:c r="AF44" t="n">
        <x:v>29.16</x:v>
      </x:c>
      <x:c r="AG44" t="n">
        <x:v>0.135</x:v>
      </x:c>
      <x:c r="AH44" t="n">
        <x:v>34.96</x:v>
      </x:c>
      <x:c r="AI44" t="n">
        <x:v>0.23898</x:v>
      </x:c>
      <x:c r="AJ44" t="n">
        <x:v>29.73</x:v>
      </x:c>
      <x:c r="AK44" t="n">
        <x:v>0.352</x:v>
      </x:c>
      <x:c r="AL44" t="n">
        <x:v>3.49</x:v>
      </x:c>
      <x:c r="AM44" t="n">
        <x:v>0.36169</x:v>
      </x:c>
      <x:c r="AN44" t="n">
        <x:v>35.89</x:v>
      </x:c>
      <x:c r="AO44" t="n">
        <x:v>0.66</x:v>
      </x:c>
      <x:c r="AP44" t="n">
        <x:v>2.99</x:v>
      </x:c>
      <x:c r="AQ44" t="n">
        <x:v>0.4392</x:v>
      </x:c>
      <x:c r="AR44" t="n">
        <x:v>2.83</x:v>
      </x:c>
      <x:c r="AS44" t="n">
        <x:v>0.1527</x:v>
      </x:c>
      <x:c r="AT44" t="n">
        <x:v>0.5441</x:v>
      </x:c>
      <x:c r="AU44" t="n">
        <x:v>0.8235</x:v>
      </x:c>
      <x:c r="AV44" t="n">
        <x:v>1</x:v>
      </x:c>
      <x:c r="AW44" t="n">
        <x:v>0.6607315657054383</x:v>
      </x:c>
      <x:c r="AX44" t="n">
        <x:v>0.023334092807422668</x:v>
      </x:c>
      <x:c r="AY44" t="n">
        <x:v>0.2960727589656305</x:v>
      </x:c>
      <x:c r="AZ44" t="n">
        <x:v>0.6781852504014587</x:v>
      </x:c>
    </x:row>
    <x:row r="45">
      <x:c r="A45" t="str">
        <x:v>200Hz-1</x:v>
      </x:c>
      <x:c r="B45" t="n">
        <x:v>200</x:v>
      </x:c>
      <x:c r="C45" t="n">
        <x:v>1</x:v>
      </x:c>
      <x:c r="D45" t="n">
        <x:v>4</x:v>
      </x:c>
      <x:c r="E45" t="n">
        <x:v>1</x:v>
      </x:c>
      <x:c r="F45" t="n">
        <x:v>200</x:v>
      </x:c>
      <x:c r="G45" t="n">
        <x:v>14</x:v>
      </x:c>
      <x:c r="H45" t="n">
        <x:v>359.47391</x:v>
      </x:c>
      <x:c r="I45" t="n">
        <x:v>0.20863</x:v>
      </x:c>
      <x:c r="J45" t="n">
        <x:v>22.67</x:v>
      </x:c>
      <x:c r="K45" t="n">
        <x:v>539.16713</x:v>
      </x:c>
      <x:c r="L45" t="n">
        <x:v>0.52902</x:v>
      </x:c>
      <x:c r="M45" t="n">
        <x:v>28.11</x:v>
      </x:c>
      <x:c r="N45" t="n">
        <x:v>200.00634</x:v>
      </x:c>
      <x:c r="O45" t="n">
        <x:v>0.39624</x:v>
      </x:c>
      <x:c r="P45" t="n">
        <x:v>27.28</x:v>
      </x:c>
      <x:c r="Q45" t="n">
        <x:v>200.00058</x:v>
      </x:c>
      <x:c r="R45" t="n">
        <x:v>0.05249</x:v>
      </x:c>
      <x:c r="S45" t="n">
        <x:v>199.9793</x:v>
      </x:c>
      <x:c r="T45" t="n">
        <x:v>0.25423</x:v>
      </x:c>
      <x:c r="U45" t="n">
        <x:v>200.00634</x:v>
      </x:c>
      <x:c r="V45" t="n">
        <x:v>0.39624</x:v>
      </x:c>
      <x:c r="W45" t="n">
        <x:v>199.99847</x:v>
      </x:c>
      <x:c r="X45" t="n">
        <x:v>-0.00153</x:v>
      </x:c>
      <x:c r="Y45" t="n">
        <x:v>0.05249</x:v>
      </x:c>
      <x:c r="Z45" t="n">
        <x:v>0.25423</x:v>
      </x:c>
      <x:c r="AA45" t="n">
        <x:v>0.39624</x:v>
      </x:c>
      <x:c r="AB45" t="n">
        <x:v>0.4737</x:v>
      </x:c>
      <x:c r="AC45" t="n">
        <x:v>27.93</x:v>
      </x:c>
      <x:c r="AD45" t="str">
        <x:v>Z</x:v>
      </x:c>
      <x:c r="AE45" t="n">
        <x:v>0.05078</x:v>
      </x:c>
      <x:c r="AF45" t="n">
        <x:v>34.48</x:v>
      </x:c>
      <x:c r="AG45" t="n">
        <x:v>0.083</x:v>
      </x:c>
      <x:c r="AH45" t="n">
        <x:v>61.81</x:v>
      </x:c>
      <x:c r="AI45" t="n">
        <x:v>0.25596</x:v>
      </x:c>
      <x:c r="AJ45" t="n">
        <x:v>30.99</x:v>
      </x:c>
      <x:c r="AK45" t="n">
        <x:v>0.284</x:v>
      </x:c>
      <x:c r="AL45" t="n">
        <x:v>6.86</x:v>
      </x:c>
      <x:c r="AM45" t="n">
        <x:v>0.39264</x:v>
      </x:c>
      <x:c r="AN45" t="n">
        <x:v>35.49</x:v>
      </x:c>
      <x:c r="AO45" t="n">
        <x:v>0.549</x:v>
      </x:c>
      <x:c r="AP45" t="n">
        <x:v>2.87</x:v>
      </x:c>
      <x:c r="AQ45" t="n">
        <x:v>0.47244</x:v>
      </x:c>
      <x:c r="AR45" t="n">
        <x:v>3.31</x:v>
      </x:c>
      <x:c r="AS45" t="n">
        <x:v>0.1075</x:v>
      </x:c>
      <x:c r="AT45" t="n">
        <x:v>0.5418</x:v>
      </x:c>
      <x:c r="AU45" t="n">
        <x:v>0.8311</x:v>
      </x:c>
      <x:c r="AV45" t="n">
        <x:v>1</x:v>
      </x:c>
      <x:c r="AW45" t="n">
        <x:v>0.6518948655256724</x:v>
      </x:c>
      <x:c r="AX45" t="n">
        <x:v>0.011552928123777392</x:v>
      </x:c>
      <x:c r="AY45" t="n">
        <x:v>0.2935289096384645</x:v>
      </x:c>
      <x:c r="AZ45" t="n">
        <x:v>0.6907100265813434</x:v>
      </x:c>
    </x:row>
    <x:row r="46">
      <x:c r="A46" t="str">
        <x:v>200Hz-1</x:v>
      </x:c>
      <x:c r="B46" t="n">
        <x:v>200</x:v>
      </x:c>
      <x:c r="C46" t="n">
        <x:v>1</x:v>
      </x:c>
      <x:c r="D46" t="n">
        <x:v>5</x:v>
      </x:c>
      <x:c r="E46" t="n">
        <x:v>1</x:v>
      </x:c>
      <x:c r="F46" t="n">
        <x:v>200</x:v>
      </x:c>
      <x:c r="G46" t="n">
        <x:v>15</x:v>
      </x:c>
      <x:c r="H46" t="n">
        <x:v>159.7894</x:v>
      </x:c>
      <x:c r="I46" t="n">
        <x:v>0.27019</x:v>
      </x:c>
      <x:c r="J46" t="n">
        <x:v>25.2</x:v>
      </x:c>
      <x:c r="K46" t="n">
        <x:v>539.79741</x:v>
      </x:c>
      <x:c r="L46" t="n">
        <x:v>0.32429</x:v>
      </x:c>
      <x:c r="M46" t="n">
        <x:v>23.44</x:v>
      </x:c>
      <x:c r="N46" t="n">
        <x:v>199.97848</x:v>
      </x:c>
      <x:c r="O46" t="n">
        <x:v>0.45987</x:v>
      </x:c>
      <x:c r="P46" t="n">
        <x:v>28.63</x:v>
      </x:c>
      <x:c r="Q46" t="n">
        <x:v>200.00172</x:v>
      </x:c>
      <x:c r="R46" t="n">
        <x:v>0.07066</x:v>
      </x:c>
      <x:c r="S46" t="n">
        <x:v>200.00644</x:v>
      </x:c>
      <x:c r="T46" t="n">
        <x:v>0.29464</x:v>
      </x:c>
      <x:c r="U46" t="n">
        <x:v>199.97848</x:v>
      </x:c>
      <x:c r="V46" t="n">
        <x:v>0.45987</x:v>
      </x:c>
      <x:c r="W46" t="n">
        <x:v>199.98685</x:v>
      </x:c>
      <x:c r="X46" t="n">
        <x:v>-0.01315</x:v>
      </x:c>
      <x:c r="Y46" t="n">
        <x:v>0.07066</x:v>
      </x:c>
      <x:c r="Z46" t="n">
        <x:v>0.29464</x:v>
      </x:c>
      <x:c r="AA46" t="n">
        <x:v>0.45987</x:v>
      </x:c>
      <x:c r="AB46" t="n">
        <x:v>0.55072</x:v>
      </x:c>
      <x:c r="AC46" t="n">
        <x:v>30.81</x:v>
      </x:c>
      <x:c r="AD46" t="str">
        <x:v>Z</x:v>
      </x:c>
      <x:c r="AE46" t="n">
        <x:v>0.05981</x:v>
      </x:c>
      <x:c r="AF46" t="n">
        <x:v>57.61</x:v>
      </x:c>
      <x:c r="AG46" t="n">
        <x:v>0.097</x:v>
      </x:c>
      <x:c r="AH46" t="n">
        <x:v>51.34</x:v>
      </x:c>
      <x:c r="AI46" t="n">
        <x:v>0.26353</x:v>
      </x:c>
      <x:c r="AJ46" t="n">
        <x:v>32.12</x:v>
      </x:c>
      <x:c r="AK46" t="n">
        <x:v>0.29</x:v>
      </x:c>
      <x:c r="AL46" t="n">
        <x:v>8.27</x:v>
      </x:c>
      <x:c r="AM46" t="n">
        <x:v>0.4591</x:v>
      </x:c>
      <x:c r="AN46" t="n">
        <x:v>35.46</x:v>
      </x:c>
      <x:c r="AO46" t="n">
        <x:v>0.726</x:v>
      </x:c>
      <x:c r="AP46" t="n">
        <x:v>1.69</x:v>
      </x:c>
      <x:c r="AQ46" t="n">
        <x:v>0.53364</x:v>
      </x:c>
      <x:c r="AR46" t="n">
        <x:v>3.06</x:v>
      </x:c>
      <x:c r="AS46" t="n">
        <x:v>0.1121</x:v>
      </x:c>
      <x:c r="AT46" t="n">
        <x:v>0.4938</x:v>
      </x:c>
      <x:c r="AU46" t="n">
        <x:v>0.8603</x:v>
      </x:c>
      <x:c r="AV46" t="n">
        <x:v>1</x:v>
      </x:c>
      <x:c r="AW46" t="n">
        <x:v>0.5740143759529514</x:v>
      </x:c>
      <x:c r="AX46" t="n">
        <x:v>0.012561770474781138</x:v>
      </x:c>
      <x:c r="AY46" t="n">
        <x:v>0.2438728047456589</x:v>
      </x:c>
      <x:c r="AZ46" t="n">
        <x:v>0.7401467466865423</x:v>
      </x:c>
    </x:row>
    <x:row r="47">
      <x:c r="A47" t="str">
        <x:v>200Hz-1</x:v>
      </x:c>
      <x:c r="B47" t="n">
        <x:v>200</x:v>
      </x:c>
      <x:c r="C47" t="n">
        <x:v>1</x:v>
      </x:c>
      <x:c r="D47" t="n">
        <x:v>6</x:v>
      </x:c>
      <x:c r="E47" t="n">
        <x:v>1</x:v>
      </x:c>
      <x:c r="F47" t="n">
        <x:v>200</x:v>
      </x:c>
      <x:c r="G47" t="n">
        <x:v>16</x:v>
      </x:c>
      <x:c r="H47" t="n">
        <x:v>159.8456</x:v>
      </x:c>
      <x:c r="I47" t="n">
        <x:v>0.35034</x:v>
      </x:c>
      <x:c r="J47" t="n">
        <x:v>27.09</x:v>
      </x:c>
      <x:c r="K47" t="n">
        <x:v>159.83312</x:v>
      </x:c>
      <x:c r="L47" t="n">
        <x:v>0.31959</x:v>
      </x:c>
      <x:c r="M47" t="n">
        <x:v>23.74</x:v>
      </x:c>
      <x:c r="N47" t="n">
        <x:v>199.99897</x:v>
      </x:c>
      <x:c r="O47" t="n">
        <x:v>0.53151</x:v>
      </x:c>
      <x:c r="P47" t="n">
        <x:v>30.03</x:v>
      </x:c>
      <x:c r="Q47" t="n">
        <x:v>200.07141</x:v>
      </x:c>
      <x:c r="R47" t="n">
        <x:v>0.0807</x:v>
      </x:c>
      <x:c r="S47" t="n">
        <x:v>199.99005</x:v>
      </x:c>
      <x:c r="T47" t="n">
        <x:v>0.31386</x:v>
      </x:c>
      <x:c r="U47" t="n">
        <x:v>199.99897</x:v>
      </x:c>
      <x:c r="V47" t="n">
        <x:v>0.53151</x:v>
      </x:c>
      <x:c r="W47" t="n">
        <x:v>199.99795</x:v>
      </x:c>
      <x:c r="X47" t="n">
        <x:v>-0.00205</x:v>
      </x:c>
      <x:c r="Y47" t="n">
        <x:v>0.0807</x:v>
      </x:c>
      <x:c r="Z47" t="n">
        <x:v>0.31386</x:v>
      </x:c>
      <x:c r="AA47" t="n">
        <x:v>0.53151</x:v>
      </x:c>
      <x:c r="AB47" t="n">
        <x:v>0.62251</x:v>
      </x:c>
      <x:c r="AC47" t="n">
        <x:v>30.39</x:v>
      </x:c>
      <x:c r="AD47" t="str">
        <x:v>Z</x:v>
      </x:c>
      <x:c r="AE47" t="n">
        <x:v>0.07239</x:v>
      </x:c>
      <x:c r="AF47" t="n">
        <x:v>52.18</x:v>
      </x:c>
      <x:c r="AG47" t="n">
        <x:v>0.102</x:v>
      </x:c>
      <x:c r="AH47" t="n">
        <x:v>43.1</x:v>
      </x:c>
      <x:c r="AI47" t="n">
        <x:v>0.32561</x:v>
      </x:c>
      <x:c r="AJ47" t="n">
        <x:v>28</x:v>
      </x:c>
      <x:c r="AK47" t="n">
        <x:v>0.37</x:v>
      </x:c>
      <x:c r="AL47" t="n">
        <x:v>7.68</x:v>
      </x:c>
      <x:c r="AM47" t="n">
        <x:v>0.57644</x:v>
      </x:c>
      <x:c r="AN47" t="n">
        <x:v>35.96</x:v>
      </x:c>
      <x:c r="AO47" t="n">
        <x:v>0.799</x:v>
      </x:c>
      <x:c r="AP47" t="n">
        <x:v>3.62</x:v>
      </x:c>
      <x:c r="AQ47" t="n">
        <x:v>0.66704</x:v>
      </x:c>
      <x:c r="AR47" t="n">
        <x:v>2.57</x:v>
      </x:c>
      <x:c r="AS47" t="n">
        <x:v>0.1085</x:v>
      </x:c>
      <x:c r="AT47" t="n">
        <x:v>0.4881</x:v>
      </x:c>
      <x:c r="AU47" t="n">
        <x:v>0.8642</x:v>
      </x:c>
      <x:c r="AV47" t="n">
        <x:v>1</x:v>
      </x:c>
      <x:c r="AW47" t="n">
        <x:v>0.5648636458261052</x:v>
      </x:c>
      <x:c r="AX47" t="n">
        <x:v>0.011777507722923903</x:v>
      </x:c>
      <x:c r="AY47" t="n">
        <x:v>0.2382822613669519</x:v>
      </x:c>
      <x:c r="AZ47" t="n">
        <x:v>0.7468002651065174</x:v>
      </x:c>
    </x:row>
    <x:row r="48">
      <x:c r="A48" t="str">
        <x:v>200Hz-1</x:v>
      </x:c>
      <x:c r="B48" t="n">
        <x:v>200</x:v>
      </x:c>
      <x:c r="C48" t="n">
        <x:v>1</x:v>
      </x:c>
      <x:c r="D48" t="n">
        <x:v>7</x:v>
      </x:c>
      <x:c r="E48" t="n">
        <x:v>1</x:v>
      </x:c>
      <x:c r="F48" t="n">
        <x:v>200</x:v>
      </x:c>
      <x:c r="G48" t="n">
        <x:v>17</x:v>
      </x:c>
      <x:c r="H48" t="n">
        <x:v>159.97102</x:v>
      </x:c>
      <x:c r="I48" t="n">
        <x:v>0.40763</x:v>
      </x:c>
      <x:c r="J48" t="n">
        <x:v>26.74</x:v>
      </x:c>
      <x:c r="K48" t="n">
        <x:v>199.98974</x:v>
      </x:c>
      <x:c r="L48" t="n">
        <x:v>0.35425</x:v>
      </x:c>
      <x:c r="M48" t="n">
        <x:v>23.16</x:v>
      </x:c>
      <x:c r="N48" t="n">
        <x:v>200.01181</x:v>
      </x:c>
      <x:c r="O48" t="n">
        <x:v>0.65119</x:v>
      </x:c>
      <x:c r="P48" t="n">
        <x:v>31.14</x:v>
      </x:c>
      <x:c r="Q48" t="n">
        <x:v>199.95021</x:v>
      </x:c>
      <x:c r="R48" t="n">
        <x:v>0.09455</x:v>
      </x:c>
      <x:c r="S48" t="n">
        <x:v>199.98974</x:v>
      </x:c>
      <x:c r="T48" t="n">
        <x:v>0.35425</x:v>
      </x:c>
      <x:c r="U48" t="n">
        <x:v>200.01181</x:v>
      </x:c>
      <x:c r="V48" t="n">
        <x:v>0.65119</x:v>
      </x:c>
      <x:c r="W48" t="n">
        <x:v>200.00586</x:v>
      </x:c>
      <x:c r="X48" t="n">
        <x:v>0.00586</x:v>
      </x:c>
      <x:c r="Y48" t="n">
        <x:v>0.09455</x:v>
      </x:c>
      <x:c r="Z48" t="n">
        <x:v>0.35425</x:v>
      </x:c>
      <x:c r="AA48" t="n">
        <x:v>0.65119</x:v>
      </x:c>
      <x:c r="AB48" t="n">
        <x:v>0.74732</x:v>
      </x:c>
      <x:c r="AC48" t="n">
        <x:v>33.82</x:v>
      </x:c>
      <x:c r="AD48" t="str">
        <x:v>Z</x:v>
      </x:c>
      <x:c r="AE48" t="n">
        <x:v>0.08053</x:v>
      </x:c>
      <x:c r="AF48" t="n">
        <x:v>25.1</x:v>
      </x:c>
      <x:c r="AG48" t="n">
        <x:v>0.095</x:v>
      </x:c>
      <x:c r="AH48" t="n">
        <x:v>51.4</x:v>
      </x:c>
      <x:c r="AI48" t="n">
        <x:v>0.33987</x:v>
      </x:c>
      <x:c r="AJ48" t="n">
        <x:v>29.74</x:v>
      </x:c>
      <x:c r="AK48" t="n">
        <x:v>0.338</x:v>
      </x:c>
      <x:c r="AL48" t="n">
        <x:v>10.45</x:v>
      </x:c>
      <x:c r="AM48" t="n">
        <x:v>0.6581</x:v>
      </x:c>
      <x:c r="AN48" t="n">
        <x:v>34.54</x:v>
      </x:c>
      <x:c r="AO48" t="n">
        <x:v>0.806</x:v>
      </x:c>
      <x:c r="AP48" t="n">
        <x:v>5.32</x:v>
      </x:c>
      <x:c r="AQ48" t="n">
        <x:v>0.74663</x:v>
      </x:c>
      <x:c r="AR48" t="n">
        <x:v>4.75</x:v>
      </x:c>
      <x:c r="AS48" t="n">
        <x:v>0.1079</x:v>
      </x:c>
      <x:c r="AT48" t="n">
        <x:v>0.4552</x:v>
      </x:c>
      <x:c r="AU48" t="n">
        <x:v>0.8814</x:v>
      </x:c>
      <x:c r="AV48" t="n">
        <x:v>1</x:v>
      </x:c>
      <x:c r="AW48" t="n">
        <x:v>0.516441270323659</x:v>
      </x:c>
      <x:c r="AX48" t="n">
        <x:v>0.01163334280743225</x:v>
      </x:c>
      <x:c r="AY48" t="n">
        <x:v>0.2072119466757129</x:v>
      </x:c>
      <x:c r="AZ48" t="n">
        <x:v>0.7769139317173333</x:v>
      </x:c>
    </x:row>
    <x:row r="49">
      <x:c r="A49" t="str">
        <x:v>200Hz-1</x:v>
      </x:c>
      <x:c r="B49" t="n">
        <x:v>200</x:v>
      </x:c>
      <x:c r="C49" t="n">
        <x:v>1</x:v>
      </x:c>
      <x:c r="D49" t="n">
        <x:v>8</x:v>
      </x:c>
      <x:c r="E49" t="n">
        <x:v>1</x:v>
      </x:c>
      <x:c r="F49" t="n">
        <x:v>200</x:v>
      </x:c>
      <x:c r="G49" t="n">
        <x:v>18</x:v>
      </x:c>
      <x:c r="H49" t="n">
        <x:v>159.68619</x:v>
      </x:c>
      <x:c r="I49" t="n">
        <x:v>0.31872</x:v>
      </x:c>
      <x:c r="J49" t="n">
        <x:v>26.45</x:v>
      </x:c>
      <x:c r="K49" t="n">
        <x:v>199.98437</x:v>
      </x:c>
      <x:c r="L49" t="n">
        <x:v>0.36863</x:v>
      </x:c>
      <x:c r="M49" t="n">
        <x:v>25.68</x:v>
      </x:c>
      <x:c r="N49" t="n">
        <x:v>200.01337</x:v>
      </x:c>
      <x:c r="O49" t="n">
        <x:v>0.72982</x:v>
      </x:c>
      <x:c r="P49" t="n">
        <x:v>31.83</x:v>
      </x:c>
      <x:c r="Q49" t="n">
        <x:v>200.05895</x:v>
      </x:c>
      <x:c r="R49" t="n">
        <x:v>0.10194</x:v>
      </x:c>
      <x:c r="S49" t="n">
        <x:v>199.98437</x:v>
      </x:c>
      <x:c r="T49" t="n">
        <x:v>0.36863</x:v>
      </x:c>
      <x:c r="U49" t="n">
        <x:v>200.01337</x:v>
      </x:c>
      <x:c r="V49" t="n">
        <x:v>0.72982</x:v>
      </x:c>
      <x:c r="W49" t="n">
        <x:v>200.00827</x:v>
      </x:c>
      <x:c r="X49" t="n">
        <x:v>0.00827</x:v>
      </x:c>
      <x:c r="Y49" t="n">
        <x:v>0.10194</x:v>
      </x:c>
      <x:c r="Z49" t="n">
        <x:v>0.36863</x:v>
      </x:c>
      <x:c r="AA49" t="n">
        <x:v>0.72982</x:v>
      </x:c>
      <x:c r="AB49" t="n">
        <x:v>0.82396</x:v>
      </x:c>
      <x:c r="AC49" t="n">
        <x:v>34.08</x:v>
      </x:c>
      <x:c r="AD49" t="str">
        <x:v>Z</x:v>
      </x:c>
      <x:c r="AE49" t="n">
        <x:v>0.08634</x:v>
      </x:c>
      <x:c r="AF49" t="n">
        <x:v>38.83</x:v>
      </x:c>
      <x:c r="AG49" t="n">
        <x:v>0.14</x:v>
      </x:c>
      <x:c r="AH49" t="n">
        <x:v>45.7</x:v>
      </x:c>
      <x:c r="AI49" t="n">
        <x:v>0.36142</x:v>
      </x:c>
      <x:c r="AJ49" t="n">
        <x:v>31.8</x:v>
      </x:c>
      <x:c r="AK49" t="n">
        <x:v>0.469</x:v>
      </x:c>
      <x:c r="AL49" t="n">
        <x:v>6.2</x:v>
      </x:c>
      <x:c r="AM49" t="n">
        <x:v>0.74436</x:v>
      </x:c>
      <x:c r="AN49" t="n">
        <x:v>31.23</x:v>
      </x:c>
      <x:c r="AO49" t="n">
        <x:v>0.801</x:v>
      </x:c>
      <x:c r="AP49" t="n">
        <x:v>4.66</x:v>
      </x:c>
      <x:c r="AQ49" t="n">
        <x:v>0.83294</x:v>
      </x:c>
      <x:c r="AR49" t="n">
        <x:v>4.19</x:v>
      </x:c>
      <x:c r="AS49" t="n">
        <x:v>0.1037</x:v>
      </x:c>
      <x:c r="AT49" t="n">
        <x:v>0.4339</x:v>
      </x:c>
      <x:c r="AU49" t="n">
        <x:v>0.8937</x:v>
      </x:c>
      <x:c r="AV49" t="n">
        <x:v>1</x:v>
      </x:c>
      <x:c r="AW49" t="n">
        <x:v>0.4855446289429846</x:v>
      </x:c>
      <x:c r="AX49" t="n">
        <x:v>0.010744758322095819</x:v>
      </x:c>
      <x:c r="AY49" t="n">
        <x:v>0.1882768510182913</x:v>
      </x:c>
      <x:c r="AZ49" t="n">
        <x:v>0.7986171224684933</x:v>
      </x:c>
    </x:row>
    <x:row r="50">
      <x:c r="A50" t="str">
        <x:v>200Hz-1</x:v>
      </x:c>
      <x:c r="B50" t="n">
        <x:v>200</x:v>
      </x:c>
      <x:c r="C50" t="n">
        <x:v>1</x:v>
      </x:c>
      <x:c r="D50" t="n">
        <x:v>9</x:v>
      </x:c>
      <x:c r="E50" t="n">
        <x:v>1</x:v>
      </x:c>
      <x:c r="F50" t="n">
        <x:v>200</x:v>
      </x:c>
      <x:c r="G50" t="n">
        <x:v>19</x:v>
      </x:c>
      <x:c r="H50" t="n">
        <x:v>360.0232</x:v>
      </x:c>
      <x:c r="I50" t="n">
        <x:v>0.22864</x:v>
      </x:c>
      <x:c r="J50" t="n">
        <x:v>23.3</x:v>
      </x:c>
      <x:c r="K50" t="n">
        <x:v>200.00909</x:v>
      </x:c>
      <x:c r="L50" t="n">
        <x:v>0.38041</x:v>
      </x:c>
      <x:c r="M50" t="n">
        <x:v>25.69</x:v>
      </x:c>
      <x:c r="N50" t="n">
        <x:v>199.99451</x:v>
      </x:c>
      <x:c r="O50" t="n">
        <x:v>0.82296</x:v>
      </x:c>
      <x:c r="P50" t="n">
        <x:v>32.88</x:v>
      </x:c>
      <x:c r="Q50" t="n">
        <x:v>200.02054</x:v>
      </x:c>
      <x:c r="R50" t="n">
        <x:v>0.103</x:v>
      </x:c>
      <x:c r="S50" t="n">
        <x:v>200.00909</x:v>
      </x:c>
      <x:c r="T50" t="n">
        <x:v>0.38041</x:v>
      </x:c>
      <x:c r="U50" t="n">
        <x:v>199.99451</x:v>
      </x:c>
      <x:c r="V50" t="n">
        <x:v>0.82296</x:v>
      </x:c>
      <x:c r="W50" t="n">
        <x:v>199.99738</x:v>
      </x:c>
      <x:c r="X50" t="n">
        <x:v>-0.00262</x:v>
      </x:c>
      <x:c r="Y50" t="n">
        <x:v>0.103</x:v>
      </x:c>
      <x:c r="Z50" t="n">
        <x:v>0.38041</x:v>
      </x:c>
      <x:c r="AA50" t="n">
        <x:v>0.82296</x:v>
      </x:c>
      <x:c r="AB50" t="n">
        <x:v>0.91246</x:v>
      </x:c>
      <x:c r="AC50" t="n">
        <x:v>33.45</x:v>
      </x:c>
      <x:c r="AD50" t="str">
        <x:v>Z</x:v>
      </x:c>
      <x:c r="AE50" t="n">
        <x:v>0.09599</x:v>
      </x:c>
      <x:c r="AF50" t="n">
        <x:v>33.26</x:v>
      </x:c>
      <x:c r="AG50" t="n">
        <x:v>0.169</x:v>
      </x:c>
      <x:c r="AH50" t="n">
        <x:v>19.54</x:v>
      </x:c>
      <x:c r="AI50" t="n">
        <x:v>0.39477</x:v>
      </x:c>
      <x:c r="AJ50" t="n">
        <x:v>29.34</x:v>
      </x:c>
      <x:c r="AK50" t="n">
        <x:v>0.486</x:v>
      </x:c>
      <x:c r="AL50" t="n">
        <x:v>7.48</x:v>
      </x:c>
      <x:c r="AM50" t="n">
        <x:v>0.81241</x:v>
      </x:c>
      <x:c r="AN50" t="n">
        <x:v>32.61</x:v>
      </x:c>
      <x:c r="AO50" t="n">
        <x:v>0.846</x:v>
      </x:c>
      <x:c r="AP50" t="n">
        <x:v>2.73</x:v>
      </x:c>
      <x:c r="AQ50" t="n">
        <x:v>0.90882</x:v>
      </x:c>
      <x:c r="AR50" t="n">
        <x:v>2.7</x:v>
      </x:c>
      <x:c r="AS50" t="n">
        <x:v>0.1056</x:v>
      </x:c>
      <x:c r="AT50" t="n">
        <x:v>0.4344</x:v>
      </x:c>
      <x:c r="AU50" t="n">
        <x:v>0.8939</x:v>
      </x:c>
      <x:c r="AV50" t="n">
        <x:v>1</x:v>
      </x:c>
      <x:c r="AW50" t="n">
        <x:v>0.48592459472433874</x:v>
      </x:c>
      <x:c r="AX50" t="n">
        <x:v>0.011155684718422756</x:v>
      </x:c>
      <x:c r="AY50" t="n">
        <x:v>0.18868289525877843</x:v>
      </x:c>
      <x:c r="AZ50" t="n">
        <x:v>0.799088295462859</x:v>
      </x:c>
    </x:row>
    <x:row r="51">
      <x:c r="A51" t="str">
        <x:v>200Hz-1</x:v>
      </x:c>
      <x:c r="B51" t="n">
        <x:v>200</x:v>
      </x:c>
      <x:c r="C51" t="n">
        <x:v>1</x:v>
      </x:c>
      <x:c r="D51" t="n">
        <x:v>10</x:v>
      </x:c>
      <x:c r="E51" t="n">
        <x:v>1</x:v>
      </x:c>
      <x:c r="F51" t="n">
        <x:v>200</x:v>
      </x:c>
      <x:c r="G51" t="n">
        <x:v>20</x:v>
      </x:c>
      <x:c r="H51" t="n">
        <x:v>220.15505</x:v>
      </x:c>
      <x:c r="I51" t="n">
        <x:v>0.30713</x:v>
      </x:c>
      <x:c r="J51" t="n">
        <x:v>25.22</x:v>
      </x:c>
      <x:c r="K51" t="n">
        <x:v>539.86899</x:v>
      </x:c>
      <x:c r="L51" t="n">
        <x:v>0.48981</x:v>
      </x:c>
      <x:c r="M51" t="n">
        <x:v>25.96</x:v>
      </x:c>
      <x:c r="N51" t="n">
        <x:v>199.99488</x:v>
      </x:c>
      <x:c r="O51" t="n">
        <x:v>0.90982</x:v>
      </x:c>
      <x:c r="P51" t="n">
        <x:v>33.04</x:v>
      </x:c>
      <x:c r="Q51" t="n">
        <x:v>200.03706</x:v>
      </x:c>
      <x:c r="R51" t="n">
        <x:v>0.11752</x:v>
      </x:c>
      <x:c r="S51" t="n">
        <x:v>200.00479</x:v>
      </x:c>
      <x:c r="T51" t="n">
        <x:v>0.38451</x:v>
      </x:c>
      <x:c r="U51" t="n">
        <x:v>199.99488</x:v>
      </x:c>
      <x:c r="V51" t="n">
        <x:v>0.90982</x:v>
      </x:c>
      <x:c r="W51" t="n">
        <x:v>199.99696</x:v>
      </x:c>
      <x:c r="X51" t="n">
        <x:v>-0.00304</x:v>
      </x:c>
      <x:c r="Y51" t="n">
        <x:v>0.11752</x:v>
      </x:c>
      <x:c r="Z51" t="n">
        <x:v>0.38451</x:v>
      </x:c>
      <x:c r="AA51" t="n">
        <x:v>0.90982</x:v>
      </x:c>
      <x:c r="AB51" t="n">
        <x:v>0.9947</x:v>
      </x:c>
      <x:c r="AC51" t="n">
        <x:v>35.53</x:v>
      </x:c>
      <x:c r="AD51" t="str">
        <x:v>Z</x:v>
      </x:c>
      <x:c r="AE51" t="n">
        <x:v>0.1149</x:v>
      </x:c>
      <x:c r="AF51" t="n">
        <x:v>38.59</x:v>
      </x:c>
      <x:c r="AG51" t="n">
        <x:v>0.165</x:v>
      </x:c>
      <x:c r="AH51" t="n">
        <x:v>37.87</x:v>
      </x:c>
      <x:c r="AI51" t="n">
        <x:v>0.36147</x:v>
      </x:c>
      <x:c r="AJ51" t="n">
        <x:v>32.76</x:v>
      </x:c>
      <x:c r="AK51" t="n">
        <x:v>0.321</x:v>
      </x:c>
      <x:c r="AL51" t="n">
        <x:v>7.79</x:v>
      </x:c>
      <x:c r="AM51" t="n">
        <x:v>0.96775</x:v>
      </x:c>
      <x:c r="AN51" t="n">
        <x:v>27.48</x:v>
      </x:c>
      <x:c r="AO51" t="n">
        <x:v>0.813</x:v>
      </x:c>
      <x:c r="AP51" t="n">
        <x:v>1.68</x:v>
      </x:c>
      <x:c r="AQ51" t="n">
        <x:v>1.0405</x:v>
      </x:c>
      <x:c r="AR51" t="n">
        <x:v>1.13</x:v>
      </x:c>
      <x:c r="AS51" t="n">
        <x:v>0.1104</x:v>
      </x:c>
      <x:c r="AT51" t="n">
        <x:v>0.3474</x:v>
      </x:c>
      <x:c r="AU51" t="n">
        <x:v>0.9301</x:v>
      </x:c>
      <x:c r="AV51" t="n">
        <x:v>1</x:v>
      </x:c>
      <x:c r="AW51" t="n">
        <x:v>0.37351588736760527</x:v>
      </x:c>
      <x:c r="AX51" t="n">
        <x:v>0.012194272289433173</x:v>
      </x:c>
      <x:c r="AY51" t="n">
        <x:v>0.12068696032684913</x:v>
      </x:c>
      <x:c r="AZ51" t="n">
        <x:v>0.8650519528532217</x:v>
      </x:c>
    </x:row>
    <x:row r="52">
      <x:c r="A52" t="str">
        <x:v>225Hz-1</x:v>
      </x:c>
      <x:c r="B52" t="n">
        <x:v>225</x:v>
      </x:c>
      <x:c r="C52" t="n">
        <x:v>1</x:v>
      </x:c>
      <x:c r="D52" t="n">
        <x:v>1</x:v>
      </x:c>
      <x:c r="E52" t="n">
        <x:v>1</x:v>
      </x:c>
      <x:c r="F52" t="n">
        <x:v>225</x:v>
      </x:c>
      <x:c r="G52" t="n">
        <x:v>11</x:v>
      </x:c>
      <x:c r="H52" t="n">
        <x:v>234.04453</x:v>
      </x:c>
      <x:c r="I52" t="n">
        <x:v>0.36134</x:v>
      </x:c>
      <x:c r="J52" t="n">
        <x:v>23.67</x:v>
      </x:c>
      <x:c r="K52" t="n">
        <x:v>224.99186</x:v>
      </x:c>
      <x:c r="L52" t="n">
        <x:v>0.45205</x:v>
      </x:c>
      <x:c r="M52" t="n">
        <x:v>22.45</x:v>
      </x:c>
      <x:c r="N52" t="n">
        <x:v>224.99856</x:v>
      </x:c>
      <x:c r="O52" t="n">
        <x:v>0.58207</x:v>
      </x:c>
      <x:c r="P52" t="n">
        <x:v>29.57</x:v>
      </x:c>
      <x:c r="Q52" t="n">
        <x:v>233.59375</x:v>
      </x:c>
      <x:c r="R52" t="n">
        <x:v>0.2546</x:v>
      </x:c>
      <x:c r="S52" t="n">
        <x:v>224.99186</x:v>
      </x:c>
      <x:c r="T52" t="n">
        <x:v>0.45205</x:v>
      </x:c>
      <x:c r="U52" t="n">
        <x:v>224.99856</x:v>
      </x:c>
      <x:c r="V52" t="n">
        <x:v>0.58207</x:v>
      </x:c>
      <x:c r="W52" t="n">
        <x:v>224.996</x:v>
      </x:c>
      <x:c r="X52" t="n">
        <x:v>-0.004</x:v>
      </x:c>
      <x:c r="Y52" t="n">
        <x:v>0.07481</x:v>
      </x:c>
      <x:c r="Z52" t="n">
        <x:v>0.45205</x:v>
      </x:c>
      <x:c r="AA52" t="n">
        <x:v>0.58207</x:v>
      </x:c>
      <x:c r="AB52" t="n">
        <x:v>0.74078</x:v>
      </x:c>
      <x:c r="AC52" t="n">
        <x:v>17.13</x:v>
      </x:c>
      <x:c r="AD52" t="str">
        <x:v>Z</x:v>
      </x:c>
      <x:c r="AE52" t="n">
        <x:v>0.08634</x:v>
      </x:c>
      <x:c r="AF52" t="n">
        <x:v>40.47</x:v>
      </x:c>
      <x:c r="AG52" t="n">
        <x:v>0.115</x:v>
      </x:c>
      <x:c r="AH52" t="n">
        <x:v>14.61</x:v>
      </x:c>
      <x:c r="AI52" t="n">
        <x:v>0.45456</x:v>
      </x:c>
      <x:c r="AJ52" t="n">
        <x:v>22</x:v>
      </x:c>
      <x:c r="AK52" t="n">
        <x:v>0.433</x:v>
      </x:c>
      <x:c r="AL52" t="n">
        <x:v>2.4</x:v>
      </x:c>
      <x:c r="AM52" t="n">
        <x:v>0.58005</x:v>
      </x:c>
      <x:c r="AN52" t="n">
        <x:v>27.98</x:v>
      </x:c>
      <x:c r="AO52" t="n">
        <x:v>0.747</x:v>
      </x:c>
      <x:c r="AP52" t="n">
        <x:v>2.91</x:v>
      </x:c>
      <x:c r="AQ52" t="n">
        <x:v>0.74219</x:v>
      </x:c>
      <x:c r="AR52" t="n">
        <x:v>1.8</x:v>
      </x:c>
      <x:c r="AS52" t="n">
        <x:v>0.1163</x:v>
      </x:c>
      <x:c r="AT52" t="n">
        <x:v>0.6125</x:v>
      </x:c>
      <x:c r="AU52" t="n">
        <x:v>0.7815</x:v>
      </x:c>
      <x:c r="AV52" t="n">
        <x:v>1</x:v>
      </x:c>
      <x:c r="AW52" t="n">
        <x:v>0.7836565813291958</x:v>
      </x:c>
      <x:c r="AX52" t="n">
        <x:v>0.013532994072351756</x:v>
      </x:c>
      <x:c r="AY52" t="n">
        <x:v>0.3751044666983284</x:v>
      </x:c>
      <x:c r="AZ52" t="n">
        <x:v>0.6108023020628794</x:v>
      </x:c>
    </x:row>
    <x:row r="53">
      <x:c r="A53" t="str">
        <x:v>225Hz-1</x:v>
      </x:c>
      <x:c r="B53" t="n">
        <x:v>225</x:v>
      </x:c>
      <x:c r="C53" t="n">
        <x:v>1</x:v>
      </x:c>
      <x:c r="D53" t="n">
        <x:v>2</x:v>
      </x:c>
      <x:c r="E53" t="n">
        <x:v>1</x:v>
      </x:c>
      <x:c r="F53" t="n">
        <x:v>225</x:v>
      </x:c>
      <x:c r="G53" t="n">
        <x:v>12</x:v>
      </x:c>
      <x:c r="H53" t="n">
        <x:v>234.13053</x:v>
      </x:c>
      <x:c r="I53" t="n">
        <x:v>0.33257</x:v>
      </x:c>
      <x:c r="J53" t="n">
        <x:v>22.96</x:v>
      </x:c>
      <x:c r="K53" t="n">
        <x:v>224.99251</x:v>
      </x:c>
      <x:c r="L53" t="n">
        <x:v>0.48735</x:v>
      </x:c>
      <x:c r="M53" t="n">
        <x:v>22.6</x:v>
      </x:c>
      <x:c r="N53" t="n">
        <x:v>225.01469</x:v>
      </x:c>
      <x:c r="O53" t="n">
        <x:v>0.62897</x:v>
      </x:c>
      <x:c r="P53" t="n">
        <x:v>30.5</x:v>
      </x:c>
      <x:c r="Q53" t="n">
        <x:v>233.59375</x:v>
      </x:c>
      <x:c r="R53" t="n">
        <x:v>0.20974</x:v>
      </x:c>
      <x:c r="S53" t="n">
        <x:v>224.99251</x:v>
      </x:c>
      <x:c r="T53" t="n">
        <x:v>0.48735</x:v>
      </x:c>
      <x:c r="U53" t="n">
        <x:v>225.01469</x:v>
      </x:c>
      <x:c r="V53" t="n">
        <x:v>0.62897</x:v>
      </x:c>
      <x:c r="W53" t="n">
        <x:v>225.00659</x:v>
      </x:c>
      <x:c r="X53" t="n">
        <x:v>0.00659</x:v>
      </x:c>
      <x:c r="Y53" t="n">
        <x:v>0.09272</x:v>
      </x:c>
      <x:c r="Z53" t="n">
        <x:v>0.48735</x:v>
      </x:c>
      <x:c r="AA53" t="n">
        <x:v>0.62897</x:v>
      </x:c>
      <x:c r="AB53" t="n">
        <x:v>0.80107</x:v>
      </x:c>
      <x:c r="AC53" t="n">
        <x:v>18.35</x:v>
      </x:c>
      <x:c r="AD53" t="str">
        <x:v>Z</x:v>
      </x:c>
      <x:c r="AE53" t="n">
        <x:v>0.07796</x:v>
      </x:c>
      <x:c r="AF53" t="n">
        <x:v>37.51</x:v>
      </x:c>
      <x:c r="AG53" t="n">
        <x:v>0.104</x:v>
      </x:c>
      <x:c r="AH53" t="n">
        <x:v>16.48</x:v>
      </x:c>
      <x:c r="AI53" t="n">
        <x:v>0.48442</x:v>
      </x:c>
      <x:c r="AJ53" t="n">
        <x:v>20.61</x:v>
      </x:c>
      <x:c r="AK53" t="n">
        <x:v>0.448</x:v>
      </x:c>
      <x:c r="AL53" t="n">
        <x:v>4.23</x:v>
      </x:c>
      <x:c r="AM53" t="n">
        <x:v>0.64528</x:v>
      </x:c>
      <x:c r="AN53" t="n">
        <x:v>27.92</x:v>
      </x:c>
      <x:c r="AO53" t="n">
        <x:v>0.782</x:v>
      </x:c>
      <x:c r="AP53" t="n">
        <x:v>2.28</x:v>
      </x:c>
      <x:c r="AQ53" t="n">
        <x:v>0.81097</x:v>
      </x:c>
      <x:c r="AR53" t="n">
        <x:v>1.38</x:v>
      </x:c>
      <x:c r="AS53" t="n">
        <x:v>0.0961</x:v>
      </x:c>
      <x:c r="AT53" t="n">
        <x:v>0.5973</x:v>
      </x:c>
      <x:c r="AU53" t="n">
        <x:v>0.7957</x:v>
      </x:c>
      <x:c r="AV53" t="n">
        <x:v>1</x:v>
      </x:c>
      <x:c r="AW53" t="n">
        <x:v>0.750712868832135</x:v>
      </x:c>
      <x:c r="AX53" t="n">
        <x:v>0.009241321585278791</x:v>
      </x:c>
      <x:c r="AY53" t="n">
        <x:v>0.35680797534965947</x:v>
      </x:c>
      <x:c r="AZ53" t="n">
        <x:v>0.6331211646063616</x:v>
      </x:c>
    </x:row>
    <x:row r="54">
      <x:c r="A54" t="str">
        <x:v>225Hz-1</x:v>
      </x:c>
      <x:c r="B54" t="n">
        <x:v>225</x:v>
      </x:c>
      <x:c r="C54" t="n">
        <x:v>1</x:v>
      </x:c>
      <x:c r="D54" t="n">
        <x:v>3</x:v>
      </x:c>
      <x:c r="E54" t="n">
        <x:v>1</x:v>
      </x:c>
      <x:c r="F54" t="n">
        <x:v>225</x:v>
      </x:c>
      <x:c r="G54" t="n">
        <x:v>13</x:v>
      </x:c>
      <x:c r="H54" t="n">
        <x:v>234.17982</x:v>
      </x:c>
      <x:c r="I54" t="n">
        <x:v>0.37297</x:v>
      </x:c>
      <x:c r="J54" t="n">
        <x:v>23.69</x:v>
      </x:c>
      <x:c r="K54" t="n">
        <x:v>224.99707</x:v>
      </x:c>
      <x:c r="L54" t="n">
        <x:v>0.52022</x:v>
      </x:c>
      <x:c r="M54" t="n">
        <x:v>23.94</x:v>
      </x:c>
      <x:c r="N54" t="n">
        <x:v>225.00284</x:v>
      </x:c>
      <x:c r="O54" t="n">
        <x:v>0.70759</x:v>
      </x:c>
      <x:c r="P54" t="n">
        <x:v>31.51</x:v>
      </x:c>
      <x:c r="Q54" t="n">
        <x:v>233.59375</x:v>
      </x:c>
      <x:c r="R54" t="n">
        <x:v>0.21806</x:v>
      </x:c>
      <x:c r="S54" t="n">
        <x:v>224.99707</x:v>
      </x:c>
      <x:c r="T54" t="n">
        <x:v>0.52022</x:v>
      </x:c>
      <x:c r="U54" t="n">
        <x:v>225.00284</x:v>
      </x:c>
      <x:c r="V54" t="n">
        <x:v>0.70759</x:v>
      </x:c>
      <x:c r="W54" t="n">
        <x:v>225.0008</x:v>
      </x:c>
      <x:c r="X54" t="n">
        <x:v>0.0008</x:v>
      </x:c>
      <x:c r="Y54" t="n">
        <x:v>0.09697</x:v>
      </x:c>
      <x:c r="Z54" t="n">
        <x:v>0.52022</x:v>
      </x:c>
      <x:c r="AA54" t="n">
        <x:v>0.70759</x:v>
      </x:c>
      <x:c r="AB54" t="n">
        <x:v>0.88359</x:v>
      </x:c>
      <x:c r="AC54" t="n">
        <x:v>20.02</x:v>
      </x:c>
      <x:c r="AD54" t="str">
        <x:v>Z</x:v>
      </x:c>
      <x:c r="AE54" t="n">
        <x:v>0.09365</x:v>
      </x:c>
      <x:c r="AF54" t="n">
        <x:v>33.67</x:v>
      </x:c>
      <x:c r="AG54" t="n">
        <x:v>0.119</x:v>
      </x:c>
      <x:c r="AH54" t="n">
        <x:v>23.83</x:v>
      </x:c>
      <x:c r="AI54" t="n">
        <x:v>0.51742</x:v>
      </x:c>
      <x:c r="AJ54" t="n">
        <x:v>19.94</x:v>
      </x:c>
      <x:c r="AK54" t="n">
        <x:v>0.491</x:v>
      </x:c>
      <x:c r="AL54" t="n">
        <x:v>2.08</x:v>
      </x:c>
      <x:c r="AM54" t="n">
        <x:v>0.69711</x:v>
      </x:c>
      <x:c r="AN54" t="n">
        <x:v>28.23</x:v>
      </x:c>
      <x:c r="AO54" t="n">
        <x:v>0.82</x:v>
      </x:c>
      <x:c r="AP54" t="n">
        <x:v>1.62</x:v>
      </x:c>
      <x:c r="AQ54" t="n">
        <x:v>0.87343</x:v>
      </x:c>
      <x:c r="AR54" t="n">
        <x:v>1.63</x:v>
      </x:c>
      <x:c r="AS54" t="n">
        <x:v>0.1072</x:v>
      </x:c>
      <x:c r="AT54" t="n">
        <x:v>0.5924</x:v>
      </x:c>
      <x:c r="AU54" t="n">
        <x:v>0.7981</x:v>
      </x:c>
      <x:c r="AV54" t="n">
        <x:v>1</x:v>
      </x:c>
      <x:c r="AW54" t="n">
        <x:v>0.74223580209723</x:v>
      </x:c>
      <x:c r="AX54" t="n">
        <x:v>0.01149633350398661</x:v>
      </x:c>
      <x:c r="AY54" t="n">
        <x:v>0.3509378522413992</x:v>
      </x:c>
      <x:c r="AZ54" t="n">
        <x:v>0.6370102433660071</x:v>
      </x:c>
    </x:row>
    <x:row r="55">
      <x:c r="A55" t="str">
        <x:v>225Hz-1</x:v>
      </x:c>
      <x:c r="B55" t="n">
        <x:v>225</x:v>
      </x:c>
      <x:c r="C55" t="n">
        <x:v>1</x:v>
      </x:c>
      <x:c r="D55" t="n">
        <x:v>4</x:v>
      </x:c>
      <x:c r="E55" t="n">
        <x:v>1</x:v>
      </x:c>
      <x:c r="F55" t="n">
        <x:v>225</x:v>
      </x:c>
      <x:c r="G55" t="n">
        <x:v>14</x:v>
      </x:c>
      <x:c r="H55" t="n">
        <x:v>234.1649</x:v>
      </x:c>
      <x:c r="I55" t="n">
        <x:v>0.31615</x:v>
      </x:c>
      <x:c r="J55" t="n">
        <x:v>22.02</x:v>
      </x:c>
      <x:c r="K55" t="n">
        <x:v>224.99294</x:v>
      </x:c>
      <x:c r="L55" t="n">
        <x:v>0.55335</x:v>
      </x:c>
      <x:c r="M55" t="n">
        <x:v>24.63</x:v>
      </x:c>
      <x:c r="N55" t="n">
        <x:v>224.99056</x:v>
      </x:c>
      <x:c r="O55" t="n">
        <x:v>0.74454</x:v>
      </x:c>
      <x:c r="P55" t="n">
        <x:v>31.43</x:v>
      </x:c>
      <x:c r="Q55" t="n">
        <x:v>233.59375</x:v>
      </x:c>
      <x:c r="R55" t="n">
        <x:v>0.18957</x:v>
      </x:c>
      <x:c r="S55" t="n">
        <x:v>224.99294</x:v>
      </x:c>
      <x:c r="T55" t="n">
        <x:v>0.55335</x:v>
      </x:c>
      <x:c r="U55" t="n">
        <x:v>224.99056</x:v>
      </x:c>
      <x:c r="V55" t="n">
        <x:v>0.74454</x:v>
      </x:c>
      <x:c r="W55" t="n">
        <x:v>224.99132</x:v>
      </x:c>
      <x:c r="X55" t="n">
        <x:v>-0.00868</x:v>
      </x:c>
      <x:c r="Y55" t="n">
        <x:v>0.09237</x:v>
      </x:c>
      <x:c r="Z55" t="n">
        <x:v>0.55335</x:v>
      </x:c>
      <x:c r="AA55" t="n">
        <x:v>0.74454</x:v>
      </x:c>
      <x:c r="AB55" t="n">
        <x:v>0.93223</x:v>
      </x:c>
      <x:c r="AC55" t="n">
        <x:v>19.05</x:v>
      </x:c>
      <x:c r="AD55" t="str">
        <x:v>Z</x:v>
      </x:c>
      <x:c r="AE55" t="n">
        <x:v>0.08533</x:v>
      </x:c>
      <x:c r="AF55" t="n">
        <x:v>30.93</x:v>
      </x:c>
      <x:c r="AG55" t="n">
        <x:v>0.108</x:v>
      </x:c>
      <x:c r="AH55" t="n">
        <x:v>24.29</x:v>
      </x:c>
      <x:c r="AI55" t="n">
        <x:v>0.55337</x:v>
      </x:c>
      <x:c r="AJ55" t="n">
        <x:v>19.56</x:v>
      </x:c>
      <x:c r="AK55" t="n">
        <x:v>0.538</x:v>
      </x:c>
      <x:c r="AL55" t="n">
        <x:v>4.04</x:v>
      </x:c>
      <x:c r="AM55" t="n">
        <x:v>0.76407</x:v>
      </x:c>
      <x:c r="AN55" t="n">
        <x:v>28.35</x:v>
      </x:c>
      <x:c r="AO55" t="n">
        <x:v>0.851</x:v>
      </x:c>
      <x:c r="AP55" t="n">
        <x:v>1.6</x:v>
      </x:c>
      <x:c r="AQ55" t="n">
        <x:v>0.9475</x:v>
      </x:c>
      <x:c r="AR55" t="n">
        <x:v>2.39</x:v>
      </x:c>
      <x:c r="AS55" t="n">
        <x:v>0.0901</x:v>
      </x:c>
      <x:c r="AT55" t="n">
        <x:v>0.584</x:v>
      </x:c>
      <x:c r="AU55" t="n">
        <x:v>0.8064</x:v>
      </x:c>
      <x:c r="AV55" t="n">
        <x:v>1</x:v>
      </x:c>
      <x:c r="AW55" t="n">
        <x:v>0.7242399256612614</x:v>
      </x:c>
      <x:c r="AX55" t="n">
        <x:v>0.008110451918324156</x:v>
      </x:c>
      <x:c r="AY55" t="n">
        <x:v>0.3410929825328423</x:v>
      </x:c>
      <x:c r="AZ55" t="n">
        <x:v>0.6502911730216303</x:v>
      </x:c>
    </x:row>
    <x:row r="56">
      <x:c r="A56" t="str">
        <x:v>225Hz-1</x:v>
      </x:c>
      <x:c r="B56" t="n">
        <x:v>225</x:v>
      </x:c>
      <x:c r="C56" t="n">
        <x:v>1</x:v>
      </x:c>
      <x:c r="D56" t="n">
        <x:v>5</x:v>
      </x:c>
      <x:c r="E56" t="n">
        <x:v>1</x:v>
      </x:c>
      <x:c r="F56" t="n">
        <x:v>225</x:v>
      </x:c>
      <x:c r="G56" t="n">
        <x:v>15</x:v>
      </x:c>
      <x:c r="H56" t="n">
        <x:v>234.25424</x:v>
      </x:c>
      <x:c r="I56" t="n">
        <x:v>0.29665</x:v>
      </x:c>
      <x:c r="J56" t="n">
        <x:v>21.62</x:v>
      </x:c>
      <x:c r="K56" t="n">
        <x:v>225.00037</x:v>
      </x:c>
      <x:c r="L56" t="n">
        <x:v>0.58592</x:v>
      </x:c>
      <x:c r="M56" t="n">
        <x:v>24.96</x:v>
      </x:c>
      <x:c r="N56" t="n">
        <x:v>224.98988</x:v>
      </x:c>
      <x:c r="O56" t="n">
        <x:v>0.82436</x:v>
      </x:c>
      <x:c r="P56" t="n">
        <x:v>32.31</x:v>
      </x:c>
      <x:c r="Q56" t="n">
        <x:v>232.03125</x:v>
      </x:c>
      <x:c r="R56" t="n">
        <x:v>0.15319</x:v>
      </x:c>
      <x:c r="S56" t="n">
        <x:v>225.00037</x:v>
      </x:c>
      <x:c r="T56" t="n">
        <x:v>0.58592</x:v>
      </x:c>
      <x:c r="U56" t="n">
        <x:v>224.98988</x:v>
      </x:c>
      <x:c r="V56" t="n">
        <x:v>0.82436</x:v>
      </x:c>
      <x:c r="W56" t="n">
        <x:v>224.99272</x:v>
      </x:c>
      <x:c r="X56" t="n">
        <x:v>-0.00728</x:v>
      </x:c>
      <x:c r="Y56" t="n">
        <x:v>0.10847</x:v>
      </x:c>
      <x:c r="Z56" t="n">
        <x:v>0.58592</x:v>
      </x:c>
      <x:c r="AA56" t="n">
        <x:v>0.82436</x:v>
      </x:c>
      <x:c r="AB56" t="n">
        <x:v>1.01717</x:v>
      </x:c>
      <x:c r="AC56" t="n">
        <x:v>21.75</x:v>
      </x:c>
      <x:c r="AD56" t="str">
        <x:v>Z</x:v>
      </x:c>
      <x:c r="AE56" t="n">
        <x:v>0.10997</x:v>
      </x:c>
      <x:c r="AF56" t="n">
        <x:v>34.32</x:v>
      </x:c>
      <x:c r="AG56" t="n">
        <x:v>0.139</x:v>
      </x:c>
      <x:c r="AH56" t="n">
        <x:v>13.3</x:v>
      </x:c>
      <x:c r="AI56" t="n">
        <x:v>0.58928</x:v>
      </x:c>
      <x:c r="AJ56" t="n">
        <x:v>19.14</x:v>
      </x:c>
      <x:c r="AK56" t="n">
        <x:v>0.546</x:v>
      </x:c>
      <x:c r="AL56" t="n">
        <x:v>3.51</x:v>
      </x:c>
      <x:c r="AM56" t="n">
        <x:v>0.82178</x:v>
      </x:c>
      <x:c r="AN56" t="n">
        <x:v>27.77</x:v>
      </x:c>
      <x:c r="AO56" t="n">
        <x:v>0.858</x:v>
      </x:c>
      <x:c r="AP56" t="n">
        <x:v>2.44</x:v>
      </x:c>
      <x:c r="AQ56" t="n">
        <x:v>1.01729</x:v>
      </x:c>
      <x:c r="AR56" t="n">
        <x:v>2.73</x:v>
      </x:c>
      <x:c r="AS56" t="n">
        <x:v>0.1081</x:v>
      </x:c>
      <x:c r="AT56" t="n">
        <x:v>0.5793</x:v>
      </x:c>
      <x:c r="AU56" t="n">
        <x:v>0.8078</x:v>
      </x:c>
      <x:c r="AV56" t="n">
        <x:v>1</x:v>
      </x:c>
      <x:c r="AW56" t="n">
        <x:v>0.7170775633381198</x:v>
      </x:c>
      <x:c r="AX56" t="n">
        <x:v>0.011685812112562815</x:v>
      </x:c>
      <x:c r="AY56" t="n">
        <x:v>0.3355473800870426</x:v>
      </x:c>
      <x:c r="AZ56" t="n">
        <x:v>0.6525617051637913</x:v>
      </x:c>
    </x:row>
    <x:row r="57">
      <x:c r="A57" t="str">
        <x:v>225Hz-1</x:v>
      </x:c>
      <x:c r="B57" t="n">
        <x:v>225</x:v>
      </x:c>
      <x:c r="C57" t="n">
        <x:v>1</x:v>
      </x:c>
      <x:c r="D57" t="n">
        <x:v>6</x:v>
      </x:c>
      <x:c r="E57" t="n">
        <x:v>1</x:v>
      </x:c>
      <x:c r="F57" t="n">
        <x:v>225</x:v>
      </x:c>
      <x:c r="G57" t="n">
        <x:v>16</x:v>
      </x:c>
      <x:c r="H57" t="n">
        <x:v>234.11809</x:v>
      </x:c>
      <x:c r="I57" t="n">
        <x:v>0.25264</x:v>
      </x:c>
      <x:c r="J57" t="n">
        <x:v>20.21</x:v>
      </x:c>
      <x:c r="K57" t="n">
        <x:v>224.99353</x:v>
      </x:c>
      <x:c r="L57" t="n">
        <x:v>0.61329</x:v>
      </x:c>
      <x:c r="M57" t="n">
        <x:v>25.14</x:v>
      </x:c>
      <x:c r="N57" t="n">
        <x:v>225.01319</x:v>
      </x:c>
      <x:c r="O57" t="n">
        <x:v>0.89019</x:v>
      </x:c>
      <x:c r="P57" t="n">
        <x:v>33.05</x:v>
      </x:c>
      <x:c r="Q57" t="n">
        <x:v>233.59375</x:v>
      </x:c>
      <x:c r="R57" t="n">
        <x:v>0.16014</x:v>
      </x:c>
      <x:c r="S57" t="n">
        <x:v>224.99353</x:v>
      </x:c>
      <x:c r="T57" t="n">
        <x:v>0.61329</x:v>
      </x:c>
      <x:c r="U57" t="n">
        <x:v>225.01319</x:v>
      </x:c>
      <x:c r="V57" t="n">
        <x:v>0.89019</x:v>
      </x:c>
      <x:c r="W57" t="n">
        <x:v>225.00676</x:v>
      </x:c>
      <x:c r="X57" t="n">
        <x:v>0.00676</x:v>
      </x:c>
      <x:c r="Y57" t="n">
        <x:v>0.10953</x:v>
      </x:c>
      <x:c r="Z57" t="n">
        <x:v>0.61329</x:v>
      </x:c>
      <x:c r="AA57" t="n">
        <x:v>0.89019</x:v>
      </x:c>
      <x:c r="AB57" t="n">
        <x:v>1.08654</x:v>
      </x:c>
      <x:c r="AC57" t="n">
        <x:v>23.46</x:v>
      </x:c>
      <x:c r="AD57" t="str">
        <x:v>Z</x:v>
      </x:c>
      <x:c r="AE57" t="n">
        <x:v>0.11784</x:v>
      </x:c>
      <x:c r="AF57" t="n">
        <x:v>33.79</x:v>
      </x:c>
      <x:c r="AG57" t="n">
        <x:v>0.162</x:v>
      </x:c>
      <x:c r="AH57" t="n">
        <x:v>10.8</x:v>
      </x:c>
      <x:c r="AI57" t="n">
        <x:v>0.60779</x:v>
      </x:c>
      <x:c r="AJ57" t="n">
        <x:v>20.09</x:v>
      </x:c>
      <x:c r="AK57" t="n">
        <x:v>0.557</x:v>
      </x:c>
      <x:c r="AL57" t="n">
        <x:v>2.08</x:v>
      </x:c>
      <x:c r="AM57" t="n">
        <x:v>0.88947</x:v>
      </x:c>
      <x:c r="AN57" t="n">
        <x:v>27.72</x:v>
      </x:c>
      <x:c r="AO57" t="n">
        <x:v>0.866</x:v>
      </x:c>
      <x:c r="AP57" t="n">
        <x:v>1.22</x:v>
      </x:c>
      <x:c r="AQ57" t="n">
        <x:v>1.08383</x:v>
      </x:c>
      <x:c r="AR57" t="n">
        <x:v>1</x:v>
      </x:c>
      <x:c r="AS57" t="n">
        <x:v>0.1087</x:v>
      </x:c>
      <x:c r="AT57" t="n">
        <x:v>0.5608</x:v>
      </x:c>
      <x:c r="AU57" t="n">
        <x:v>0.8207</x:v>
      </x:c>
      <x:c r="AV57" t="n">
        <x:v>1</x:v>
      </x:c>
      <x:c r="AW57" t="n">
        <x:v>0.683317031490663</x:v>
      </x:c>
      <x:c r="AX57" t="n">
        <x:v>0.011821242643375914</x:v>
      </x:c>
      <x:c r="AY57" t="n">
        <x:v>0.31447401447631124</x:v>
      </x:c>
      <x:c r="AZ57" t="n">
        <x:v>0.6735041462908039</x:v>
      </x:c>
    </x:row>
    <x:row r="58">
      <x:c r="A58" t="str">
        <x:v>225Hz-1</x:v>
      </x:c>
      <x:c r="B58" t="n">
        <x:v>225</x:v>
      </x:c>
      <x:c r="C58" t="n">
        <x:v>1</x:v>
      </x:c>
      <x:c r="D58" t="n">
        <x:v>7</x:v>
      </x:c>
      <x:c r="E58" t="n">
        <x:v>1</x:v>
      </x:c>
      <x:c r="F58" t="n">
        <x:v>225</x:v>
      </x:c>
      <x:c r="G58" t="n">
        <x:v>17</x:v>
      </x:c>
      <x:c r="H58" t="n">
        <x:v>234.24272</x:v>
      </x:c>
      <x:c r="I58" t="n">
        <x:v>0.45063</x:v>
      </x:c>
      <x:c r="J58" t="n">
        <x:v>25.14</x:v>
      </x:c>
      <x:c r="K58" t="n">
        <x:v>224.99045</x:v>
      </x:c>
      <x:c r="L58" t="n">
        <x:v>0.63687</x:v>
      </x:c>
      <x:c r="M58" t="n">
        <x:v>25.39</x:v>
      </x:c>
      <x:c r="N58" t="n">
        <x:v>224.99201</x:v>
      </x:c>
      <x:c r="O58" t="n">
        <x:v>0.96632</x:v>
      </x:c>
      <x:c r="P58" t="n">
        <x:v>33.31</x:v>
      </x:c>
      <x:c r="Q58" t="n">
        <x:v>232.03125</x:v>
      </x:c>
      <x:c r="R58" t="n">
        <x:v>0.23664</x:v>
      </x:c>
      <x:c r="S58" t="n">
        <x:v>224.99045</x:v>
      </x:c>
      <x:c r="T58" t="n">
        <x:v>0.63687</x:v>
      </x:c>
      <x:c r="U58" t="n">
        <x:v>224.99201</x:v>
      </x:c>
      <x:c r="V58" t="n">
        <x:v>0.96632</x:v>
      </x:c>
      <x:c r="W58" t="n">
        <x:v>224.992</x:v>
      </x:c>
      <x:c r="X58" t="n">
        <x:v>-0.008</x:v>
      </x:c>
      <x:c r="Y58" t="n">
        <x:v>0.11826</x:v>
      </x:c>
      <x:c r="Z58" t="n">
        <x:v>0.63687</x:v>
      </x:c>
      <x:c r="AA58" t="n">
        <x:v>0.96632</x:v>
      </x:c>
      <x:c r="AB58" t="n">
        <x:v>1.16335</x:v>
      </x:c>
      <x:c r="AC58" t="n">
        <x:v>19.78</x:v>
      </x:c>
      <x:c r="AD58" t="str">
        <x:v>Z</x:v>
      </x:c>
      <x:c r="AE58" t="n">
        <x:v>0.12485</x:v>
      </x:c>
      <x:c r="AF58" t="n">
        <x:v>42.61</x:v>
      </x:c>
      <x:c r="AG58" t="n">
        <x:v>0.152</x:v>
      </x:c>
      <x:c r="AH58" t="n">
        <x:v>6.25</x:v>
      </x:c>
      <x:c r="AI58" t="n">
        <x:v>0.6409</x:v>
      </x:c>
      <x:c r="AJ58" t="n">
        <x:v>19.43</x:v>
      </x:c>
      <x:c r="AK58" t="n">
        <x:v>0.57</x:v>
      </x:c>
      <x:c r="AL58" t="n">
        <x:v>1.87</x:v>
      </x:c>
      <x:c r="AM58" t="n">
        <x:v>0.96415</x:v>
      </x:c>
      <x:c r="AN58" t="n">
        <x:v>27.63</x:v>
      </x:c>
      <x:c r="AO58" t="n">
        <x:v>0.875</x:v>
      </x:c>
      <x:c r="AP58" t="n">
        <x:v>1.53</x:v>
      </x:c>
      <x:c r="AQ58" t="n">
        <x:v>1.1645</x:v>
      </x:c>
      <x:c r="AR58" t="n">
        <x:v>1.39</x:v>
      </x:c>
      <x:c r="AS58" t="n">
        <x:v>0.1072</x:v>
      </x:c>
      <x:c r="AT58" t="n">
        <x:v>0.5504</x:v>
      </x:c>
      <x:c r="AU58" t="n">
        <x:v>0.828</x:v>
      </x:c>
      <x:c r="AV58" t="n">
        <x:v>1</x:v>
      </x:c>
      <x:c r="AW58" t="n">
        <x:v>0.6647305917129078</x:v>
      </x:c>
      <x:c r="AX58" t="n">
        <x:v>0.011494712347773632</x:v>
      </x:c>
      <x:c r="AY58" t="n">
        <x:v>0.3029015930523735</x:v>
      </x:c>
      <x:c r="AZ58" t="n">
        <x:v>0.6855043664173474</x:v>
      </x:c>
    </x:row>
    <x:row r="59">
      <x:c r="A59" t="str">
        <x:v>225Hz-1</x:v>
      </x:c>
      <x:c r="B59" t="n">
        <x:v>225</x:v>
      </x:c>
      <x:c r="C59" t="n">
        <x:v>1</x:v>
      </x:c>
      <x:c r="D59" t="n">
        <x:v>8</x:v>
      </x:c>
      <x:c r="E59" t="n">
        <x:v>1</x:v>
      </x:c>
      <x:c r="F59" t="n">
        <x:v>225</x:v>
      </x:c>
      <x:c r="G59" t="n">
        <x:v>18</x:v>
      </x:c>
      <x:c r="H59" t="n">
        <x:v>234.26203</x:v>
      </x:c>
      <x:c r="I59" t="n">
        <x:v>0.26867</x:v>
      </x:c>
      <x:c r="J59" t="n">
        <x:v>20.72</x:v>
      </x:c>
      <x:c r="K59" t="n">
        <x:v>225.00587</x:v>
      </x:c>
      <x:c r="L59" t="n">
        <x:v>0.657</x:v>
      </x:c>
      <x:c r="M59" t="n">
        <x:v>25.62</x:v>
      </x:c>
      <x:c r="N59" t="n">
        <x:v>224.998</x:v>
      </x:c>
      <x:c r="O59" t="n">
        <x:v>1.03089</x:v>
      </x:c>
      <x:c r="P59" t="n">
        <x:v>33.59</x:v>
      </x:c>
      <x:c r="Q59" t="n">
        <x:v>232.03125</x:v>
      </x:c>
      <x:c r="R59" t="n">
        <x:v>0.139</x:v>
      </x:c>
      <x:c r="S59" t="n">
        <x:v>225.00587</x:v>
      </x:c>
      <x:c r="T59" t="n">
        <x:v>0.657</x:v>
      </x:c>
      <x:c r="U59" t="n">
        <x:v>224.998</x:v>
      </x:c>
      <x:c r="V59" t="n">
        <x:v>1.03089</x:v>
      </x:c>
      <x:c r="W59" t="n">
        <x:v>224.99998</x:v>
      </x:c>
      <x:c r="X59" t="n">
        <x:v>-0.00002</x:v>
      </x:c>
      <x:c r="Y59" t="n">
        <x:v>0.12348</x:v>
      </x:c>
      <x:c r="Z59" t="n">
        <x:v>0.657</x:v>
      </x:c>
      <x:c r="AA59" t="n">
        <x:v>1.03089</x:v>
      </x:c>
      <x:c r="AB59" t="n">
        <x:v>1.22867</x:v>
      </x:c>
      <x:c r="AC59" t="n">
        <x:v>24.51</x:v>
      </x:c>
      <x:c r="AD59" t="str">
        <x:v>Z</x:v>
      </x:c>
      <x:c r="AE59" t="n">
        <x:v>0.12483</x:v>
      </x:c>
      <x:c r="AF59" t="n">
        <x:v>34.99</x:v>
      </x:c>
      <x:c r="AG59" t="n">
        <x:v>0.164</x:v>
      </x:c>
      <x:c r="AH59" t="n">
        <x:v>20.83</x:v>
      </x:c>
      <x:c r="AI59" t="n">
        <x:v>0.65551</x:v>
      </x:c>
      <x:c r="AJ59" t="n">
        <x:v>18.66</x:v>
      </x:c>
      <x:c r="AK59" t="n">
        <x:v>0.594</x:v>
      </x:c>
      <x:c r="AL59" t="n">
        <x:v>2.27</x:v>
      </x:c>
      <x:c r="AM59" t="n">
        <x:v>1.03755</x:v>
      </x:c>
      <x:c r="AN59" t="n">
        <x:v>25.8</x:v>
      </x:c>
      <x:c r="AO59" t="n">
        <x:v>0.875</x:v>
      </x:c>
      <x:c r="AP59" t="n">
        <x:v>2.36</x:v>
      </x:c>
      <x:c r="AQ59" t="n">
        <x:v>1.23382</x:v>
      </x:c>
      <x:c r="AR59" t="n">
        <x:v>2.35</x:v>
      </x:c>
      <x:c r="AS59" t="n">
        <x:v>0.1012</x:v>
      </x:c>
      <x:c r="AT59" t="n">
        <x:v>0.5313</x:v>
      </x:c>
      <x:c r="AU59" t="n">
        <x:v>0.8409</x:v>
      </x:c>
      <x:c r="AV59" t="n">
        <x:v>1</x:v>
      </x:c>
      <x:c r="AW59" t="n">
        <x:v>0.6317864199315696</x:v>
      </x:c>
      <x:c r="AX59" t="n">
        <x:v>0.010236095508025575</x:v>
      </x:c>
      <x:c r="AY59" t="n">
        <x:v>0.28226370067236173</x:v>
      </x:c>
      <x:c r="AZ59" t="n">
        <x:v>0.7071547418041271</x:v>
      </x:c>
    </x:row>
    <x:row r="60">
      <x:c r="A60" t="str">
        <x:v>225Hz-1</x:v>
      </x:c>
      <x:c r="B60" t="n">
        <x:v>225</x:v>
      </x:c>
      <x:c r="C60" t="n">
        <x:v>1</x:v>
      </x:c>
      <x:c r="D60" t="n">
        <x:v>9</x:v>
      </x:c>
      <x:c r="E60" t="n">
        <x:v>1</x:v>
      </x:c>
      <x:c r="F60" t="n">
        <x:v>225</x:v>
      </x:c>
      <x:c r="G60" t="n">
        <x:v>19</x:v>
      </x:c>
      <x:c r="H60" t="n">
        <x:v>234.31488</x:v>
      </x:c>
      <x:c r="I60" t="n">
        <x:v>0.32764</x:v>
      </x:c>
      <x:c r="J60" t="n">
        <x:v>22.51</x:v>
      </x:c>
      <x:c r="K60" t="n">
        <x:v>224.99181</x:v>
      </x:c>
      <x:c r="L60" t="n">
        <x:v>0.68229</x:v>
      </x:c>
      <x:c r="M60" t="n">
        <x:v>25.45</x:v>
      </x:c>
      <x:c r="N60" t="n">
        <x:v>224.99306</x:v>
      </x:c>
      <x:c r="O60" t="n">
        <x:v>1.10725</x:v>
      </x:c>
      <x:c r="P60" t="n">
        <x:v>33.37</x:v>
      </x:c>
      <x:c r="Q60" t="n">
        <x:v>232.03125</x:v>
      </x:c>
      <x:c r="R60" t="n">
        <x:v>0.15722</x:v>
      </x:c>
      <x:c r="S60" t="n">
        <x:v>224.99181</x:v>
      </x:c>
      <x:c r="T60" t="n">
        <x:v>0.68229</x:v>
      </x:c>
      <x:c r="U60" t="n">
        <x:v>224.99306</x:v>
      </x:c>
      <x:c r="V60" t="n">
        <x:v>1.10725</x:v>
      </x:c>
      <x:c r="W60" t="n">
        <x:v>224.99297</x:v>
      </x:c>
      <x:c r="X60" t="n">
        <x:v>-0.00703</x:v>
      </x:c>
      <x:c r="Y60" t="n">
        <x:v>0.13238</x:v>
      </x:c>
      <x:c r="Z60" t="n">
        <x:v>0.68229</x:v>
      </x:c>
      <x:c r="AA60" t="n">
        <x:v>1.10725</x:v>
      </x:c>
      <x:c r="AB60" t="n">
        <x:v>1.3073</x:v>
      </x:c>
      <x:c r="AC60" t="n">
        <x:v>23.77</x:v>
      </x:c>
      <x:c r="AD60" t="str">
        <x:v>Z</x:v>
      </x:c>
      <x:c r="AE60" t="n">
        <x:v>0.12768</x:v>
      </x:c>
      <x:c r="AF60" t="n">
        <x:v>36.31</x:v>
      </x:c>
      <x:c r="AG60" t="n">
        <x:v>0.173</x:v>
      </x:c>
      <x:c r="AH60" t="n">
        <x:v>18.77</x:v>
      </x:c>
      <x:c r="AI60" t="n">
        <x:v>0.68619</x:v>
      </x:c>
      <x:c r="AJ60" t="n">
        <x:v>19.89</x:v>
      </x:c>
      <x:c r="AK60" t="n">
        <x:v>0.568</x:v>
      </x:c>
      <x:c r="AL60" t="n">
        <x:v>1.44</x:v>
      </x:c>
      <x:c r="AM60" t="n">
        <x:v>1.09979</x:v>
      </x:c>
      <x:c r="AN60" t="n">
        <x:v>26.79</x:v>
      </x:c>
      <x:c r="AO60" t="n">
        <x:v>0.883</x:v>
      </x:c>
      <x:c r="AP60" t="n">
        <x:v>1.64</x:v>
      </x:c>
      <x:c r="AQ60" t="n">
        <x:v>1.30278</x:v>
      </x:c>
      <x:c r="AR60" t="n">
        <x:v>1.41</x:v>
      </x:c>
      <x:c r="AS60" t="n">
        <x:v>0.098</x:v>
      </x:c>
      <x:c r="AT60" t="n">
        <x:v>0.5267</x:v>
      </x:c>
      <x:c r="AU60" t="n">
        <x:v>0.8442</x:v>
      </x:c>
      <x:c r="AV60" t="n">
        <x:v>1</x:v>
      </x:c>
      <x:c r="AW60" t="n">
        <x:v>0.6239282044753998</x:v>
      </x:c>
      <x:c r="AX60" t="n">
        <x:v>0.009605137416809045</x:v>
      </x:c>
      <x:c r="AY60" t="n">
        <x:v>0.27742564466509373</x:v>
      </x:c>
      <x:c r="AZ60" t="n">
        <x:v>0.712651768909109</x:v>
      </x:c>
    </x:row>
    <x:row r="61">
      <x:c r="A61" t="str">
        <x:v>225Hz-1</x:v>
      </x:c>
      <x:c r="B61" t="n">
        <x:v>225</x:v>
      </x:c>
      <x:c r="C61" t="n">
        <x:v>1</x:v>
      </x:c>
      <x:c r="D61" t="n">
        <x:v>10</x:v>
      </x:c>
      <x:c r="E61" t="n">
        <x:v>1</x:v>
      </x:c>
      <x:c r="F61" t="n">
        <x:v>225</x:v>
      </x:c>
      <x:c r="G61" t="n">
        <x:v>20</x:v>
      </x:c>
      <x:c r="H61" t="n">
        <x:v>234.30828</x:v>
      </x:c>
      <x:c r="I61" t="n">
        <x:v>0.36594</x:v>
      </x:c>
      <x:c r="J61" t="n">
        <x:v>22.71</x:v>
      </x:c>
      <x:c r="K61" t="n">
        <x:v>224.99129</x:v>
      </x:c>
      <x:c r="L61" t="n">
        <x:v>0.69365</x:v>
      </x:c>
      <x:c r="M61" t="n">
        <x:v>25.99</x:v>
      </x:c>
      <x:c r="N61" t="n">
        <x:v>225.00144</x:v>
      </x:c>
      <x:c r="O61" t="n">
        <x:v>1.16779</x:v>
      </x:c>
      <x:c r="P61" t="n">
        <x:v>33.92</x:v>
      </x:c>
      <x:c r="Q61" t="n">
        <x:v>232.03125</x:v>
      </x:c>
      <x:c r="R61" t="n">
        <x:v>0.1762</x:v>
      </x:c>
      <x:c r="S61" t="n">
        <x:v>224.99129</x:v>
      </x:c>
      <x:c r="T61" t="n">
        <x:v>0.69365</x:v>
      </x:c>
      <x:c r="U61" t="n">
        <x:v>225.00144</x:v>
      </x:c>
      <x:c r="V61" t="n">
        <x:v>1.16779</x:v>
      </x:c>
      <x:c r="W61" t="n">
        <x:v>224.99901</x:v>
      </x:c>
      <x:c r="X61" t="n">
        <x:v>-0.00099</x:v>
      </x:c>
      <x:c r="Y61" t="n">
        <x:v>0.12963</x:v>
      </x:c>
      <x:c r="Z61" t="n">
        <x:v>0.69365</x:v>
      </x:c>
      <x:c r="AA61" t="n">
        <x:v>1.16779</x:v>
      </x:c>
      <x:c r="AB61" t="n">
        <x:v>1.36443</x:v>
      </x:c>
      <x:c r="AC61" t="n">
        <x:v>23.65</x:v>
      </x:c>
      <x:c r="AD61" t="str">
        <x:v>Z</x:v>
      </x:c>
      <x:c r="AE61" t="n">
        <x:v>0.13645</x:v>
      </x:c>
      <x:c r="AF61" t="n">
        <x:v>36.49</x:v>
      </x:c>
      <x:c r="AG61" t="n">
        <x:v>0.152</x:v>
      </x:c>
      <x:c r="AH61" t="n">
        <x:v>10.2</x:v>
      </x:c>
      <x:c r="AI61" t="n">
        <x:v>0.70249</x:v>
      </x:c>
      <x:c r="AJ61" t="n">
        <x:v>20.09</x:v>
      </x:c>
      <x:c r="AK61" t="n">
        <x:v>0.606</x:v>
      </x:c>
      <x:c r="AL61" t="n">
        <x:v>2.98</x:v>
      </x:c>
      <x:c r="AM61" t="n">
        <x:v>1.16183</x:v>
      </x:c>
      <x:c r="AN61" t="n">
        <x:v>24.32</x:v>
      </x:c>
      <x:c r="AO61" t="n">
        <x:v>0.869</x:v>
      </x:c>
      <x:c r="AP61" t="n">
        <x:v>0.91</x:v>
      </x:c>
      <x:c r="AQ61" t="n">
        <x:v>1.36471</x:v>
      </x:c>
      <x:c r="AR61" t="n">
        <x:v>0.9</x:v>
      </x:c>
      <x:c r="AS61" t="n">
        <x:v>0.1</x:v>
      </x:c>
      <x:c r="AT61" t="n">
        <x:v>0.5148</x:v>
      </x:c>
      <x:c r="AU61" t="n">
        <x:v>0.8513</x:v>
      </x:c>
      <x:c r="AV61" t="n">
        <x:v>1</x:v>
      </x:c>
      <x:c r="AW61" t="n">
        <x:v>0.6046409543564893</x:v>
      </x:c>
      <x:c r="AX61" t="n">
        <x:v>0.009996922659865886</x:v>
      </x:c>
      <x:c r="AY61" t="n">
        <x:v>0.2649717323116362</x:v>
      </x:c>
      <x:c r="AZ61" t="n">
        <x:v>0.7247770365501148</x:v>
      </x:c>
    </x:row>
    <x:row r="62">
      <x:c r="A62" t="str">
        <x:v>250Hz-1</x:v>
      </x:c>
      <x:c r="B62" t="n">
        <x:v>250</x:v>
      </x:c>
      <x:c r="C62" t="n">
        <x:v>1</x:v>
      </x:c>
      <x:c r="D62" t="n">
        <x:v>1</x:v>
      </x:c>
      <x:c r="E62" t="n">
        <x:v>1</x:v>
      </x:c>
      <x:c r="F62" t="n">
        <x:v>250</x:v>
      </x:c>
      <x:c r="G62" t="n">
        <x:v>11</x:v>
      </x:c>
      <x:c r="H62" t="n">
        <x:v>159.40355</x:v>
      </x:c>
      <x:c r="I62" t="n">
        <x:v>0.38397</x:v>
      </x:c>
      <x:c r="J62" t="n">
        <x:v>25.72</x:v>
      </x:c>
      <x:c r="K62" t="n">
        <x:v>250.00991</x:v>
      </x:c>
      <x:c r="L62" t="n">
        <x:v>0.77958</x:v>
      </x:c>
      <x:c r="M62" t="n">
        <x:v>29.01</x:v>
      </x:c>
      <x:c r="N62" t="n">
        <x:v>249.987</x:v>
      </x:c>
      <x:c r="O62" t="n">
        <x:v>0.80751</x:v>
      </x:c>
      <x:c r="P62" t="n">
        <x:v>32.27</x:v>
      </x:c>
      <x:c r="Q62" t="n">
        <x:v>249.85847</x:v>
      </x:c>
      <x:c r="R62" t="n">
        <x:v>0.09741</x:v>
      </x:c>
      <x:c r="S62" t="n">
        <x:v>250.00991</x:v>
      </x:c>
      <x:c r="T62" t="n">
        <x:v>0.77958</x:v>
      </x:c>
      <x:c r="U62" t="n">
        <x:v>249.987</x:v>
      </x:c>
      <x:c r="V62" t="n">
        <x:v>0.80751</x:v>
      </x:c>
      <x:c r="W62" t="n">
        <x:v>249.99697</x:v>
      </x:c>
      <x:c r="X62" t="n">
        <x:v>-0.00303</x:v>
      </x:c>
      <x:c r="Y62" t="n">
        <x:v>0.09741</x:v>
      </x:c>
      <x:c r="Z62" t="n">
        <x:v>0.77958</x:v>
      </x:c>
      <x:c r="AA62" t="n">
        <x:v>0.80751</x:v>
      </x:c>
      <x:c r="AB62" t="n">
        <x:v>1.12663</x:v>
      </x:c>
      <x:c r="AC62" t="n">
        <x:v>33.3</x:v>
      </x:c>
      <x:c r="AD62" t="str">
        <x:v>Z</x:v>
      </x:c>
      <x:c r="AE62" t="n">
        <x:v>0.08913</x:v>
      </x:c>
      <x:c r="AF62" t="n">
        <x:v>35.66</x:v>
      </x:c>
      <x:c r="AG62" t="n">
        <x:v>0.115</x:v>
      </x:c>
      <x:c r="AH62" t="n">
        <x:v>22.48</x:v>
      </x:c>
      <x:c r="AI62" t="n">
        <x:v>0.77699</x:v>
      </x:c>
      <x:c r="AJ62" t="n">
        <x:v>9.86</x:v>
      </x:c>
      <x:c r="AK62" t="n">
        <x:v>0.642</x:v>
      </x:c>
      <x:c r="AL62" t="n">
        <x:v>2.65</x:v>
      </x:c>
      <x:c r="AM62" t="n">
        <x:v>0.78742</x:v>
      </x:c>
      <x:c r="AN62" t="n">
        <x:v>21.21</x:v>
      </x:c>
      <x:c r="AO62" t="n">
        <x:v>0.814</x:v>
      </x:c>
      <x:c r="AP62" t="n">
        <x:v>2.01</x:v>
      </x:c>
      <x:c r="AQ62" t="n">
        <x:v>1.11012</x:v>
      </x:c>
      <x:c r="AR62" t="n">
        <x:v>1.34</x:v>
      </x:c>
      <x:c r="AS62" t="n">
        <x:v>0.0803</x:v>
      </x:c>
      <x:c r="AT62" t="n">
        <x:v>0.6999</x:v>
      </x:c>
      <x:c r="AU62" t="n">
        <x:v>0.7093</x:v>
      </x:c>
      <x:c r="AV62" t="n">
        <x:v>1</x:v>
      </x:c>
      <x:c r="AW62" t="n">
        <x:v>0.9867542099514871</x:v>
      </x:c>
      <x:c r="AX62" t="n">
        <x:v>0.006446262091512578</x:v>
      </x:c>
      <x:c r="AY62" t="n">
        <x:v>0.48988146142714284</x:v>
      </x:c>
      <x:c r="AZ62" t="n">
        <x:v>0.5031216764389616</x:v>
      </x:c>
    </x:row>
    <x:row r="63">
      <x:c r="A63" t="str">
        <x:v>250Hz-1</x:v>
      </x:c>
      <x:c r="B63" t="n">
        <x:v>250</x:v>
      </x:c>
      <x:c r="C63" t="n">
        <x:v>1</x:v>
      </x:c>
      <x:c r="D63" t="n">
        <x:v>2</x:v>
      </x:c>
      <x:c r="E63" t="n">
        <x:v>1</x:v>
      </x:c>
      <x:c r="F63" t="n">
        <x:v>250</x:v>
      </x:c>
      <x:c r="G63" t="n">
        <x:v>12</x:v>
      </x:c>
      <x:c r="H63" t="n">
        <x:v>409.22643</x:v>
      </x:c>
      <x:c r="I63" t="n">
        <x:v>0.55074</x:v>
      </x:c>
      <x:c r="J63" t="n">
        <x:v>28.38</x:v>
      </x:c>
      <x:c r="K63" t="n">
        <x:v>250.00808</x:v>
      </x:c>
      <x:c r="L63" t="n">
        <x:v>0.8407</x:v>
      </x:c>
      <x:c r="M63" t="n">
        <x:v>29.07</x:v>
      </x:c>
      <x:c r="N63" t="n">
        <x:v>249.99159</x:v>
      </x:c>
      <x:c r="O63" t="n">
        <x:v>0.86874</x:v>
      </x:c>
      <x:c r="P63" t="n">
        <x:v>32.48</x:v>
      </x:c>
      <x:c r="Q63" t="n">
        <x:v>250.05658</x:v>
      </x:c>
      <x:c r="R63" t="n">
        <x:v>0.09337</x:v>
      </x:c>
      <x:c r="S63" t="n">
        <x:v>250.00808</x:v>
      </x:c>
      <x:c r="T63" t="n">
        <x:v>0.8407</x:v>
      </x:c>
      <x:c r="U63" t="n">
        <x:v>249.99159</x:v>
      </x:c>
      <x:c r="V63" t="n">
        <x:v>0.86874</x:v>
      </x:c>
      <x:c r="W63" t="n">
        <x:v>249.99992</x:v>
      </x:c>
      <x:c r="X63" t="n">
        <x:v>-0.00008</x:v>
      </x:c>
      <x:c r="Y63" t="n">
        <x:v>0.09337</x:v>
      </x:c>
      <x:c r="Z63" t="n">
        <x:v>0.8407</x:v>
      </x:c>
      <x:c r="AA63" t="n">
        <x:v>0.86874</x:v>
      </x:c>
      <x:c r="AB63" t="n">
        <x:v>1.21251</x:v>
      </x:c>
      <x:c r="AC63" t="n">
        <x:v>34.33</x:v>
      </x:c>
      <x:c r="AD63" t="str">
        <x:v>Z</x:v>
      </x:c>
      <x:c r="AE63" t="n">
        <x:v>0.10092</x:v>
      </x:c>
      <x:c r="AF63" t="n">
        <x:v>33.03</x:v>
      </x:c>
      <x:c r="AG63" t="n">
        <x:v>0.108</x:v>
      </x:c>
      <x:c r="AH63" t="n">
        <x:v>13.32</x:v>
      </x:c>
      <x:c r="AI63" t="n">
        <x:v>0.84269</x:v>
      </x:c>
      <x:c r="AJ63" t="n">
        <x:v>8.54</x:v>
      </x:c>
      <x:c r="AK63" t="n">
        <x:v>0.639</x:v>
      </x:c>
      <x:c r="AL63" t="n">
        <x:v>2.38</x:v>
      </x:c>
      <x:c r="AM63" t="n">
        <x:v>0.87552</x:v>
      </x:c>
      <x:c r="AN63" t="n">
        <x:v>19.61</x:v>
      </x:c>
      <x:c r="AO63" t="n">
        <x:v>0.844</x:v>
      </x:c>
      <x:c r="AP63" t="n">
        <x:v>2.3</x:v>
      </x:c>
      <x:c r="AQ63" t="n">
        <x:v>1.21955</x:v>
      </x:c>
      <x:c r="AR63" t="n">
        <x:v>1.72</x:v>
      </x:c>
      <x:c r="AS63" t="n">
        <x:v>0.0828</x:v>
      </x:c>
      <x:c r="AT63" t="n">
        <x:v>0.691</x:v>
      </x:c>
      <x:c r="AU63" t="n">
        <x:v>0.7179</x:v>
      </x:c>
      <x:c r="AV63" t="n">
        <x:v>1</x:v>
      </x:c>
      <x:c r="AW63" t="n">
        <x:v>0.9625022843567252</x:v>
      </x:c>
      <x:c r="AX63" t="n">
        <x:v>0.006847866145078207</x:v>
      </x:c>
      <x:c r="AY63" t="n">
        <x:v>0.4774594126912147</x:v>
      </x:c>
      <x:c r="AZ63" t="n">
        <x:v>0.515386361367269</x:v>
      </x:c>
    </x:row>
    <x:row r="64">
      <x:c r="A64" t="str">
        <x:v>250Hz-1</x:v>
      </x:c>
      <x:c r="B64" t="n">
        <x:v>250</x:v>
      </x:c>
      <x:c r="C64" t="n">
        <x:v>1</x:v>
      </x:c>
      <x:c r="D64" t="n">
        <x:v>3</x:v>
      </x:c>
      <x:c r="E64" t="n">
        <x:v>1</x:v>
      </x:c>
      <x:c r="F64" t="n">
        <x:v>250</x:v>
      </x:c>
      <x:c r="G64" t="n">
        <x:v>13</x:v>
      </x:c>
      <x:c r="H64" t="n">
        <x:v>409.23241</x:v>
      </x:c>
      <x:c r="I64" t="n">
        <x:v>0.52763</x:v>
      </x:c>
      <x:c r="J64" t="n">
        <x:v>28.26</x:v>
      </x:c>
      <x:c r="K64" t="n">
        <x:v>250.00218</x:v>
      </x:c>
      <x:c r="L64" t="n">
        <x:v>0.89061</x:v>
      </x:c>
      <x:c r="M64" t="n">
        <x:v>30.09</x:v>
      </x:c>
      <x:c r="N64" t="n">
        <x:v>249.98982</x:v>
      </x:c>
      <x:c r="O64" t="n">
        <x:v>0.94592</x:v>
      </x:c>
      <x:c r="P64" t="n">
        <x:v>33.49</x:v>
      </x:c>
      <x:c r="Q64" t="n">
        <x:v>249.9769</x:v>
      </x:c>
      <x:c r="R64" t="n">
        <x:v>0.12515</x:v>
      </x:c>
      <x:c r="S64" t="n">
        <x:v>250.00218</x:v>
      </x:c>
      <x:c r="T64" t="n">
        <x:v>0.89061</x:v>
      </x:c>
      <x:c r="U64" t="n">
        <x:v>249.98982</x:v>
      </x:c>
      <x:c r="V64" t="n">
        <x:v>0.94592</x:v>
      </x:c>
      <x:c r="W64" t="n">
        <x:v>249.99546</x:v>
      </x:c>
      <x:c r="X64" t="n">
        <x:v>-0.00454</x:v>
      </x:c>
      <x:c r="Y64" t="n">
        <x:v>0.12515</x:v>
      </x:c>
      <x:c r="Z64" t="n">
        <x:v>0.89061</x:v>
      </x:c>
      <x:c r="AA64" t="n">
        <x:v>0.94592</x:v>
      </x:c>
      <x:c r="AB64" t="n">
        <x:v>1.30523</x:v>
      </x:c>
      <x:c r="AC64" t="n">
        <x:v>35.77</x:v>
      </x:c>
      <x:c r="AD64" t="str">
        <x:v>Z</x:v>
      </x:c>
      <x:c r="AE64" t="n">
        <x:v>0.10892</x:v>
      </x:c>
      <x:c r="AF64" t="n">
        <x:v>41.29</x:v>
      </x:c>
      <x:c r="AG64" t="n">
        <x:v>0.123</x:v>
      </x:c>
      <x:c r="AH64" t="n">
        <x:v>18.83</x:v>
      </x:c>
      <x:c r="AI64" t="n">
        <x:v>0.9032</x:v>
      </x:c>
      <x:c r="AJ64" t="n">
        <x:v>8.89</x:v>
      </x:c>
      <x:c r="AK64" t="n">
        <x:v>0.708</x:v>
      </x:c>
      <x:c r="AL64" t="n">
        <x:v>1.42</x:v>
      </x:c>
      <x:c r="AM64" t="n">
        <x:v>0.93793</x:v>
      </x:c>
      <x:c r="AN64" t="n">
        <x:v>19.84</x:v>
      </x:c>
      <x:c r="AO64" t="n">
        <x:v>0.853</x:v>
      </x:c>
      <x:c r="AP64" t="n">
        <x:v>1.31</x:v>
      </x:c>
      <x:c r="AQ64" t="n">
        <x:v>1.30688</x:v>
      </x:c>
      <x:c r="AR64" t="n">
        <x:v>0.21</x:v>
      </x:c>
      <x:c r="AS64" t="n">
        <x:v>0.0833</x:v>
      </x:c>
      <x:c r="AT64" t="n">
        <x:v>0.6911</x:v>
      </x:c>
      <x:c r="AU64" t="n">
        <x:v>0.7177</x:v>
      </x:c>
      <x:c r="AV64" t="n">
        <x:v>1</x:v>
      </x:c>
      <x:c r="AW64" t="n">
        <x:v>0.962971650336379</x:v>
      </x:c>
      <x:c r="AX64" t="n">
        <x:v>0.0069461449511890845</x:v>
      </x:c>
      <x:c r="AY64" t="n">
        <x:v>0.47763532000851844</x:v>
      </x:c>
      <x:c r="AZ64" t="n">
        <x:v>0.5150737660738451</x:v>
      </x:c>
    </x:row>
    <x:row r="65">
      <x:c r="A65" t="str">
        <x:v>250Hz-1</x:v>
      </x:c>
      <x:c r="B65" t="n">
        <x:v>250</x:v>
      </x:c>
      <x:c r="C65" t="n">
        <x:v>1</x:v>
      </x:c>
      <x:c r="D65" t="n">
        <x:v>4</x:v>
      </x:c>
      <x:c r="E65" t="n">
        <x:v>1</x:v>
      </x:c>
      <x:c r="F65" t="n">
        <x:v>250</x:v>
      </x:c>
      <x:c r="G65" t="n">
        <x:v>14</x:v>
      </x:c>
      <x:c r="H65" t="n">
        <x:v>409.24668</x:v>
      </x:c>
      <x:c r="I65" t="n">
        <x:v>0.44695</x:v>
      </x:c>
      <x:c r="J65" t="n">
        <x:v>26.13</x:v>
      </x:c>
      <x:c r="K65" t="n">
        <x:v>250.00216</x:v>
      </x:c>
      <x:c r="L65" t="n">
        <x:v>0.96939</x:v>
      </x:c>
      <x:c r="M65" t="n">
        <x:v>30.61</x:v>
      </x:c>
      <x:c r="N65" t="n">
        <x:v>250.00468</x:v>
      </x:c>
      <x:c r="O65" t="n">
        <x:v>1.00988</x:v>
      </x:c>
      <x:c r="P65" t="n">
        <x:v>33.99</x:v>
      </x:c>
      <x:c r="Q65" t="n">
        <x:v>249.95635</x:v>
      </x:c>
      <x:c r="R65" t="n">
        <x:v>0.11911</x:v>
      </x:c>
      <x:c r="S65" t="n">
        <x:v>250.00216</x:v>
      </x:c>
      <x:c r="T65" t="n">
        <x:v>0.96939</x:v>
      </x:c>
      <x:c r="U65" t="n">
        <x:v>250.00468</x:v>
      </x:c>
      <x:c r="V65" t="n">
        <x:v>1.00988</x:v>
      </x:c>
      <x:c r="W65" t="n">
        <x:v>250.00313</x:v>
      </x:c>
      <x:c r="X65" t="n">
        <x:v>0.00313</x:v>
      </x:c>
      <x:c r="Y65" t="n">
        <x:v>0.11911</x:v>
      </x:c>
      <x:c r="Z65" t="n">
        <x:v>0.96939</x:v>
      </x:c>
      <x:c r="AA65" t="n">
        <x:v>1.00988</x:v>
      </x:c>
      <x:c r="AB65" t="n">
        <x:v>1.40491</x:v>
      </x:c>
      <x:c r="AC65" t="n">
        <x:v>34.86</x:v>
      </x:c>
      <x:c r="AD65" t="str">
        <x:v>Z</x:v>
      </x:c>
      <x:c r="AE65" t="n">
        <x:v>0.1226</x:v>
      </x:c>
      <x:c r="AF65" t="n">
        <x:v>34.1</x:v>
      </x:c>
      <x:c r="AG65" t="n">
        <x:v>0.133</x:v>
      </x:c>
      <x:c r="AH65" t="n">
        <x:v>10.75</x:v>
      </x:c>
      <x:c r="AI65" t="n">
        <x:v>0.9565</x:v>
      </x:c>
      <x:c r="AJ65" t="n">
        <x:v>8.34</x:v>
      </x:c>
      <x:c r="AK65" t="n">
        <x:v>0.71</x:v>
      </x:c>
      <x:c r="AL65" t="n">
        <x:v>0.96</x:v>
      </x:c>
      <x:c r="AM65" t="n">
        <x:v>1.00973</x:v>
      </x:c>
      <x:c r="AN65" t="n">
        <x:v>21.05</x:v>
      </x:c>
      <x:c r="AO65" t="n">
        <x:v>0.879</x:v>
      </x:c>
      <x:c r="AP65" t="n">
        <x:v>1.81</x:v>
      </x:c>
      <x:c r="AQ65" t="n">
        <x:v>1.3963</x:v>
      </x:c>
      <x:c r="AR65" t="n">
        <x:v>1.34</x:v>
      </x:c>
      <x:c r="AS65" t="n">
        <x:v>0.0878</x:v>
      </x:c>
      <x:c r="AT65" t="n">
        <x:v>0.685</x:v>
      </x:c>
      <x:c r="AU65" t="n">
        <x:v>0.7231</x:v>
      </x:c>
      <x:c r="AV65" t="n">
        <x:v>1</x:v>
      </x:c>
      <x:c r="AW65" t="n">
        <x:v>0.9472829370227684</x:v>
      </x:c>
      <x:c r="AX65" t="n">
        <x:v>0.007709451210281349</x:v>
      </x:c>
      <x:c r="AY65" t="n">
        <x:v>0.4692588507859567</x:v>
      </x:c>
      <x:c r="AZ65" t="n">
        <x:v>0.5229414219199102</x:v>
      </x:c>
    </x:row>
    <x:row r="66">
      <x:c r="A66" t="str">
        <x:v>250Hz-1</x:v>
      </x:c>
      <x:c r="B66" t="n">
        <x:v>250</x:v>
      </x:c>
      <x:c r="C66" t="n">
        <x:v>1</x:v>
      </x:c>
      <x:c r="D66" t="n">
        <x:v>5</x:v>
      </x:c>
      <x:c r="E66" t="n">
        <x:v>1</x:v>
      </x:c>
      <x:c r="F66" t="n">
        <x:v>250</x:v>
      </x:c>
      <x:c r="G66" t="n">
        <x:v>15</x:v>
      </x:c>
      <x:c r="H66" t="n">
        <x:v>409.39599</x:v>
      </x:c>
      <x:c r="I66" t="n">
        <x:v>0.46616</x:v>
      </x:c>
      <x:c r="J66" t="n">
        <x:v>27.11</x:v>
      </x:c>
      <x:c r="K66" t="n">
        <x:v>249.99836</x:v>
      </x:c>
      <x:c r="L66" t="n">
        <x:v>1.02641</x:v>
      </x:c>
      <x:c r="M66" t="n">
        <x:v>31.63</x:v>
      </x:c>
      <x:c r="N66" t="n">
        <x:v>249.99942</x:v>
      </x:c>
      <x:c r="O66" t="n">
        <x:v>1.10611</x:v>
      </x:c>
      <x:c r="P66" t="n">
        <x:v>35.08</x:v>
      </x:c>
      <x:c r="Q66" t="n">
        <x:v>249.94729</x:v>
      </x:c>
      <x:c r="R66" t="n">
        <x:v>0.10874</x:v>
      </x:c>
      <x:c r="S66" t="n">
        <x:v>249.99836</x:v>
      </x:c>
      <x:c r="T66" t="n">
        <x:v>1.02641</x:v>
      </x:c>
      <x:c r="U66" t="n">
        <x:v>249.99942</x:v>
      </x:c>
      <x:c r="V66" t="n">
        <x:v>1.10611</x:v>
      </x:c>
      <x:c r="W66" t="n">
        <x:v>249.99867</x:v>
      </x:c>
      <x:c r="X66" t="n">
        <x:v>-0.00133</x:v>
      </x:c>
      <x:c r="Y66" t="n">
        <x:v>0.10874</x:v>
      </x:c>
      <x:c r="Z66" t="n">
        <x:v>1.02641</x:v>
      </x:c>
      <x:c r="AA66" t="n">
        <x:v>1.10611</x:v>
      </x:c>
      <x:c r="AB66" t="n">
        <x:v>1.51289</x:v>
      </x:c>
      <x:c r="AC66" t="n">
        <x:v>36.3</x:v>
      </x:c>
      <x:c r="AD66" t="str">
        <x:v>Z</x:v>
      </x:c>
      <x:c r="AE66" t="n">
        <x:v>0.132</x:v>
      </x:c>
      <x:c r="AF66" t="n">
        <x:v>30.84</x:v>
      </x:c>
      <x:c r="AG66" t="n">
        <x:v>0.147</x:v>
      </x:c>
      <x:c r="AH66" t="n">
        <x:v>8.09</x:v>
      </x:c>
      <x:c r="AI66" t="n">
        <x:v>1.03026</x:v>
      </x:c>
      <x:c r="AJ66" t="n">
        <x:v>8.58</x:v>
      </x:c>
      <x:c r="AK66" t="n">
        <x:v>0.772</x:v>
      </x:c>
      <x:c r="AL66" t="n">
        <x:v>2.03</x:v>
      </x:c>
      <x:c r="AM66" t="n">
        <x:v>1.10499</x:v>
      </x:c>
      <x:c r="AN66" t="n">
        <x:v>21.5</x:v>
      </x:c>
      <x:c r="AO66" t="n">
        <x:v>0.896</x:v>
      </x:c>
      <x:c r="AP66" t="n">
        <x:v>1.44</x:v>
      </x:c>
      <x:c r="AQ66" t="n">
        <x:v>1.51671</x:v>
      </x:c>
      <x:c r="AR66" t="n">
        <x:v>0.8</x:v>
      </x:c>
      <x:c r="AS66" t="n">
        <x:v>0.087</x:v>
      </x:c>
      <x:c r="AT66" t="n">
        <x:v>0.6793</x:v>
      </x:c>
      <x:c r="AU66" t="n">
        <x:v>0.7285</x:v>
      </x:c>
      <x:c r="AV66" t="n">
        <x:v>1</x:v>
      </x:c>
      <x:c r="AW66" t="n">
        <x:v>0.9323704286916624</x:v>
      </x:c>
      <x:c r="AX66" t="n">
        <x:v>0.00757430452697688</x:v>
      </x:c>
      <x:c r="AY66" t="n">
        <x:v>0.4614116725319906</x:v>
      </x:c>
      <x:c r="AZ66" t="n">
        <x:v>0.5307763885261322</x:v>
      </x:c>
    </x:row>
    <x:row r="67">
      <x:c r="A67" t="str">
        <x:v>250Hz-1</x:v>
      </x:c>
      <x:c r="B67" t="n">
        <x:v>250</x:v>
      </x:c>
      <x:c r="C67" t="n">
        <x:v>1</x:v>
      </x:c>
      <x:c r="D67" t="n">
        <x:v>6</x:v>
      </x:c>
      <x:c r="E67" t="n">
        <x:v>1</x:v>
      </x:c>
      <x:c r="F67" t="n">
        <x:v>250</x:v>
      </x:c>
      <x:c r="G67" t="n">
        <x:v>16</x:v>
      </x:c>
      <x:c r="H67" t="n">
        <x:v>170.38058</x:v>
      </x:c>
      <x:c r="I67" t="n">
        <x:v>0.41461</x:v>
      </x:c>
      <x:c r="J67" t="n">
        <x:v>26.23</x:v>
      </x:c>
      <x:c r="K67" t="n">
        <x:v>250.0053</x:v>
      </x:c>
      <x:c r="L67" t="n">
        <x:v>1.09504</x:v>
      </x:c>
      <x:c r="M67" t="n">
        <x:v>32.19</x:v>
      </x:c>
      <x:c r="N67" t="n">
        <x:v>250.00928</x:v>
      </x:c>
      <x:c r="O67" t="n">
        <x:v>1.19869</x:v>
      </x:c>
      <x:c r="P67" t="n">
        <x:v>35.33</x:v>
      </x:c>
      <x:c r="Q67" t="n">
        <x:v>249.94952</x:v>
      </x:c>
      <x:c r="R67" t="n">
        <x:v>0.1401</x:v>
      </x:c>
      <x:c r="S67" t="n">
        <x:v>250.0053</x:v>
      </x:c>
      <x:c r="T67" t="n">
        <x:v>1.09504</x:v>
      </x:c>
      <x:c r="U67" t="n">
        <x:v>250.00928</x:v>
      </x:c>
      <x:c r="V67" t="n">
        <x:v>1.19869</x:v>
      </x:c>
      <x:c r="W67" t="n">
        <x:v>250.00704</x:v>
      </x:c>
      <x:c r="X67" t="n">
        <x:v>0.00704</x:v>
      </x:c>
      <x:c r="Y67" t="n">
        <x:v>0.1401</x:v>
      </x:c>
      <x:c r="Z67" t="n">
        <x:v>1.09504</x:v>
      </x:c>
      <x:c r="AA67" t="n">
        <x:v>1.19869</x:v>
      </x:c>
      <x:c r="AB67" t="n">
        <x:v>1.6296</x:v>
      </x:c>
      <x:c r="AC67" t="n">
        <x:v>37.42</x:v>
      </x:c>
      <x:c r="AD67" t="str">
        <x:v>Z</x:v>
      </x:c>
      <x:c r="AE67" t="n">
        <x:v>0.12853</x:v>
      </x:c>
      <x:c r="AF67" t="n">
        <x:v>36.2</x:v>
      </x:c>
      <x:c r="AG67" t="n">
        <x:v>0.156</x:v>
      </x:c>
      <x:c r="AH67" t="n">
        <x:v>12.47</x:v>
      </x:c>
      <x:c r="AI67" t="n">
        <x:v>1.09695</x:v>
      </x:c>
      <x:c r="AJ67" t="n">
        <x:v>7.14</x:v>
      </x:c>
      <x:c r="AK67" t="n">
        <x:v>0.785</x:v>
      </x:c>
      <x:c r="AL67" t="n">
        <x:v>1.54</x:v>
      </x:c>
      <x:c r="AM67" t="n">
        <x:v>1.19483</x:v>
      </x:c>
      <x:c r="AN67" t="n">
        <x:v>19.94</x:v>
      </x:c>
      <x:c r="AO67" t="n">
        <x:v>0.898</x:v>
      </x:c>
      <x:c r="AP67" t="n">
        <x:v>1.11</x:v>
      </x:c>
      <x:c r="AQ67" t="n">
        <x:v>1.62719</x:v>
      </x:c>
      <x:c r="AR67" t="n">
        <x:v>1.11</x:v>
      </x:c>
      <x:c r="AS67" t="n">
        <x:v>0.079</x:v>
      </x:c>
      <x:c r="AT67" t="n">
        <x:v>0.6741</x:v>
      </x:c>
      <x:c r="AU67" t="n">
        <x:v>0.7343</x:v>
      </x:c>
      <x:c r="AV67" t="n">
        <x:v>1</x:v>
      </x:c>
      <x:c r="AW67" t="n">
        <x:v>0.9180803963743797</x:v>
      </x:c>
      <x:c r="AX67" t="n">
        <x:v>0.0062392513531533324</x:v>
      </x:c>
      <x:c r="AY67" t="n">
        <x:v>0.4544615357637794</x:v>
      </x:c>
      <x:c r="AZ67" t="n">
        <x:v>0.5391823951639235</x:v>
      </x:c>
    </x:row>
    <x:row r="68">
      <x:c r="A68" t="str">
        <x:v>250Hz-1</x:v>
      </x:c>
      <x:c r="B68" t="n">
        <x:v>250</x:v>
      </x:c>
      <x:c r="C68" t="n">
        <x:v>1</x:v>
      </x:c>
      <x:c r="D68" t="n">
        <x:v>7</x:v>
      </x:c>
      <x:c r="E68" t="n">
        <x:v>1</x:v>
      </x:c>
      <x:c r="F68" t="n">
        <x:v>250</x:v>
      </x:c>
      <x:c r="G68" t="n">
        <x:v>17</x:v>
      </x:c>
      <x:c r="H68" t="n">
        <x:v>409.38313</x:v>
      </x:c>
      <x:c r="I68" t="n">
        <x:v>0.48656</x:v>
      </x:c>
      <x:c r="J68" t="n">
        <x:v>27.31</x:v>
      </x:c>
      <x:c r="K68" t="n">
        <x:v>250.00265</x:v>
      </x:c>
      <x:c r="L68" t="n">
        <x:v>1.15923</x:v>
      </x:c>
      <x:c r="M68" t="n">
        <x:v>32.06</x:v>
      </x:c>
      <x:c r="N68" t="n">
        <x:v>250.00906</x:v>
      </x:c>
      <x:c r="O68" t="n">
        <x:v>1.26408</x:v>
      </x:c>
      <x:c r="P68" t="n">
        <x:v>35.21</x:v>
      </x:c>
      <x:c r="Q68" t="n">
        <x:v>250.02223</x:v>
      </x:c>
      <x:c r="R68" t="n">
        <x:v>0.1365</x:v>
      </x:c>
      <x:c r="S68" t="n">
        <x:v>250.00265</x:v>
      </x:c>
      <x:c r="T68" t="n">
        <x:v>1.15923</x:v>
      </x:c>
      <x:c r="U68" t="n">
        <x:v>250.00906</x:v>
      </x:c>
      <x:c r="V68" t="n">
        <x:v>1.26408</x:v>
      </x:c>
      <x:c r="W68" t="n">
        <x:v>250.00624</x:v>
      </x:c>
      <x:c r="X68" t="n">
        <x:v>0.00624</x:v>
      </x:c>
      <x:c r="Y68" t="n">
        <x:v>0.1365</x:v>
      </x:c>
      <x:c r="Z68" t="n">
        <x:v>1.15923</x:v>
      </x:c>
      <x:c r="AA68" t="n">
        <x:v>1.26408</x:v>
      </x:c>
      <x:c r="AB68" t="n">
        <x:v>1.72057</x:v>
      </x:c>
      <x:c r="AC68" t="n">
        <x:v>35.82</x:v>
      </x:c>
      <x:c r="AD68" t="str">
        <x:v>Z</x:v>
      </x:c>
      <x:c r="AE68" t="n">
        <x:v>0.14639</x:v>
      </x:c>
      <x:c r="AF68" t="n">
        <x:v>41.45</x:v>
      </x:c>
      <x:c r="AG68" t="n">
        <x:v>0.156</x:v>
      </x:c>
      <x:c r="AH68" t="n">
        <x:v>11.5</x:v>
      </x:c>
      <x:c r="AI68" t="n">
        <x:v>1.17197</x:v>
      </x:c>
      <x:c r="AJ68" t="n">
        <x:v>8.63</x:v>
      </x:c>
      <x:c r="AK68" t="n">
        <x:v>0.78</x:v>
      </x:c>
      <x:c r="AL68" t="n">
        <x:v>0.59</x:v>
      </x:c>
      <x:c r="AM68" t="n">
        <x:v>1.27778</x:v>
      </x:c>
      <x:c r="AN68" t="n">
        <x:v>21.16</x:v>
      </x:c>
      <x:c r="AO68" t="n">
        <x:v>0.905</x:v>
      </x:c>
      <x:c r="AP68" t="n">
        <x:v>1.1</x:v>
      </x:c>
      <x:c r="AQ68" t="n">
        <x:v>1.74012</x:v>
      </x:c>
      <x:c r="AR68" t="n">
        <x:v>0.52</x:v>
      </x:c>
      <x:c r="AS68" t="n">
        <x:v>0.0841</x:v>
      </x:c>
      <x:c r="AT68" t="n">
        <x:v>0.6735</x:v>
      </x:c>
      <x:c r="AU68" t="n">
        <x:v>0.7343</x:v>
      </x:c>
      <x:c r="AV68" t="n">
        <x:v>1</x:v>
      </x:c>
      <x:c r="AW68" t="n">
        <x:v>0.9171923179264037</x:v>
      </x:c>
      <x:c r="AX68" t="n">
        <x:v>0.007077248163315704</x:v>
      </x:c>
      <x:c r="AY68" t="n">
        <x:v>0.4536016152508945</x:v>
      </x:c>
      <x:c r="AZ68" t="n">
        <x:v>0.5392048317801886</x:v>
      </x:c>
    </x:row>
    <x:row r="69">
      <x:c r="A69" t="str">
        <x:v>250Hz-1</x:v>
      </x:c>
      <x:c r="B69" t="n">
        <x:v>250</x:v>
      </x:c>
      <x:c r="C69" t="n">
        <x:v>1</x:v>
      </x:c>
      <x:c r="D69" t="n">
        <x:v>8</x:v>
      </x:c>
      <x:c r="E69" t="n">
        <x:v>1</x:v>
      </x:c>
      <x:c r="F69" t="n">
        <x:v>250</x:v>
      </x:c>
      <x:c r="G69" t="n">
        <x:v>18</x:v>
      </x:c>
      <x:c r="H69" t="n">
        <x:v>409.13592</x:v>
      </x:c>
      <x:c r="I69" t="n">
        <x:v>0.34891</x:v>
      </x:c>
      <x:c r="J69" t="n">
        <x:v>25.4</x:v>
      </x:c>
      <x:c r="K69" t="n">
        <x:v>249.99411</x:v>
      </x:c>
      <x:c r="L69" t="n">
        <x:v>1.22025</x:v>
      </x:c>
      <x:c r="M69" t="n">
        <x:v>33.3</x:v>
      </x:c>
      <x:c r="N69" t="n">
        <x:v>249.99444</x:v>
      </x:c>
      <x:c r="O69" t="n">
        <x:v>1.35618</x:v>
      </x:c>
      <x:c r="P69" t="n">
        <x:v>36.19</x:v>
      </x:c>
      <x:c r="Q69" t="n">
        <x:v>250.10674</x:v>
      </x:c>
      <x:c r="R69" t="n">
        <x:v>0.14379</x:v>
      </x:c>
      <x:c r="S69" t="n">
        <x:v>249.99411</x:v>
      </x:c>
      <x:c r="T69" t="n">
        <x:v>1.22025</x:v>
      </x:c>
      <x:c r="U69" t="n">
        <x:v>249.99444</x:v>
      </x:c>
      <x:c r="V69" t="n">
        <x:v>1.35618</x:v>
      </x:c>
      <x:c r="W69" t="n">
        <x:v>249.99498</x:v>
      </x:c>
      <x:c r="X69" t="n">
        <x:v>-0.00502</x:v>
      </x:c>
      <x:c r="Y69" t="n">
        <x:v>0.14379</x:v>
      </x:c>
      <x:c r="Z69" t="n">
        <x:v>1.22025</x:v>
      </x:c>
      <x:c r="AA69" t="n">
        <x:v>1.35618</x:v>
      </x:c>
      <x:c r="AB69" t="n">
        <x:v>1.83</x:v>
      </x:c>
      <x:c r="AC69" t="n">
        <x:v>38.21</x:v>
      </x:c>
      <x:c r="AD69" t="str">
        <x:v>Z</x:v>
      </x:c>
      <x:c r="AE69" t="n">
        <x:v>0.1522</x:v>
      </x:c>
      <x:c r="AF69" t="n">
        <x:v>37.34</x:v>
      </x:c>
      <x:c r="AG69" t="n">
        <x:v>0.208</x:v>
      </x:c>
      <x:c r="AH69" t="n">
        <x:v>7.34</x:v>
      </x:c>
      <x:c r="AI69" t="n">
        <x:v>1.2109</x:v>
      </x:c>
      <x:c r="AJ69" t="n">
        <x:v>7.83</x:v>
      </x:c>
      <x:c r="AK69" t="n">
        <x:v>0.824</x:v>
      </x:c>
      <x:c r="AL69" t="n">
        <x:v>0.85</x:v>
      </x:c>
      <x:c r="AM69" t="n">
        <x:v>1.36347</x:v>
      </x:c>
      <x:c r="AN69" t="n">
        <x:v>21.21</x:v>
      </x:c>
      <x:c r="AO69" t="n">
        <x:v>0.912</x:v>
      </x:c>
      <x:c r="AP69" t="n">
        <x:v>2.18</x:v>
      </x:c>
      <x:c r="AQ69" t="n">
        <x:v>1.82997</x:v>
      </x:c>
      <x:c r="AR69" t="n">
        <x:v>1.49</x:v>
      </x:c>
      <x:c r="AS69" t="n">
        <x:v>0.0832</x:v>
      </x:c>
      <x:c r="AT69" t="n">
        <x:v>0.6617</x:v>
      </x:c>
      <x:c r="AU69" t="n">
        <x:v>0.7451</x:v>
      </x:c>
      <x:c r="AV69" t="n">
        <x:v>1</x:v>
      </x:c>
      <x:c r="AW69" t="n">
        <x:v>0.8881016817385056</x:v>
      </x:c>
      <x:c r="AX69" t="n">
        <x:v>0.006917375711913622</x:v>
      </x:c>
      <x:c r="AY69" t="n">
        <x:v>0.4378532909006757</x:v>
      </x:c>
      <x:c r="AZ69" t="n">
        <x:v>0.5551409104100857</x:v>
      </x:c>
    </x:row>
    <x:row r="70">
      <x:c r="A70" t="str">
        <x:v>250Hz-1</x:v>
      </x:c>
      <x:c r="B70" t="n">
        <x:v>250</x:v>
      </x:c>
      <x:c r="C70" t="n">
        <x:v>1</x:v>
      </x:c>
      <x:c r="D70" t="n">
        <x:v>9</x:v>
      </x:c>
      <x:c r="E70" t="n">
        <x:v>1</x:v>
      </x:c>
      <x:c r="F70" t="n">
        <x:v>250</x:v>
      </x:c>
      <x:c r="G70" t="n">
        <x:v>19</x:v>
      </x:c>
      <x:c r="H70" t="n">
        <x:v>409.31079</x:v>
      </x:c>
      <x:c r="I70" t="n">
        <x:v>0.57869</x:v>
      </x:c>
      <x:c r="J70" t="n">
        <x:v>29.18</x:v>
      </x:c>
      <x:c r="K70" t="n">
        <x:v>249.99699</x:v>
      </x:c>
      <x:c r="L70" t="n">
        <x:v>1.26468</x:v>
      </x:c>
      <x:c r="M70" t="n">
        <x:v>33.56</x:v>
      </x:c>
      <x:c r="N70" t="n">
        <x:v>250.00016</x:v>
      </x:c>
      <x:c r="O70" t="n">
        <x:v>1.47329</x:v>
      </x:c>
      <x:c r="P70" t="n">
        <x:v>36.55</x:v>
      </x:c>
      <x:c r="Q70" t="n">
        <x:v>249.91928</x:v>
      </x:c>
      <x:c r="R70" t="n">
        <x:v>0.16552</x:v>
      </x:c>
      <x:c r="S70" t="n">
        <x:v>249.99699</x:v>
      </x:c>
      <x:c r="T70" t="n">
        <x:v>1.26468</x:v>
      </x:c>
      <x:c r="U70" t="n">
        <x:v>250.00016</x:v>
      </x:c>
      <x:c r="V70" t="n">
        <x:v>1.47329</x:v>
      </x:c>
      <x:c r="W70" t="n">
        <x:v>249.99824</x:v>
      </x:c>
      <x:c r="X70" t="n">
        <x:v>-0.00176</x:v>
      </x:c>
      <x:c r="Y70" t="n">
        <x:v>0.16552</x:v>
      </x:c>
      <x:c r="Z70" t="n">
        <x:v>1.26468</x:v>
      </x:c>
      <x:c r="AA70" t="n">
        <x:v>1.47329</x:v>
      </x:c>
      <x:c r="AB70" t="n">
        <x:v>1.94869</x:v>
      </x:c>
      <x:c r="AC70" t="n">
        <x:v>39.76</x:v>
      </x:c>
      <x:c r="AD70" t="str">
        <x:v>Z</x:v>
      </x:c>
      <x:c r="AE70" t="n">
        <x:v>0.15747</x:v>
      </x:c>
      <x:c r="AF70" t="n">
        <x:v>31.89</x:v>
      </x:c>
      <x:c r="AG70" t="n">
        <x:v>0.175</x:v>
      </x:c>
      <x:c r="AH70" t="n">
        <x:v>13.41</x:v>
      </x:c>
      <x:c r="AI70" t="n">
        <x:v>1.26417</x:v>
      </x:c>
      <x:c r="AJ70" t="n">
        <x:v>7.31</x:v>
      </x:c>
      <x:c r="AK70" t="n">
        <x:v>0.825</x:v>
      </x:c>
      <x:c r="AL70" t="n">
        <x:v>1.02</x:v>
      </x:c>
      <x:c r="AM70" t="n">
        <x:v>1.46045</x:v>
      </x:c>
      <x:c r="AN70" t="n">
        <x:v>20.43</x:v>
      </x:c>
      <x:c r="AO70" t="n">
        <x:v>0.913</x:v>
      </x:c>
      <x:c r="AP70" t="n">
        <x:v>1.73</x:v>
      </x:c>
      <x:c r="AQ70" t="n">
        <x:v>1.93811</x:v>
      </x:c>
      <x:c r="AR70" t="n">
        <x:v>1.35</x:v>
      </x:c>
      <x:c r="AS70" t="n">
        <x:v>0.0812</x:v>
      </x:c>
      <x:c r="AT70" t="n">
        <x:v>0.6523</x:v>
      </x:c>
      <x:c r="AU70" t="n">
        <x:v>0.7535</x:v>
      </x:c>
      <x:c r="AV70" t="n">
        <x:v>1</x:v>
      </x:c>
      <x:c r="AW70" t="n">
        <x:v>0.8656030675476737</x:v>
      </x:c>
      <x:c r="AX70" t="n">
        <x:v>0.006601441973980422</x:v>
      </x:c>
      <x:c r="AY70" t="n">
        <x:v>0.42545547327216054</x:v>
      </x:c>
      <x:c r="AZ70" t="n">
        <x:v>0.5678276564813842</x:v>
      </x:c>
    </x:row>
    <x:row r="71">
      <x:c r="A71" t="str">
        <x:v>250Hz-1</x:v>
      </x:c>
      <x:c r="B71" t="n">
        <x:v>250</x:v>
      </x:c>
      <x:c r="C71" t="n">
        <x:v>1</x:v>
      </x:c>
      <x:c r="D71" t="n">
        <x:v>10</x:v>
      </x:c>
      <x:c r="E71" t="n">
        <x:v>1</x:v>
      </x:c>
      <x:c r="F71" t="n">
        <x:v>250</x:v>
      </x:c>
      <x:c r="G71" t="n">
        <x:v>20</x:v>
      </x:c>
      <x:c r="H71" t="n">
        <x:v>159.28</x:v>
      </x:c>
      <x:c r="I71" t="n">
        <x:v>0.36191</x:v>
      </x:c>
      <x:c r="J71" t="n">
        <x:v>25.77</x:v>
      </x:c>
      <x:c r="K71" t="n">
        <x:v>249.99799</x:v>
      </x:c>
      <x:c r="L71" t="n">
        <x:v>1.31238</x:v>
      </x:c>
      <x:c r="M71" t="n">
        <x:v>33.62</x:v>
      </x:c>
      <x:c r="N71" t="n">
        <x:v>250.00562</x:v>
      </x:c>
      <x:c r="O71" t="n">
        <x:v>1.55498</x:v>
      </x:c>
      <x:c r="P71" t="n">
        <x:v>36.65</x:v>
      </x:c>
      <x:c r="Q71" t="n">
        <x:v>249.97206</x:v>
      </x:c>
      <x:c r="R71" t="n">
        <x:v>0.17607</x:v>
      </x:c>
      <x:c r="S71" t="n">
        <x:v>249.99799</x:v>
      </x:c>
      <x:c r="T71" t="n">
        <x:v>1.31238</x:v>
      </x:c>
      <x:c r="U71" t="n">
        <x:v>250.00562</x:v>
      </x:c>
      <x:c r="V71" t="n">
        <x:v>1.55498</x:v>
      </x:c>
      <x:c r="W71" t="n">
        <x:v>250.00222</x:v>
      </x:c>
      <x:c r="X71" t="n">
        <x:v>0.00222</x:v>
      </x:c>
      <x:c r="Y71" t="n">
        <x:v>0.17607</x:v>
      </x:c>
      <x:c r="Z71" t="n">
        <x:v>1.31238</x:v>
      </x:c>
      <x:c r="AA71" t="n">
        <x:v>1.55498</x:v>
      </x:c>
      <x:c r="AB71" t="n">
        <x:v>2.04238</x:v>
      </x:c>
      <x:c r="AC71" t="n">
        <x:v>38.78</x:v>
      </x:c>
      <x:c r="AD71" t="str">
        <x:v>Z</x:v>
      </x:c>
      <x:c r="AE71" t="n">
        <x:v>0.172</x:v>
      </x:c>
      <x:c r="AF71" t="n">
        <x:v>34.69</x:v>
      </x:c>
      <x:c r="AG71" t="n">
        <x:v>0.236</x:v>
      </x:c>
      <x:c r="AH71" t="n">
        <x:v>7.17</x:v>
      </x:c>
      <x:c r="AI71" t="n">
        <x:v>1.31856</x:v>
      </x:c>
      <x:c r="AJ71" t="n">
        <x:v>8.36</x:v>
      </x:c>
      <x:c r="AK71" t="n">
        <x:v>0.836</x:v>
      </x:c>
      <x:c r="AL71" t="n">
        <x:v>0.79</x:v>
      </x:c>
      <x:c r="AM71" t="n">
        <x:v>1.5451</x:v>
      </x:c>
      <x:c r="AN71" t="n">
        <x:v>21.14</x:v>
      </x:c>
      <x:c r="AO71" t="n">
        <x:v>0.914</x:v>
      </x:c>
      <x:c r="AP71" t="n">
        <x:v>1.28</x:v>
      </x:c>
      <x:c r="AQ71" t="n">
        <x:v>2.03859</x:v>
      </x:c>
      <x:c r="AR71" t="n">
        <x:v>0.7</x:v>
      </x:c>
      <x:c r="AS71" t="n">
        <x:v>0.0844</x:v>
      </x:c>
      <x:c r="AT71" t="n">
        <x:v>0.6468</x:v>
      </x:c>
      <x:c r="AU71" t="n">
        <x:v>0.7579</x:v>
      </x:c>
      <x:c r="AV71" t="n">
        <x:v>1</x:v>
      </x:c>
      <x:c r="AW71" t="n">
        <x:v>0.8533816581451039</x:v>
      </x:c>
      <x:c r="AX71" t="n">
        <x:v>0.007118641380132808</x:v>
      </x:c>
      <x:c r="AY71" t="n">
        <x:v>0.4183502323853251</x:v>
      </x:c>
      <x:c r="AZ71" t="n">
        <x:v>0.5744515505605865</x:v>
      </x:c>
    </x:row>
    <x:row r="72">
      <x:c r="A72" t="str">
        <x:v>268Hz-1</x:v>
      </x:c>
      <x:c r="B72" t="n">
        <x:v>268</x:v>
      </x:c>
      <x:c r="C72" t="n">
        <x:v>1</x:v>
      </x:c>
      <x:c r="D72" t="n">
        <x:v>1</x:v>
      </x:c>
      <x:c r="E72" t="n">
        <x:v>1</x:v>
      </x:c>
      <x:c r="F72" t="n">
        <x:v>268</x:v>
      </x:c>
      <x:c r="G72" t="n">
        <x:v>11</x:v>
      </x:c>
      <x:c r="H72" t="n">
        <x:v>296.53122</x:v>
      </x:c>
      <x:c r="I72" t="n">
        <x:v>0.3006</x:v>
      </x:c>
      <x:c r="J72" t="n">
        <x:v>20.88</x:v>
      </x:c>
      <x:c r="K72" t="n">
        <x:v>267.98092</x:v>
      </x:c>
      <x:c r="L72" t="n">
        <x:v>1.00821</x:v>
      </x:c>
      <x:c r="M72" t="n">
        <x:v>27.67</x:v>
      </x:c>
      <x:c r="N72" t="n">
        <x:v>268.03091</x:v>
      </x:c>
      <x:c r="O72" t="n">
        <x:v>0.85237</x:v>
      </x:c>
      <x:c r="P72" t="n">
        <x:v>31.96</x:v>
      </x:c>
      <x:c r="Q72" t="n">
        <x:v>267.82782</x:v>
      </x:c>
      <x:c r="R72" t="n">
        <x:v>0.09059</x:v>
      </x:c>
      <x:c r="S72" t="n">
        <x:v>267.98092</x:v>
      </x:c>
      <x:c r="T72" t="n">
        <x:v>1.00821</x:v>
      </x:c>
      <x:c r="U72" t="n">
        <x:v>268.03091</x:v>
      </x:c>
      <x:c r="V72" t="n">
        <x:v>0.85237</x:v>
      </x:c>
      <x:c r="W72" t="n">
        <x:v>268.00124</x:v>
      </x:c>
      <x:c r="X72" t="n">
        <x:v>0.00124</x:v>
      </x:c>
      <x:c r="Y72" t="n">
        <x:v>0.08345</x:v>
      </x:c>
      <x:c r="Z72" t="n">
        <x:v>1.00821</x:v>
      </x:c>
      <x:c r="AA72" t="n">
        <x:v>0.85237</x:v>
      </x:c>
      <x:c r="AB72" t="n">
        <x:v>1.32287</x:v>
      </x:c>
      <x:c r="AC72" t="n">
        <x:v>30.15</x:v>
      </x:c>
      <x:c r="AD72" t="str">
        <x:v>Y</x:v>
      </x:c>
      <x:c r="AE72" t="n">
        <x:v>0.10609</x:v>
      </x:c>
      <x:c r="AF72" t="n">
        <x:v>44.41</x:v>
      </x:c>
      <x:c r="AG72" t="n">
        <x:v>0.121</x:v>
      </x:c>
      <x:c r="AH72" t="n">
        <x:v>27</x:v>
      </x:c>
      <x:c r="AI72" t="n">
        <x:v>1.19524</x:v>
      </x:c>
      <x:c r="AJ72" t="n">
        <x:v>-3.07</x:v>
      </x:c>
      <x:c r="AK72" t="n">
        <x:v>0.722</x:v>
      </x:c>
      <x:c r="AL72" t="n">
        <x:v>4.54</x:v>
      </x:c>
      <x:c r="AM72" t="n">
        <x:v>1.03241</x:v>
      </x:c>
      <x:c r="AN72" t="n">
        <x:v>11.48</x:v>
      </x:c>
      <x:c r="AO72" t="n">
        <x:v>0.865</x:v>
      </x:c>
      <x:c r="AP72" t="n">
        <x:v>2.67</x:v>
      </x:c>
      <x:c r="AQ72" t="n">
        <x:v>1.58339</x:v>
      </x:c>
      <x:c r="AR72" t="n">
        <x:v>3.34</x:v>
      </x:c>
      <x:c r="AS72" t="n">
        <x:v>0.067</x:v>
      </x:c>
      <x:c r="AT72" t="n">
        <x:v>0.7549</x:v>
      </x:c>
      <x:c r="AU72" t="n">
        <x:v>0.652</x:v>
      </x:c>
      <x:c r="AV72" t="n">
        <x:v>1</x:v>
      </x:c>
      <x:c r="AW72" t="n">
        <x:v>1.157718348330605</x:v>
      </x:c>
      <x:c r="AX72" t="n">
        <x:v>0.004489242887224289</x:v>
      </x:c>
      <x:c r="AY72" t="n">
        <x:v>0.5698157406985529</x:v>
      </x:c>
      <x:c r="AZ72" t="n">
        <x:v>0.42513671201434444</x:v>
      </x:c>
    </x:row>
    <x:row r="73">
      <x:c r="A73" t="str">
        <x:v>268Hz-1</x:v>
      </x:c>
      <x:c r="B73" t="n">
        <x:v>268</x:v>
      </x:c>
      <x:c r="C73" t="n">
        <x:v>1</x:v>
      </x:c>
      <x:c r="D73" t="n">
        <x:v>2</x:v>
      </x:c>
      <x:c r="E73" t="n">
        <x:v>1</x:v>
      </x:c>
      <x:c r="F73" t="n">
        <x:v>268</x:v>
      </x:c>
      <x:c r="G73" t="n">
        <x:v>12</x:v>
      </x:c>
      <x:c r="H73" t="n">
        <x:v>211.31119</x:v>
      </x:c>
      <x:c r="I73" t="n">
        <x:v>0.42415</x:v>
      </x:c>
      <x:c r="J73" t="n">
        <x:v>24.11</x:v>
      </x:c>
      <x:c r="K73" t="n">
        <x:v>268.01463</x:v>
      </x:c>
      <x:c r="L73" t="n">
        <x:v>1.08914</x:v>
      </x:c>
      <x:c r="M73" t="n">
        <x:v>28.73</x:v>
      </x:c>
      <x:c r="N73" t="n">
        <x:v>268.02151</x:v>
      </x:c>
      <x:c r="O73" t="n">
        <x:v>0.92836</x:v>
      </x:c>
      <x:c r="P73" t="n">
        <x:v>32.53</x:v>
      </x:c>
      <x:c r="Q73" t="n">
        <x:v>267.98524</x:v>
      </x:c>
      <x:c r="R73" t="n">
        <x:v>0.0977</x:v>
      </x:c>
      <x:c r="S73" t="n">
        <x:v>268.01463</x:v>
      </x:c>
      <x:c r="T73" t="n">
        <x:v>1.08914</x:v>
      </x:c>
      <x:c r="U73" t="n">
        <x:v>268.02151</x:v>
      </x:c>
      <x:c r="V73" t="n">
        <x:v>0.92836</x:v>
      </x:c>
      <x:c r="W73" t="n">
        <x:v>268.01736</x:v>
      </x:c>
      <x:c r="X73" t="n">
        <x:v>0.01736</x:v>
      </x:c>
      <x:c r="Y73" t="n">
        <x:v>0.0977</x:v>
      </x:c>
      <x:c r="Z73" t="n">
        <x:v>1.08914</x:v>
      </x:c>
      <x:c r="AA73" t="n">
        <x:v>0.92836</x:v>
      </x:c>
      <x:c r="AB73" t="n">
        <x:v>1.43444</x:v>
      </x:c>
      <x:c r="AC73" t="n">
        <x:v>31.52</x:v>
      </x:c>
      <x:c r="AD73" t="str">
        <x:v>Y</x:v>
      </x:c>
      <x:c r="AE73" t="n">
        <x:v>0.10666</x:v>
      </x:c>
      <x:c r="AF73" t="n">
        <x:v>37.85</x:v>
      </x:c>
      <x:c r="AG73" t="n">
        <x:v>0.119</x:v>
      </x:c>
      <x:c r="AH73" t="n">
        <x:v>16.15</x:v>
      </x:c>
      <x:c r="AI73" t="n">
        <x:v>1.27703</x:v>
      </x:c>
      <x:c r="AJ73" t="n">
        <x:v>-3.75</x:v>
      </x:c>
      <x:c r="AK73" t="n">
        <x:v>0.766</x:v>
      </x:c>
      <x:c r="AL73" t="n">
        <x:v>4.61</x:v>
      </x:c>
      <x:c r="AM73" t="n">
        <x:v>1.12218</x:v>
      </x:c>
      <x:c r="AN73" t="n">
        <x:v>12.3</x:v>
      </x:c>
      <x:c r="AO73" t="n">
        <x:v>0.884</x:v>
      </x:c>
      <x:c r="AP73" t="n">
        <x:v>0.82</x:v>
      </x:c>
      <x:c r="AQ73" t="n">
        <x:v>1.70382</x:v>
      </x:c>
      <x:c r="AR73" t="n">
        <x:v>2.56</x:v>
      </x:c>
      <x:c r="AS73" t="n">
        <x:v>0.0626</x:v>
      </x:c>
      <x:c r="AT73" t="n">
        <x:v>0.7495</x:v>
      </x:c>
      <x:c r="AU73" t="n">
        <x:v>0.6586</x:v>
      </x:c>
      <x:c r="AV73" t="n">
        <x:v>1</x:v>
      </x:c>
      <x:c r="AW73" t="n">
        <x:v>1.1379903402306226</x:v>
      </x:c>
      <x:c r="AX73" t="n">
        <x:v>0.003918823782583957</x:v>
      </x:c>
      <x:c r="AY73" t="n">
        <x:v>0.5617651273097087</x:v>
      </x:c>
      <x:c r="AZ73" t="n">
        <x:v>0.43378809088796183</x:v>
      </x:c>
    </x:row>
    <x:row r="74">
      <x:c r="A74" t="str">
        <x:v>268Hz-1</x:v>
      </x:c>
      <x:c r="B74" t="n">
        <x:v>268</x:v>
      </x:c>
      <x:c r="C74" t="n">
        <x:v>1</x:v>
      </x:c>
      <x:c r="D74" t="n">
        <x:v>3</x:v>
      </x:c>
      <x:c r="E74" t="n">
        <x:v>1</x:v>
      </x:c>
      <x:c r="F74" t="n">
        <x:v>268</x:v>
      </x:c>
      <x:c r="G74" t="n">
        <x:v>13</x:v>
      </x:c>
      <x:c r="H74" t="n">
        <x:v>211.2268</x:v>
      </x:c>
      <x:c r="I74" t="n">
        <x:v>0.37706</x:v>
      </x:c>
      <x:c r="J74" t="n">
        <x:v>23.52</x:v>
      </x:c>
      <x:c r="K74" t="n">
        <x:v>268.02118</x:v>
      </x:c>
      <x:c r="L74" t="n">
        <x:v>1.16909</x:v>
      </x:c>
      <x:c r="M74" t="n">
        <x:v>29.61</x:v>
      </x:c>
      <x:c r="N74" t="n">
        <x:v>268.00396</x:v>
      </x:c>
      <x:c r="O74" t="n">
        <x:v>1.00724</x:v>
      </x:c>
      <x:c r="P74" t="n">
        <x:v>33.33</x:v>
      </x:c>
      <x:c r="Q74" t="n">
        <x:v>267.9927</x:v>
      </x:c>
      <x:c r="R74" t="n">
        <x:v>0.10309</x:v>
      </x:c>
      <x:c r="S74" t="n">
        <x:v>268.02118</x:v>
      </x:c>
      <x:c r="T74" t="n">
        <x:v>1.16909</x:v>
      </x:c>
      <x:c r="U74" t="n">
        <x:v>268.00396</x:v>
      </x:c>
      <x:c r="V74" t="n">
        <x:v>1.00724</x:v>
      </x:c>
      <x:c r="W74" t="n">
        <x:v>268.01369</x:v>
      </x:c>
      <x:c r="X74" t="n">
        <x:v>0.01369</x:v>
      </x:c>
      <x:c r="Y74" t="n">
        <x:v>0.10309</x:v>
      </x:c>
      <x:c r="Z74" t="n">
        <x:v>1.16909</x:v>
      </x:c>
      <x:c r="AA74" t="n">
        <x:v>1.00724</x:v>
      </x:c>
      <x:c r="AB74" t="n">
        <x:v>1.54658</x:v>
      </x:c>
      <x:c r="AC74" t="n">
        <x:v>30.46</x:v>
      </x:c>
      <x:c r="AD74" t="str">
        <x:v>Y</x:v>
      </x:c>
      <x:c r="AE74" t="n">
        <x:v>0.12939</x:v>
      </x:c>
      <x:c r="AF74" t="n">
        <x:v>33.07</x:v>
      </x:c>
      <x:c r="AG74" t="n">
        <x:v>0.161</x:v>
      </x:c>
      <x:c r="AH74" t="n">
        <x:v>8.4</x:v>
      </x:c>
      <x:c r="AI74" t="n">
        <x:v>1.39187</x:v>
      </x:c>
      <x:c r="AJ74" t="n">
        <x:v>-4.26</x:v>
      </x:c>
      <x:c r="AK74" t="n">
        <x:v>0.801</x:v>
      </x:c>
      <x:c r="AL74" t="n">
        <x:v>4.08</x:v>
      </x:c>
      <x:c r="AM74" t="n">
        <x:v>1.26215</x:v>
      </x:c>
      <x:c r="AN74" t="n">
        <x:v>12.43</x:v>
      </x:c>
      <x:c r="AO74" t="n">
        <x:v>0.905</x:v>
      </x:c>
      <x:c r="AP74" t="n">
        <x:v>1.96</x:v>
      </x:c>
      <x:c r="AQ74" t="n">
        <x:v>1.88401</x:v>
      </x:c>
      <x:c r="AR74" t="n">
        <x:v>1.61</x:v>
      </x:c>
      <x:c r="AS74" t="n">
        <x:v>0.0687</x:v>
      </x:c>
      <x:c r="AT74" t="n">
        <x:v>0.7388</x:v>
      </x:c>
      <x:c r="AU74" t="n">
        <x:v>0.6699</x:v>
      </x:c>
      <x:c r="AV74" t="n">
        <x:v>1</x:v>
      </x:c>
      <x:c r="AW74" t="n">
        <x:v>1.102777007487224</x:v>
      </x:c>
      <x:c r="AX74" t="n">
        <x:v>0.0047166648566981904</x:v>
      </x:c>
      <x:c r="AY74" t="n">
        <x:v>0.5457967449727704</x:v>
      </x:c>
      <x:c r="AZ74" t="n">
        <x:v>0.44880277754294245</x:v>
      </x:c>
    </x:row>
    <x:row r="75">
      <x:c r="A75" t="str">
        <x:v>268Hz-1</x:v>
      </x:c>
      <x:c r="B75" t="n">
        <x:v>268</x:v>
      </x:c>
      <x:c r="C75" t="n">
        <x:v>1</x:v>
      </x:c>
      <x:c r="D75" t="n">
        <x:v>4</x:v>
      </x:c>
      <x:c r="E75" t="n">
        <x:v>1</x:v>
      </x:c>
      <x:c r="F75" t="n">
        <x:v>268</x:v>
      </x:c>
      <x:c r="G75" t="n">
        <x:v>14</x:v>
      </x:c>
      <x:c r="H75" t="n">
        <x:v>211.13092</x:v>
      </x:c>
      <x:c r="I75" t="n">
        <x:v>0.46585</x:v>
      </x:c>
      <x:c r="J75" t="n">
        <x:v>25.07</x:v>
      </x:c>
      <x:c r="K75" t="n">
        <x:v>267.99994</x:v>
      </x:c>
      <x:c r="L75" t="n">
        <x:v>1.25194</x:v>
      </x:c>
      <x:c r="M75" t="n">
        <x:v>29.62</x:v>
      </x:c>
      <x:c r="N75" t="n">
        <x:v>268.01847</x:v>
      </x:c>
      <x:c r="O75" t="n">
        <x:v>1.12471</x:v>
      </x:c>
      <x:c r="P75" t="n">
        <x:v>33.32</x:v>
      </x:c>
      <x:c r="Q75" t="n">
        <x:v>267.90229</x:v>
      </x:c>
      <x:c r="R75" t="n">
        <x:v>0.12096</x:v>
      </x:c>
      <x:c r="S75" t="n">
        <x:v>267.99994</x:v>
      </x:c>
      <x:c r="T75" t="n">
        <x:v>1.25194</x:v>
      </x:c>
      <x:c r="U75" t="n">
        <x:v>268.01847</x:v>
      </x:c>
      <x:c r="V75" t="n">
        <x:v>1.12471</x:v>
      </x:c>
      <x:c r="W75" t="n">
        <x:v>268.00774</x:v>
      </x:c>
      <x:c r="X75" t="n">
        <x:v>0.00774</x:v>
      </x:c>
      <x:c r="Y75" t="n">
        <x:v>0.11646</x:v>
      </x:c>
      <x:c r="Z75" t="n">
        <x:v>1.25194</x:v>
      </x:c>
      <x:c r="AA75" t="n">
        <x:v>1.12471</x:v>
      </x:c>
      <x:c r="AB75" t="n">
        <x:v>1.68697</x:v>
      </x:c>
      <x:c r="AC75" t="n">
        <x:v>29.43</x:v>
      </x:c>
      <x:c r="AD75" t="str">
        <x:v>Y</x:v>
      </x:c>
      <x:c r="AE75" t="n">
        <x:v>0.1524</x:v>
      </x:c>
      <x:c r="AF75" t="n">
        <x:v>34.92</x:v>
      </x:c>
      <x:c r="AG75" t="n">
        <x:v>0.17</x:v>
      </x:c>
      <x:c r="AH75" t="n">
        <x:v>10.66</x:v>
      </x:c>
      <x:c r="AI75" t="n">
        <x:v>1.49063</x:v>
      </x:c>
      <x:c r="AJ75" t="n">
        <x:v>-4.1</x:v>
      </x:c>
      <x:c r="AK75" t="n">
        <x:v>0.805</x:v>
      </x:c>
      <x:c r="AL75" t="n">
        <x:v>3.9</x:v>
      </x:c>
      <x:c r="AM75" t="n">
        <x:v>1.33652</x:v>
      </x:c>
      <x:c r="AN75" t="n">
        <x:v>13.47</x:v>
      </x:c>
      <x:c r="AO75" t="n">
        <x:v>0.899</x:v>
      </x:c>
      <x:c r="AP75" t="n">
        <x:v>1.26</x:v>
      </x:c>
      <x:c r="AQ75" t="n">
        <x:v>2.00825</x:v>
      </x:c>
      <x:c r="AR75" t="n">
        <x:v>2.19</x:v>
      </x:c>
      <x:c r="AS75" t="n">
        <x:v>0.0759</x:v>
      </x:c>
      <x:c r="AT75" t="n">
        <x:v>0.7423</x:v>
      </x:c>
      <x:c r="AU75" t="n">
        <x:v>0.6655</x:v>
      </x:c>
      <x:c r="AV75" t="n">
        <x:v>1</x:v>
      </x:c>
      <x:c r="AW75" t="n">
        <x:v>1.1153069164696376</x:v>
      </x:c>
      <x:c r="AX75" t="n">
        <x:v>0.005758831648777811</x:v>
      </x:c>
      <x:c r="AY75" t="n">
        <x:v>0.5509398211154043</x:v>
      </x:c>
      <x:c r="AZ75" t="n">
        <x:v>0.4429098846630239</x:v>
      </x:c>
    </x:row>
    <x:row r="76">
      <x:c r="A76" t="str">
        <x:v>268Hz-1</x:v>
      </x:c>
      <x:c r="B76" t="n">
        <x:v>268</x:v>
      </x:c>
      <x:c r="C76" t="n">
        <x:v>1</x:v>
      </x:c>
      <x:c r="D76" t="n">
        <x:v>5</x:v>
      </x:c>
      <x:c r="E76" t="n">
        <x:v>1</x:v>
      </x:c>
      <x:c r="F76" t="n">
        <x:v>268</x:v>
      </x:c>
      <x:c r="G76" t="n">
        <x:v>15</x:v>
      </x:c>
      <x:c r="H76" t="n">
        <x:v>296.30553</x:v>
      </x:c>
      <x:c r="I76" t="n">
        <x:v>0.38213</x:v>
      </x:c>
      <x:c r="J76" t="n">
        <x:v>23.52</x:v>
      </x:c>
      <x:c r="K76" t="n">
        <x:v>268.05666</x:v>
      </x:c>
      <x:c r="L76" t="n">
        <x:v>1.29219</x:v>
      </x:c>
      <x:c r="M76" t="n">
        <x:v>29.71</x:v>
      </x:c>
      <x:c r="N76" t="n">
        <x:v>268.00938</x:v>
      </x:c>
      <x:c r="O76" t="n">
        <x:v>1.20411</x:v>
      </x:c>
      <x:c r="P76" t="n">
        <x:v>34.1</x:v>
      </x:c>
      <x:c r="Q76" t="n">
        <x:v>268.08932</x:v>
      </x:c>
      <x:c r="R76" t="n">
        <x:v>0.12815</x:v>
      </x:c>
      <x:c r="S76" t="n">
        <x:v>268.05666</x:v>
      </x:c>
      <x:c r="T76" t="n">
        <x:v>1.29219</x:v>
      </x:c>
      <x:c r="U76" t="n">
        <x:v>268.00938</x:v>
      </x:c>
      <x:c r="V76" t="n">
        <x:v>1.20411</x:v>
      </x:c>
      <x:c r="W76" t="n">
        <x:v>268.03503</x:v>
      </x:c>
      <x:c r="X76" t="n">
        <x:v>0.03503</x:v>
      </x:c>
      <x:c r="Y76" t="n">
        <x:v>0.12815</x:v>
      </x:c>
      <x:c r="Z76" t="n">
        <x:v>1.29219</x:v>
      </x:c>
      <x:c r="AA76" t="n">
        <x:v>1.20411</x:v>
      </x:c>
      <x:c r="AB76" t="n">
        <x:v>1.77089</x:v>
      </x:c>
      <x:c r="AC76" t="n">
        <x:v>30.7</x:v>
      </x:c>
      <x:c r="AD76" t="str">
        <x:v>Y</x:v>
      </x:c>
      <x:c r="AE76" t="n">
        <x:v>0.14019</x:v>
      </x:c>
      <x:c r="AF76" t="n">
        <x:v>34.06</x:v>
      </x:c>
      <x:c r="AG76" t="n">
        <x:v>0.17</x:v>
      </x:c>
      <x:c r="AH76" t="n">
        <x:v>12.86</x:v>
      </x:c>
      <x:c r="AI76" t="n">
        <x:v>1.58098</x:v>
      </x:c>
      <x:c r="AJ76" t="n">
        <x:v>-5.33</x:v>
      </x:c>
      <x:c r="AK76" t="n">
        <x:v>0.815</x:v>
      </x:c>
      <x:c r="AL76" t="n">
        <x:v>3.36</x:v>
      </x:c>
      <x:c r="AM76" t="n">
        <x:v>1.43423</x:v>
      </x:c>
      <x:c r="AN76" t="n">
        <x:v>13.85</x:v>
      </x:c>
      <x:c r="AO76" t="n">
        <x:v>0.905</x:v>
      </x:c>
      <x:c r="AP76" t="n">
        <x:v>2.55</x:v>
      </x:c>
      <x:c r="AQ76" t="n">
        <x:v>2.13993</x:v>
      </x:c>
      <x:c r="AR76" t="n">
        <x:v>1.07</x:v>
      </x:c>
      <x:c r="AS76" t="n">
        <x:v>0.0655</x:v>
      </x:c>
      <x:c r="AT76" t="n">
        <x:v>0.7388</x:v>
      </x:c>
      <x:c r="AU76" t="n">
        <x:v>0.6702</x:v>
      </x:c>
      <x:c r="AV76" t="n">
        <x:v>1</x:v>
      </x:c>
      <x:c r="AW76" t="n">
        <x:v>1.1023197116222643</x:v>
      </x:c>
      <x:c r="AX76" t="n">
        <x:v>0.004291755150845836</x:v>
      </x:c>
      <x:c r="AY76" t="n">
        <x:v>0.5458252439008928</x:v>
      </x:c>
      <x:c r="AZ76" t="n">
        <x:v>0.4491986790599992</x:v>
      </x:c>
    </x:row>
    <x:row r="77">
      <x:c r="A77" t="str">
        <x:v>268Hz-1</x:v>
      </x:c>
      <x:c r="B77" t="n">
        <x:v>268</x:v>
      </x:c>
      <x:c r="C77" t="n">
        <x:v>1</x:v>
      </x:c>
      <x:c r="D77" t="n">
        <x:v>6</x:v>
      </x:c>
      <x:c r="E77" t="n">
        <x:v>1</x:v>
      </x:c>
      <x:c r="F77" t="n">
        <x:v>268</x:v>
      </x:c>
      <x:c r="G77" t="n">
        <x:v>16</x:v>
      </x:c>
      <x:c r="H77" t="n">
        <x:v>211.02189</x:v>
      </x:c>
      <x:c r="I77" t="n">
        <x:v>0.33508</x:v>
      </x:c>
      <x:c r="J77" t="n">
        <x:v>22.91</x:v>
      </x:c>
      <x:c r="K77" t="n">
        <x:v>267.99214</x:v>
      </x:c>
      <x:c r="L77" t="n">
        <x:v>1.39283</x:v>
      </x:c>
      <x:c r="M77" t="n">
        <x:v>30.64</x:v>
      </x:c>
      <x:c r="N77" t="n">
        <x:v>268.00315</x:v>
      </x:c>
      <x:c r="O77" t="n">
        <x:v>1.29672</x:v>
      </x:c>
      <x:c r="P77" t="n">
        <x:v>34.5</x:v>
      </x:c>
      <x:c r="Q77" t="n">
        <x:v>267.89964</x:v>
      </x:c>
      <x:c r="R77" t="n">
        <x:v>0.14029</x:v>
      </x:c>
      <x:c r="S77" t="n">
        <x:v>267.99214</x:v>
      </x:c>
      <x:c r="T77" t="n">
        <x:v>1.39283</x:v>
      </x:c>
      <x:c r="U77" t="n">
        <x:v>268.00315</x:v>
      </x:c>
      <x:c r="V77" t="n">
        <x:v>1.29672</x:v>
      </x:c>
      <x:c r="W77" t="n">
        <x:v>267.9968</x:v>
      </x:c>
      <x:c r="X77" t="n">
        <x:v>-0.0032</x:v>
      </x:c>
      <x:c r="Y77" t="n">
        <x:v>0.13475</x:v>
      </x:c>
      <x:c r="Z77" t="n">
        <x:v>1.39283</x:v>
      </x:c>
      <x:c r="AA77" t="n">
        <x:v>1.29672</x:v>
      </x:c>
      <x:c r="AB77" t="n">
        <x:v>1.90778</x:v>
      </x:c>
      <x:c r="AC77" t="n">
        <x:v>31.89</x:v>
      </x:c>
      <x:c r="AD77" t="str">
        <x:v>Y</x:v>
      </x:c>
      <x:c r="AE77" t="n">
        <x:v>0.16247</x:v>
      </x:c>
      <x:c r="AF77" t="n">
        <x:v>39.48</x:v>
      </x:c>
      <x:c r="AG77" t="n">
        <x:v>0.202</x:v>
      </x:c>
      <x:c r="AH77" t="n">
        <x:v>7.87</x:v>
      </x:c>
      <x:c r="AI77" t="n">
        <x:v>1.66189</x:v>
      </x:c>
      <x:c r="AJ77" t="n">
        <x:v>-5.17</x:v>
      </x:c>
      <x:c r="AK77" t="n">
        <x:v>0.836</x:v>
      </x:c>
      <x:c r="AL77" t="n">
        <x:v>3.58</x:v>
      </x:c>
      <x:c r="AM77" t="n">
        <x:v>1.56766</x:v>
      </x:c>
      <x:c r="AN77" t="n">
        <x:v>13.93</x:v>
      </x:c>
      <x:c r="AO77" t="n">
        <x:v>0.912</x:v>
      </x:c>
      <x:c r="AP77" t="n">
        <x:v>1.7</x:v>
      </x:c>
      <x:c r="AQ77" t="n">
        <x:v>2.2908</x:v>
      </x:c>
      <x:c r="AR77" t="n">
        <x:v>1.96</x:v>
      </x:c>
      <x:c r="AS77" t="n">
        <x:v>0.0709</x:v>
      </x:c>
      <x:c r="AT77" t="n">
        <x:v>0.7255</x:v>
      </x:c>
      <x:c r="AU77" t="n">
        <x:v>0.6843</x:v>
      </x:c>
      <x:c r="AV77" t="n">
        <x:v>1</x:v>
      </x:c>
      <x:c r="AW77" t="n">
        <x:v>1.0601086970388987</x:v>
      </x:c>
      <x:c r="AX77" t="n">
        <x:v>0.005030046640963686</x:v>
      </x:c>
      <x:c r="AY77" t="n">
        <x:v>0.52629615875837</x:v>
      </x:c>
      <x:c r="AZ77" t="n">
        <x:v>0.4683056585403571</x:v>
      </x:c>
    </x:row>
    <x:row r="78">
      <x:c r="A78" t="str">
        <x:v>268Hz-1</x:v>
      </x:c>
      <x:c r="B78" t="n">
        <x:v>268</x:v>
      </x:c>
      <x:c r="C78" t="n">
        <x:v>1</x:v>
      </x:c>
      <x:c r="D78" t="n">
        <x:v>7</x:v>
      </x:c>
      <x:c r="E78" t="n">
        <x:v>1</x:v>
      </x:c>
      <x:c r="F78" t="n">
        <x:v>268</x:v>
      </x:c>
      <x:c r="G78" t="n">
        <x:v>17</x:v>
      </x:c>
      <x:c r="H78" t="n">
        <x:v>211.09202</x:v>
      </x:c>
      <x:c r="I78" t="n">
        <x:v>0.58858</x:v>
      </x:c>
      <x:c r="J78" t="n">
        <x:v>27.04</x:v>
      </x:c>
      <x:c r="K78" t="n">
        <x:v>268.02416</x:v>
      </x:c>
      <x:c r="L78" t="n">
        <x:v>1.47877</x:v>
      </x:c>
      <x:c r="M78" t="n">
        <x:v>30.91</x:v>
      </x:c>
      <x:c r="N78" t="n">
        <x:v>268.01559</x:v>
      </x:c>
      <x:c r="O78" t="n">
        <x:v>1.38278</x:v>
      </x:c>
      <x:c r="P78" t="n">
        <x:v>34.43</x:v>
      </x:c>
      <x:c r="Q78" t="n">
        <x:v>267.92043</x:v>
      </x:c>
      <x:c r="R78" t="n">
        <x:v>0.15618</x:v>
      </x:c>
      <x:c r="S78" t="n">
        <x:v>268.02416</x:v>
      </x:c>
      <x:c r="T78" t="n">
        <x:v>1.47877</x:v>
      </x:c>
      <x:c r="U78" t="n">
        <x:v>268.01559</x:v>
      </x:c>
      <x:c r="V78" t="n">
        <x:v>1.38278</x:v>
      </x:c>
      <x:c r="W78" t="n">
        <x:v>268.01962</x:v>
      </x:c>
      <x:c r="X78" t="n">
        <x:v>0.01962</x:v>
      </x:c>
      <x:c r="Y78" t="n">
        <x:v>0.15234</x:v>
      </x:c>
      <x:c r="Z78" t="n">
        <x:v>1.47877</x:v>
      </x:c>
      <x:c r="AA78" t="n">
        <x:v>1.38278</x:v>
      </x:c>
      <x:c r="AB78" t="n">
        <x:v>2.03028</x:v>
      </x:c>
      <x:c r="AC78" t="n">
        <x:v>30.68</x:v>
      </x:c>
      <x:c r="AD78" t="str">
        <x:v>Y</x:v>
      </x:c>
      <x:c r="AE78" t="n">
        <x:v>0.16467</x:v>
      </x:c>
      <x:c r="AF78" t="n">
        <x:v>39.65</x:v>
      </x:c>
      <x:c r="AG78" t="n">
        <x:v>0.173</x:v>
      </x:c>
      <x:c r="AH78" t="n">
        <x:v>7.06</x:v>
      </x:c>
      <x:c r="AI78" t="n">
        <x:v>1.76352</x:v>
      </x:c>
      <x:c r="AJ78" t="n">
        <x:v>-5.85</x:v>
      </x:c>
      <x:c r="AK78" t="n">
        <x:v>0.831</x:v>
      </x:c>
      <x:c r="AL78" t="n">
        <x:v>3.12</x:v>
      </x:c>
      <x:c r="AM78" t="n">
        <x:v>1.67556</x:v>
      </x:c>
      <x:c r="AN78" t="n">
        <x:v>13.83</x:v>
      </x:c>
      <x:c r="AO78" t="n">
        <x:v>0.911</x:v>
      </x:c>
      <x:c r="AP78" t="n">
        <x:v>2.69</x:v>
      </x:c>
      <x:c r="AQ78" t="n">
        <x:v>2.43876</x:v>
      </x:c>
      <x:c r="AR78" t="n">
        <x:v>1.6</x:v>
      </x:c>
      <x:c r="AS78" t="n">
        <x:v>0.0675</x:v>
      </x:c>
      <x:c r="AT78" t="n">
        <x:v>0.7231</x:v>
      </x:c>
      <x:c r="AU78" t="n">
        <x:v>0.6871</x:v>
      </x:c>
      <x:c r="AV78" t="n">
        <x:v>1</x:v>
      </x:c>
      <x:c r="AW78" t="n">
        <x:v>1.052495881973788</x:v>
      </x:c>
      <x:c r="AX78" t="n">
        <x:v>0.004559223102085109</x:v>
      </x:c>
      <x:c r="AY78" t="n">
        <x:v>0.5229048286886752</x:v>
      </x:c>
      <x:c r="AZ78" t="n">
        <x:v>0.47204330425775</x:v>
      </x:c>
    </x:row>
    <x:row r="79">
      <x:c r="A79" t="str">
        <x:v>268Hz-1</x:v>
      </x:c>
      <x:c r="B79" t="n">
        <x:v>268</x:v>
      </x:c>
      <x:c r="C79" t="n">
        <x:v>1</x:v>
      </x:c>
      <x:c r="D79" t="n">
        <x:v>8</x:v>
      </x:c>
      <x:c r="E79" t="n">
        <x:v>1</x:v>
      </x:c>
      <x:c r="F79" t="n">
        <x:v>268</x:v>
      </x:c>
      <x:c r="G79" t="n">
        <x:v>18</x:v>
      </x:c>
      <x:c r="H79" t="n">
        <x:v>211.24419</x:v>
      </x:c>
      <x:c r="I79" t="n">
        <x:v>0.30573</x:v>
      </x:c>
      <x:c r="J79" t="n">
        <x:v>21.29</x:v>
      </x:c>
      <x:c r="K79" t="n">
        <x:v>268.01855</x:v>
      </x:c>
      <x:c r="L79" t="n">
        <x:v>1.52145</x:v>
      </x:c>
      <x:c r="M79" t="n">
        <x:v>31.37</x:v>
      </x:c>
      <x:c r="N79" t="n">
        <x:v>268.01545</x:v>
      </x:c>
      <x:c r="O79" t="n">
        <x:v>1.4868</x:v>
      </x:c>
      <x:c r="P79" t="n">
        <x:v>34.88</x:v>
      </x:c>
      <x:c r="Q79" t="n">
        <x:v>267.99977</x:v>
      </x:c>
      <x:c r="R79" t="n">
        <x:v>0.1533</x:v>
      </x:c>
      <x:c r="S79" t="n">
        <x:v>268.01855</x:v>
      </x:c>
      <x:c r="T79" t="n">
        <x:v>1.52145</x:v>
      </x:c>
      <x:c r="U79" t="n">
        <x:v>268.01545</x:v>
      </x:c>
      <x:c r="V79" t="n">
        <x:v>1.4868</x:v>
      </x:c>
      <x:c r="W79" t="n">
        <x:v>268.01695</x:v>
      </x:c>
      <x:c r="X79" t="n">
        <x:v>0.01695</x:v>
      </x:c>
      <x:c r="Y79" t="n">
        <x:v>0.1533</x:v>
      </x:c>
      <x:c r="Z79" t="n">
        <x:v>1.52145</x:v>
      </x:c>
      <x:c r="AA79" t="n">
        <x:v>1.4868</x:v>
      </x:c>
      <x:c r="AB79" t="n">
        <x:v>2.13281</x:v>
      </x:c>
      <x:c r="AC79" t="n">
        <x:v>34.97</x:v>
      </x:c>
      <x:c r="AD79" t="str">
        <x:v>Y</x:v>
      </x:c>
      <x:c r="AE79" t="n">
        <x:v>0.18329</x:v>
      </x:c>
      <x:c r="AF79" t="n">
        <x:v>39.06</x:v>
      </x:c>
      <x:c r="AG79" t="n">
        <x:v>0.225</x:v>
      </x:c>
      <x:c r="AH79" t="n">
        <x:v>8.67</x:v>
      </x:c>
      <x:c r="AI79" t="n">
        <x:v>1.84853</x:v>
      </x:c>
      <x:c r="AJ79" t="n">
        <x:v>-5.98</x:v>
      </x:c>
      <x:c r="AK79" t="n">
        <x:v>0.867</x:v>
      </x:c>
      <x:c r="AL79" t="n">
        <x:v>2.73</x:v>
      </x:c>
      <x:c r="AM79" t="n">
        <x:v>1.78381</x:v>
      </x:c>
      <x:c r="AN79" t="n">
        <x:v>13.87</x:v>
      </x:c>
      <x:c r="AO79" t="n">
        <x:v>0.906</x:v>
      </x:c>
      <x:c r="AP79" t="n">
        <x:v>2.21</x:v>
      </x:c>
      <x:c r="AQ79" t="n">
        <x:v>2.57587</x:v>
      </x:c>
      <x:c r="AR79" t="n">
        <x:v>1.39</x:v>
      </x:c>
      <x:c r="AS79" t="n">
        <x:v>0.0712</x:v>
      </x:c>
      <x:c r="AT79" t="n">
        <x:v>0.7176</x:v>
      </x:c>
      <x:c r="AU79" t="n">
        <x:v>0.6925</x:v>
      </x:c>
      <x:c r="AV79" t="n">
        <x:v>1</x:v>
      </x:c>
      <x:c r="AW79" t="n">
        <x:v>1.0362818910085716</x:v>
      </x:c>
      <x:c r="AX79" t="n">
        <x:v>0.005063253367655348</x:v>
      </x:c>
      <x:c r="AY79" t="n">
        <x:v>0.5149975039731304</x:v>
      </x:c>
      <x:c r="AZ79" t="n">
        <x:v>0.47956701715077843</x:v>
      </x:c>
    </x:row>
    <x:row r="80">
      <x:c r="A80" t="str">
        <x:v>268Hz-1</x:v>
      </x:c>
      <x:c r="B80" t="n">
        <x:v>268</x:v>
      </x:c>
      <x:c r="C80" t="n">
        <x:v>1</x:v>
      </x:c>
      <x:c r="D80" t="n">
        <x:v>9</x:v>
      </x:c>
      <x:c r="E80" t="n">
        <x:v>1</x:v>
      </x:c>
      <x:c r="F80" t="n">
        <x:v>268</x:v>
      </x:c>
      <x:c r="G80" t="n">
        <x:v>19</x:v>
      </x:c>
      <x:c r="H80" t="n">
        <x:v>210.72805</x:v>
      </x:c>
      <x:c r="I80" t="n">
        <x:v>0.52723</x:v>
      </x:c>
      <x:c r="J80" t="n">
        <x:v>25.49</x:v>
      </x:c>
      <x:c r="K80" t="n">
        <x:v>268.02462</x:v>
      </x:c>
      <x:c r="L80" t="n">
        <x:v>1.59372</x:v>
      </x:c>
      <x:c r="M80" t="n">
        <x:v>31.52</x:v>
      </x:c>
      <x:c r="N80" t="n">
        <x:v>268.0279</x:v>
      </x:c>
      <x:c r="O80" t="n">
        <x:v>1.63594</x:v>
      </x:c>
      <x:c r="P80" t="n">
        <x:v>35.2</x:v>
      </x:c>
      <x:c r="Q80" t="n">
        <x:v>267.9441</x:v>
      </x:c>
      <x:c r="R80" t="n">
        <x:v>0.18712</x:v>
      </x:c>
      <x:c r="S80" t="n">
        <x:v>268.02462</x:v>
      </x:c>
      <x:c r="T80" t="n">
        <x:v>1.59372</x:v>
      </x:c>
      <x:c r="U80" t="n">
        <x:v>268.0279</x:v>
      </x:c>
      <x:c r="V80" t="n">
        <x:v>1.63594</x:v>
      </x:c>
      <x:c r="W80" t="n">
        <x:v>268.02579</x:v>
      </x:c>
      <x:c r="X80" t="n">
        <x:v>0.02579</x:v>
      </x:c>
      <x:c r="Y80" t="n">
        <x:v>0.1848</x:v>
      </x:c>
      <x:c r="Z80" t="n">
        <x:v>1.59372</x:v>
      </x:c>
      <x:c r="AA80" t="n">
        <x:v>1.63594</x:v>
      </x:c>
      <x:c r="AB80" t="n">
        <x:v>2.29137</x:v>
      </x:c>
      <x:c r="AC80" t="n">
        <x:v>33.62</x:v>
      </x:c>
      <x:c r="AD80" t="str">
        <x:v>Z</x:v>
      </x:c>
      <x:c r="AE80" t="n">
        <x:v>0.20396</x:v>
      </x:c>
      <x:c r="AF80" t="n">
        <x:v>41.35</x:v>
      </x:c>
      <x:c r="AG80" t="n">
        <x:v>0.217</x:v>
      </x:c>
      <x:c r="AH80" t="n">
        <x:v>2.37</x:v>
      </x:c>
      <x:c r="AI80" t="n">
        <x:v>1.94304</x:v>
      </x:c>
      <x:c r="AJ80" t="n">
        <x:v>-6.1</x:v>
      </x:c>
      <x:c r="AK80" t="n">
        <x:v>0.857</x:v>
      </x:c>
      <x:c r="AL80" t="n">
        <x:v>2.11</x:v>
      </x:c>
      <x:c r="AM80" t="n">
        <x:v>1.94405</x:v>
      </x:c>
      <x:c r="AN80" t="n">
        <x:v>14.52</x:v>
      </x:c>
      <x:c r="AO80" t="n">
        <x:v>0.907</x:v>
      </x:c>
      <x:c r="AP80" t="n">
        <x:v>2.42</x:v>
      </x:c>
      <x:c r="AQ80" t="n">
        <x:v>2.75666</x:v>
      </x:c>
      <x:c r="AR80" t="n">
        <x:v>0.7</x:v>
      </x:c>
      <x:c r="AS80" t="n">
        <x:v>0.074</x:v>
      </x:c>
      <x:c r="AT80" t="n">
        <x:v>0.7049</x:v>
      </x:c>
      <x:c r="AU80" t="n">
        <x:v>0.7052</x:v>
      </x:c>
      <x:c r="AV80" t="n">
        <x:v>1</x:v>
      </x:c>
      <x:c r="AW80" t="n">
        <x:v>0.9994804660373962</x:v>
      </x:c>
      <x:c r="AX80" t="n">
        <x:v>0.005474237022781859</x:v>
      </x:c>
      <x:c r="AY80" t="n">
        <x:v>0.4968177153111142</x:v>
      </x:c>
      <x:c r="AZ80" t="n">
        <x:v>0.4973343452390887</x:v>
      </x:c>
    </x:row>
    <x:row r="81">
      <x:c r="A81" t="str">
        <x:v>268Hz-1</x:v>
      </x:c>
      <x:c r="B81" t="n">
        <x:v>268</x:v>
      </x:c>
      <x:c r="C81" t="n">
        <x:v>1</x:v>
      </x:c>
      <x:c r="D81" t="n">
        <x:v>10</x:v>
      </x:c>
      <x:c r="E81" t="n">
        <x:v>1</x:v>
      </x:c>
      <x:c r="F81" t="n">
        <x:v>268</x:v>
      </x:c>
      <x:c r="G81" t="n">
        <x:v>20</x:v>
      </x:c>
      <x:c r="H81" t="n">
        <x:v>211.13787</x:v>
      </x:c>
      <x:c r="I81" t="n">
        <x:v>0.62589</x:v>
      </x:c>
      <x:c r="J81" t="n">
        <x:v>26.65</x:v>
      </x:c>
      <x:c r="K81" t="n">
        <x:v>268.03383</x:v>
      </x:c>
      <x:c r="L81" t="n">
        <x:v>1.6324</x:v>
      </x:c>
      <x:c r="M81" t="n">
        <x:v>31.66</x:v>
      </x:c>
      <x:c r="N81" t="n">
        <x:v>268.0086</x:v>
      </x:c>
      <x:c r="O81" t="n">
        <x:v>1.77621</x:v>
      </x:c>
      <x:c r="P81" t="n">
        <x:v>34.91</x:v>
      </x:c>
      <x:c r="Q81" t="n">
        <x:v>268.05117</x:v>
      </x:c>
      <x:c r="R81" t="n">
        <x:v>0.1714</x:v>
      </x:c>
      <x:c r="S81" t="n">
        <x:v>268.03383</x:v>
      </x:c>
      <x:c r="T81" t="n">
        <x:v>1.6324</x:v>
      </x:c>
      <x:c r="U81" t="n">
        <x:v>268.0086</x:v>
      </x:c>
      <x:c r="V81" t="n">
        <x:v>1.77621</x:v>
      </x:c>
      <x:c r="W81" t="n">
        <x:v>268.02032</x:v>
      </x:c>
      <x:c r="X81" t="n">
        <x:v>0.02032</x:v>
      </x:c>
      <x:c r="Y81" t="n">
        <x:v>0.1714</x:v>
      </x:c>
      <x:c r="Z81" t="n">
        <x:v>1.6324</x:v>
      </x:c>
      <x:c r="AA81" t="n">
        <x:v>1.77621</x:v>
      </x:c>
      <x:c r="AB81" t="n">
        <x:v>2.41847</x:v>
      </x:c>
      <x:c r="AC81" t="n">
        <x:v>32.41</x:v>
      </x:c>
      <x:c r="AD81" t="str">
        <x:v>Z</x:v>
      </x:c>
      <x:c r="AE81" t="n">
        <x:v>0.21777</x:v>
      </x:c>
      <x:c r="AF81" t="n">
        <x:v>32.31</x:v>
      </x:c>
      <x:c r="AG81" t="n">
        <x:v>0.204</x:v>
      </x:c>
      <x:c r="AH81" t="n">
        <x:v>8.32</x:v>
      </x:c>
      <x:c r="AI81" t="n">
        <x:v>1.99015</x:v>
      </x:c>
      <x:c r="AJ81" t="n">
        <x:v>-7.95</x:v>
      </x:c>
      <x:c r="AK81" t="n">
        <x:v>0.86</x:v>
      </x:c>
      <x:c r="AL81" t="n">
        <x:v>2.7</x:v>
      </x:c>
      <x:c r="AM81" t="n">
        <x:v>2.15499</x:v>
      </x:c>
      <x:c r="AN81" t="n">
        <x:v>12.86</x:v>
      </x:c>
      <x:c r="AO81" t="n">
        <x:v>0.9</x:v>
      </x:c>
      <x:c r="AP81" t="n">
        <x:v>0.92</x:v>
      </x:c>
      <x:c r="AQ81" t="n">
        <x:v>2.94172</x:v>
      </x:c>
      <x:c r="AR81" t="n">
        <x:v>1.37</x:v>
      </x:c>
      <x:c r="AS81" t="n">
        <x:v>0.074</x:v>
      </x:c>
      <x:c r="AT81" t="n">
        <x:v>0.6765</x:v>
      </x:c>
      <x:c r="AU81" t="n">
        <x:v>0.7326</x:v>
      </x:c>
      <x:c r="AV81" t="n">
        <x:v>1</x:v>
      </x:c>
      <x:c r="AW81" t="n">
        <x:v>0.9235077656972885</x:v>
      </x:c>
      <x:c r="AX81" t="n">
        <x:v>0.005480162492029696</x:v>
      </x:c>
      <x:c r="AY81" t="n">
        <x:v>0.457687398907863</x:v>
      </x:c>
      <x:c r="AZ81" t="n">
        <x:v>0.5366459449832771</x:v>
      </x:c>
    </x:row>
    <x:row r="82">
      <x:c r="A82" t="str">
        <x:v>270Hz-1</x:v>
      </x:c>
      <x:c r="B82" t="n">
        <x:v>270</x:v>
      </x:c>
      <x:c r="C82" t="n">
        <x:v>1</x:v>
      </x:c>
      <x:c r="D82" t="n">
        <x:v>1</x:v>
      </x:c>
      <x:c r="E82" t="n">
        <x:v>1</x:v>
      </x:c>
      <x:c r="F82" t="n">
        <x:v>270</x:v>
      </x:c>
      <x:c r="G82" t="n">
        <x:v>11</x:v>
      </x:c>
      <x:c r="H82" t="n">
        <x:v>310.54437</x:v>
      </x:c>
      <x:c r="I82" t="n">
        <x:v>0.33574</x:v>
      </x:c>
      <x:c r="J82" t="n">
        <x:v>22.7</x:v>
      </x:c>
      <x:c r="K82" t="n">
        <x:v>270.10674</x:v>
      </x:c>
      <x:c r="L82" t="n">
        <x:v>1.22012</x:v>
      </x:c>
      <x:c r="M82" t="n">
        <x:v>30.13</x:v>
      </x:c>
      <x:c r="N82" t="n">
        <x:v>270.0927</x:v>
      </x:c>
      <x:c r="O82" t="n">
        <x:v>1.02155</x:v>
      </x:c>
      <x:c r="P82" t="n">
        <x:v>34.05</x:v>
      </x:c>
      <x:c r="Q82" t="n">
        <x:v>270.08971</x:v>
      </x:c>
      <x:c r="R82" t="n">
        <x:v>0.11705</x:v>
      </x:c>
      <x:c r="S82" t="n">
        <x:v>270.10674</x:v>
      </x:c>
      <x:c r="T82" t="n">
        <x:v>1.22012</x:v>
      </x:c>
      <x:c r="U82" t="n">
        <x:v>270.0927</x:v>
      </x:c>
      <x:c r="V82" t="n">
        <x:v>1.02155</x:v>
      </x:c>
      <x:c r="W82" t="n">
        <x:v>270.1009</x:v>
      </x:c>
      <x:c r="X82" t="n">
        <x:v>0.1009</x:v>
      </x:c>
      <x:c r="Y82" t="n">
        <x:v>0.11705</x:v>
      </x:c>
      <x:c r="Z82" t="n">
        <x:v>1.22012</x:v>
      </x:c>
      <x:c r="AA82" t="n">
        <x:v>1.02155</x:v>
      </x:c>
      <x:c r="AB82" t="n">
        <x:v>1.59561</x:v>
      </x:c>
      <x:c r="AC82" t="n">
        <x:v>35.89</x:v>
      </x:c>
      <x:c r="AD82" t="str">
        <x:v>Y</x:v>
      </x:c>
      <x:c r="AE82" t="n">
        <x:v>0.13736</x:v>
      </x:c>
      <x:c r="AF82" t="n">
        <x:v>26.84</x:v>
      </x:c>
      <x:c r="AG82" t="n">
        <x:v>0.154</x:v>
      </x:c>
      <x:c r="AH82" t="n">
        <x:v>34.02</x:v>
      </x:c>
      <x:c r="AI82" t="n">
        <x:v>1.27775</x:v>
      </x:c>
      <x:c r="AJ82" t="n">
        <x:v>-4.25</x:v>
      </x:c>
      <x:c r="AK82" t="n">
        <x:v>0.768</x:v>
      </x:c>
      <x:c r="AL82" t="n">
        <x:v>1.68</x:v>
      </x:c>
      <x:c r="AM82" t="n">
        <x:v>1.04761</x:v>
      </x:c>
      <x:c r="AN82" t="n">
        <x:v>11.53</x:v>
      </x:c>
      <x:c r="AO82" t="n">
        <x:v>0.865</x:v>
      </x:c>
      <x:c r="AP82" t="n">
        <x:v>2.83</x:v>
      </x:c>
      <x:c r="AQ82" t="n">
        <x:v>1.65873</x:v>
      </x:c>
      <x:c r="AR82" t="n">
        <x:v>1.38</x:v>
      </x:c>
      <x:c r="AS82" t="n">
        <x:v>0.0828</x:v>
      </x:c>
      <x:c r="AT82" t="n">
        <x:v>0.7703</x:v>
      </x:c>
      <x:c r="AU82" t="n">
        <x:v>0.6316</x:v>
      </x:c>
      <x:c r="AV82" t="n">
        <x:v>1</x:v>
      </x:c>
      <x:c r="AW82" t="n">
        <x:v>1.2196809881539887</x:v>
      </x:c>
      <x:c r="AX82" t="n">
        <x:v>0.006857552883375825</x:v>
      </x:c>
      <x:c r="AY82" t="n">
        <x:v>0.593390214807169</x:v>
      </x:c>
      <x:c r="AZ82" t="n">
        <x:v>0.39888515317825407</x:v>
      </x:c>
    </x:row>
    <x:row r="83">
      <x:c r="A83" t="str">
        <x:v>270Hz-1</x:v>
      </x:c>
      <x:c r="B83" t="n">
        <x:v>270</x:v>
      </x:c>
      <x:c r="C83" t="n">
        <x:v>1</x:v>
      </x:c>
      <x:c r="D83" t="n">
        <x:v>2</x:v>
      </x:c>
      <x:c r="E83" t="n">
        <x:v>1</x:v>
      </x:c>
      <x:c r="F83" t="n">
        <x:v>270</x:v>
      </x:c>
      <x:c r="G83" t="n">
        <x:v>12</x:v>
      </x:c>
      <x:c r="H83" t="n">
        <x:v>189.1191</x:v>
      </x:c>
      <x:c r="I83" t="n">
        <x:v>0.47587</x:v>
      </x:c>
      <x:c r="J83" t="n">
        <x:v>26.05</x:v>
      </x:c>
      <x:c r="K83" t="n">
        <x:v>270.0811</x:v>
      </x:c>
      <x:c r="L83" t="n">
        <x:v>1.32905</x:v>
      </x:c>
      <x:c r="M83" t="n">
        <x:v>31.38</x:v>
      </x:c>
      <x:c r="N83" t="n">
        <x:v>270.08318</x:v>
      </x:c>
      <x:c r="O83" t="n">
        <x:v>1.10817</x:v>
      </x:c>
      <x:c r="P83" t="n">
        <x:v>34.76</x:v>
      </x:c>
      <x:c r="Q83" t="n">
        <x:v>269.9946</x:v>
      </x:c>
      <x:c r="R83" t="n">
        <x:v>0.11566</x:v>
      </x:c>
      <x:c r="S83" t="n">
        <x:v>270.0811</x:v>
      </x:c>
      <x:c r="T83" t="n">
        <x:v>1.32905</x:v>
      </x:c>
      <x:c r="U83" t="n">
        <x:v>270.08318</x:v>
      </x:c>
      <x:c r="V83" t="n">
        <x:v>1.10817</x:v>
      </x:c>
      <x:c r="W83" t="n">
        <x:v>270.08157</x:v>
      </x:c>
      <x:c r="X83" t="n">
        <x:v>0.08157</x:v>
      </x:c>
      <x:c r="Y83" t="n">
        <x:v>0.11566</x:v>
      </x:c>
      <x:c r="Z83" t="n">
        <x:v>1.32905</x:v>
      </x:c>
      <x:c r="AA83" t="n">
        <x:v>1.10817</x:v>
      </x:c>
      <x:c r="AB83" t="n">
        <x:v>1.7343</x:v>
      </x:c>
      <x:c r="AC83" t="n">
        <x:v>37.91</x:v>
      </x:c>
      <x:c r="AD83" t="str">
        <x:v>Y</x:v>
      </x:c>
      <x:c r="AE83" t="n">
        <x:v>0.12442</x:v>
      </x:c>
      <x:c r="AF83" t="n">
        <x:v>34.27</x:v>
      </x:c>
      <x:c r="AG83" t="n">
        <x:v>0.136</x:v>
      </x:c>
      <x:c r="AH83" t="n">
        <x:v>53.46</x:v>
      </x:c>
      <x:c r="AI83" t="n">
        <x:v>1.33972</x:v>
      </x:c>
      <x:c r="AJ83" t="n">
        <x:v>-4.69</x:v>
      </x:c>
      <x:c r="AK83" t="n">
        <x:v>0.778</x:v>
      </x:c>
      <x:c r="AL83" t="n">
        <x:v>2.11</x:v>
      </x:c>
      <x:c r="AM83" t="n">
        <x:v>1.15881</x:v>
      </x:c>
      <x:c r="AN83" t="n">
        <x:v>11.57</x:v>
      </x:c>
      <x:c r="AO83" t="n">
        <x:v>0.895</x:v>
      </x:c>
      <x:c r="AP83" t="n">
        <x:v>2.51</x:v>
      </x:c>
      <x:c r="AQ83" t="n">
        <x:v>1.77674</x:v>
      </x:c>
      <x:c r="AR83" t="n">
        <x:v>2.19</x:v>
      </x:c>
      <x:c r="AS83" t="n">
        <x:v>0.07</x:v>
      </x:c>
      <x:c r="AT83" t="n">
        <x:v>0.754</x:v>
      </x:c>
      <x:c r="AU83" t="n">
        <x:v>0.6522</x:v>
      </x:c>
      <x:c r="AV83" t="n">
        <x:v>1</x:v>
      </x:c>
      <x:c r="AW83" t="n">
        <x:v>1.1561170511127796</x:v>
      </x:c>
      <x:c r="AX83" t="n">
        <x:v>0.004903798703009897</x:v>
      </x:c>
      <x:c r="AY83" t="n">
        <x:v>0.5685652622533223</x:v>
      </x:c>
      <x:c r="AZ83" t="n">
        <x:v>0.42537964947455464</x:v>
      </x:c>
    </x:row>
    <x:row r="84">
      <x:c r="A84" t="str">
        <x:v>270Hz-1</x:v>
      </x:c>
      <x:c r="B84" t="n">
        <x:v>270</x:v>
      </x:c>
      <x:c r="C84" t="n">
        <x:v>1</x:v>
      </x:c>
      <x:c r="D84" t="n">
        <x:v>3</x:v>
      </x:c>
      <x:c r="E84" t="n">
        <x:v>1</x:v>
      </x:c>
      <x:c r="F84" t="n">
        <x:v>270</x:v>
      </x:c>
      <x:c r="G84" t="n">
        <x:v>13</x:v>
      </x:c>
      <x:c r="H84" t="n">
        <x:v>189.10028</x:v>
      </x:c>
      <x:c r="I84" t="n">
        <x:v>0.39782</x:v>
      </x:c>
      <x:c r="J84" t="n">
        <x:v>24.92</x:v>
      </x:c>
      <x:c r="K84" t="n">
        <x:v>270.07792</x:v>
      </x:c>
      <x:c r="L84" t="n">
        <x:v>1.41479</x:v>
      </x:c>
      <x:c r="M84" t="n">
        <x:v>32.09</x:v>
      </x:c>
      <x:c r="N84" t="n">
        <x:v>270.09406</x:v>
      </x:c>
      <x:c r="O84" t="n">
        <x:v>1.20231</x:v>
      </x:c>
      <x:c r="P84" t="n">
        <x:v>35.02</x:v>
      </x:c>
      <x:c r="Q84" t="n">
        <x:v>270.11982</x:v>
      </x:c>
      <x:c r="R84" t="n">
        <x:v>0.12794</x:v>
      </x:c>
      <x:c r="S84" t="n">
        <x:v>270.07792</x:v>
      </x:c>
      <x:c r="T84" t="n">
        <x:v>1.41479</x:v>
      </x:c>
      <x:c r="U84" t="n">
        <x:v>270.09406</x:v>
      </x:c>
      <x:c r="V84" t="n">
        <x:v>1.20231</x:v>
      </x:c>
      <x:c r="W84" t="n">
        <x:v>270.08487</x:v>
      </x:c>
      <x:c r="X84" t="n">
        <x:v>0.08487</x:v>
      </x:c>
      <x:c r="Y84" t="n">
        <x:v>0.12794</x:v>
      </x:c>
      <x:c r="Z84" t="n">
        <x:v>1.41479</x:v>
      </x:c>
      <x:c r="AA84" t="n">
        <x:v>1.20231</x:v>
      </x:c>
      <x:c r="AB84" t="n">
        <x:v>1.86106</x:v>
      </x:c>
      <x:c r="AC84" t="n">
        <x:v>35.93</x:v>
      </x:c>
      <x:c r="AD84" t="str">
        <x:v>Y</x:v>
      </x:c>
      <x:c r="AE84" t="n">
        <x:v>0.11525</x:v>
      </x:c>
      <x:c r="AF84" t="n">
        <x:v>40.49</x:v>
      </x:c>
      <x:c r="AG84" t="n">
        <x:v>0.143</x:v>
      </x:c>
      <x:c r="AH84" t="n">
        <x:v>8.73</x:v>
      </x:c>
      <x:c r="AI84" t="n">
        <x:v>1.42415</x:v>
      </x:c>
      <x:c r="AJ84" t="n">
        <x:v>-6.15</x:v>
      </x:c>
      <x:c r="AK84" t="n">
        <x:v>0.801</x:v>
      </x:c>
      <x:c r="AL84" t="n">
        <x:v>2.57</x:v>
      </x:c>
      <x:c r="AM84" t="n">
        <x:v>1.27323</x:v>
      </x:c>
      <x:c r="AN84" t="n">
        <x:v>11.46</x:v>
      </x:c>
      <x:c r="AO84" t="n">
        <x:v>0.902</x:v>
      </x:c>
      <x:c r="AP84" t="n">
        <x:v>1.28</x:v>
      </x:c>
      <x:c r="AQ84" t="n">
        <x:v>1.91408</x:v>
      </x:c>
      <x:c r="AR84" t="n">
        <x:v>0.93</x:v>
      </x:c>
      <x:c r="AS84" t="n">
        <x:v>0.0602</x:v>
      </x:c>
      <x:c r="AT84" t="n">
        <x:v>0.744</x:v>
      </x:c>
      <x:c r="AU84" t="n">
        <x:v>0.6652</x:v>
      </x:c>
      <x:c r="AV84" t="n">
        <x:v>1</x:v>
      </x:c>
      <x:c r="AW84" t="n">
        <x:v>1.1185331793941393</x:v>
      </x:c>
      <x:c r="AX84" t="n">
        <x:v>0.003625448141439882</x:v>
      </x:c>
      <x:c r="AY84" t="n">
        <x:v>0.5535939020407399</x:v>
      </x:c>
      <x:c r="AZ84" t="n">
        <x:v>0.44247990799277637</x:v>
      </x:c>
    </x:row>
    <x:row r="85">
      <x:c r="A85" t="str">
        <x:v>270Hz-1</x:v>
      </x:c>
      <x:c r="B85" t="n">
        <x:v>270</x:v>
      </x:c>
      <x:c r="C85" t="n">
        <x:v>1</x:v>
      </x:c>
      <x:c r="D85" t="n">
        <x:v>4</x:v>
      </x:c>
      <x:c r="E85" t="n">
        <x:v>1</x:v>
      </x:c>
      <x:c r="F85" t="n">
        <x:v>270</x:v>
      </x:c>
      <x:c r="G85" t="n">
        <x:v>14</x:v>
      </x:c>
      <x:c r="H85" t="n">
        <x:v>189.16298</x:v>
      </x:c>
      <x:c r="I85" t="n">
        <x:v>0.51354</x:v>
      </x:c>
      <x:c r="J85" t="n">
        <x:v>26.72</x:v>
      </x:c>
      <x:c r="K85" t="n">
        <x:v>270.07981</x:v>
      </x:c>
      <x:c r="L85" t="n">
        <x:v>1.51112</x:v>
      </x:c>
      <x:c r="M85" t="n">
        <x:v>32.03</x:v>
      </x:c>
      <x:c r="N85" t="n">
        <x:v>270.09193</x:v>
      </x:c>
      <x:c r="O85" t="n">
        <x:v>1.32772</x:v>
      </x:c>
      <x:c r="P85" t="n">
        <x:v>35.56</x:v>
      </x:c>
      <x:c r="Q85" t="n">
        <x:v>270.0951</x:v>
      </x:c>
      <x:c r="R85" t="n">
        <x:v>0.15469</x:v>
      </x:c>
      <x:c r="S85" t="n">
        <x:v>270.07981</x:v>
      </x:c>
      <x:c r="T85" t="n">
        <x:v>1.51112</x:v>
      </x:c>
      <x:c r="U85" t="n">
        <x:v>270.09193</x:v>
      </x:c>
      <x:c r="V85" t="n">
        <x:v>1.32772</x:v>
      </x:c>
      <x:c r="W85" t="n">
        <x:v>270.08516</x:v>
      </x:c>
      <x:c r="X85" t="n">
        <x:v>0.08516</x:v>
      </x:c>
      <x:c r="Y85" t="n">
        <x:v>0.15469</x:v>
      </x:c>
      <x:c r="Z85" t="n">
        <x:v>1.51112</x:v>
      </x:c>
      <x:c r="AA85" t="n">
        <x:v>1.32772</x:v>
      </x:c>
      <x:c r="AB85" t="n">
        <x:v>2.01749</x:v>
      </x:c>
      <x:c r="AC85" t="n">
        <x:v>37.45</x:v>
      </x:c>
      <x:c r="AD85" t="str">
        <x:v>Y</x:v>
      </x:c>
      <x:c r="AE85" t="n">
        <x:v>0.13547</x:v>
      </x:c>
      <x:c r="AF85" t="n">
        <x:v>43.49</x:v>
      </x:c>
      <x:c r="AG85" t="n">
        <x:v>0.149</x:v>
      </x:c>
      <x:c r="AH85" t="n">
        <x:v>14.11</x:v>
      </x:c>
      <x:c r="AI85" t="n">
        <x:v>1.54625</x:v>
      </x:c>
      <x:c r="AJ85" t="n">
        <x:v>-7.12</x:v>
      </x:c>
      <x:c r="AK85" t="n">
        <x:v>0.8</x:v>
      </x:c>
      <x:c r="AL85" t="n">
        <x:v>1.46</x:v>
      </x:c>
      <x:c r="AM85" t="n">
        <x:v>1.35618</x:v>
      </x:c>
      <x:c r="AN85" t="n">
        <x:v>11.27</x:v>
      </x:c>
      <x:c r="AO85" t="n">
        <x:v>0.897</x:v>
      </x:c>
      <x:c r="AP85" t="n">
        <x:v>1.9</x:v>
      </x:c>
      <x:c r="AQ85" t="n">
        <x:v>2.06138</x:v>
      </x:c>
      <x:c r="AR85" t="n">
        <x:v>1.1</x:v>
      </x:c>
      <x:c r="AS85" t="n">
        <x:v>0.0657</x:v>
      </x:c>
      <x:c r="AT85" t="n">
        <x:v>0.7501</x:v>
      </x:c>
      <x:c r="AU85" t="n">
        <x:v>0.6579</x:v>
      </x:c>
      <x:c r="AV85" t="n">
        <x:v>1</x:v>
      </x:c>
      <x:c r="AW85" t="n">
        <x:v>1.1401510124024834</x:v>
      </x:c>
      <x:c r="AX85" t="n">
        <x:v>0.004318870135522007</x:v>
      </x:c>
      <x:c r="AY85" t="n">
        <x:v>0.5626564594709845</x:v>
      </x:c>
      <x:c r="AZ85" t="n">
        <x:v>0.4328311959347402</x:v>
      </x:c>
    </x:row>
    <x:row r="86">
      <x:c r="A86" t="str">
        <x:v>270Hz-1</x:v>
      </x:c>
      <x:c r="B86" t="n">
        <x:v>270</x:v>
      </x:c>
      <x:c r="C86" t="n">
        <x:v>1</x:v>
      </x:c>
      <x:c r="D86" t="n">
        <x:v>5</x:v>
      </x:c>
      <x:c r="E86" t="n">
        <x:v>1</x:v>
      </x:c>
      <x:c r="F86" t="n">
        <x:v>270</x:v>
      </x:c>
      <x:c r="G86" t="n">
        <x:v>15</x:v>
      </x:c>
      <x:c r="H86" t="n">
        <x:v>310.51046</x:v>
      </x:c>
      <x:c r="I86" t="n">
        <x:v>0.3509</x:v>
      </x:c>
      <x:c r="J86" t="n">
        <x:v>23.52</x:v>
      </x:c>
      <x:c r="K86" t="n">
        <x:v>270.09708</x:v>
      </x:c>
      <x:c r="L86" t="n">
        <x:v>1.59601</x:v>
      </x:c>
      <x:c r="M86" t="n">
        <x:v>32.43</x:v>
      </x:c>
      <x:c r="N86" t="n">
        <x:v>270.08883</x:v>
      </x:c>
      <x:c r="O86" t="n">
        <x:v>1.42142</x:v>
      </x:c>
      <x:c r="P86" t="n">
        <x:v>35.75</x:v>
      </x:c>
      <x:c r="Q86" t="n">
        <x:v>270.16403</x:v>
      </x:c>
      <x:c r="R86" t="n">
        <x:v>0.14465</x:v>
      </x:c>
      <x:c r="S86" t="n">
        <x:v>270.09708</x:v>
      </x:c>
      <x:c r="T86" t="n">
        <x:v>1.59601</x:v>
      </x:c>
      <x:c r="U86" t="n">
        <x:v>270.08883</x:v>
      </x:c>
      <x:c r="V86" t="n">
        <x:v>1.42142</x:v>
      </x:c>
      <x:c r="W86" t="n">
        <x:v>270.09376</x:v>
      </x:c>
      <x:c r="X86" t="n">
        <x:v>0.09376</x:v>
      </x:c>
      <x:c r="Y86" t="n">
        <x:v>0.14465</x:v>
      </x:c>
      <x:c r="Z86" t="n">
        <x:v>1.59601</x:v>
      </x:c>
      <x:c r="AA86" t="n">
        <x:v>1.42142</x:v>
      </x:c>
      <x:c r="AB86" t="n">
        <x:v>2.1421</x:v>
      </x:c>
      <x:c r="AC86" t="n">
        <x:v>39.67</x:v>
      </x:c>
      <x:c r="AD86" t="str">
        <x:v>Y</x:v>
      </x:c>
      <x:c r="AE86" t="n">
        <x:v>0.14364</x:v>
      </x:c>
      <x:c r="AF86" t="n">
        <x:v>40.24</x:v>
      </x:c>
      <x:c r="AG86" t="n">
        <x:v>0.172</x:v>
      </x:c>
      <x:c r="AH86" t="n">
        <x:v>27.14</x:v>
      </x:c>
      <x:c r="AI86" t="n">
        <x:v>1.6695</x:v>
      </x:c>
      <x:c r="AJ86" t="n">
        <x:v>-7.19</x:v>
      </x:c>
      <x:c r="AK86" t="n">
        <x:v>0.824</x:v>
      </x:c>
      <x:c r="AL86" t="n">
        <x:v>1.47</x:v>
      </x:c>
      <x:c r="AM86" t="n">
        <x:v>1.47208</x:v>
      </x:c>
      <x:c r="AN86" t="n">
        <x:v>11.53</x:v>
      </x:c>
      <x:c r="AO86" t="n">
        <x:v>0.901</x:v>
      </x:c>
      <x:c r="AP86" t="n">
        <x:v>1.16</x:v>
      </x:c>
      <x:c r="AQ86" t="n">
        <x:v>2.23076</x:v>
      </x:c>
      <x:c r="AR86" t="n">
        <x:v>1.15</x:v>
      </x:c>
      <x:c r="AS86" t="n">
        <x:v>0.0644</x:v>
      </x:c>
      <x:c r="AT86" t="n">
        <x:v>0.7484</x:v>
      </x:c>
      <x:c r="AU86" t="n">
        <x:v>0.6599</x:v>
      </x:c>
      <x:c r="AV86" t="n">
        <x:v>1</x:v>
      </x:c>
      <x:c r="AW86" t="n">
        <x:v>1.1341095592630834</x:v>
      </x:c>
      <x:c r="AX86" t="n">
        <x:v>0.004146150819916768</x:v>
      </x:c>
      <x:c r="AY86" t="n">
        <x:v>0.5601020339501674</x:v>
      </x:c>
      <x:c r="AZ86" t="n">
        <x:v>0.43546888325654787</x:v>
      </x:c>
    </x:row>
    <x:row r="87">
      <x:c r="A87" t="str">
        <x:v>270Hz-1</x:v>
      </x:c>
      <x:c r="B87" t="n">
        <x:v>270</x:v>
      </x:c>
      <x:c r="C87" t="n">
        <x:v>1</x:v>
      </x:c>
      <x:c r="D87" t="n">
        <x:v>6</x:v>
      </x:c>
      <x:c r="E87" t="n">
        <x:v>1</x:v>
      </x:c>
      <x:c r="F87" t="n">
        <x:v>270</x:v>
      </x:c>
      <x:c r="G87" t="n">
        <x:v>16</x:v>
      </x:c>
      <x:c r="H87" t="n">
        <x:v>189.29744</x:v>
      </x:c>
      <x:c r="I87" t="n">
        <x:v>0.33255</x:v>
      </x:c>
      <x:c r="J87" t="n">
        <x:v>23.7</x:v>
      </x:c>
      <x:c r="K87" t="n">
        <x:v>270.08886</x:v>
      </x:c>
      <x:c r="L87" t="n">
        <x:v>1.67794</x:v>
      </x:c>
      <x:c r="M87" t="n">
        <x:v>33.06</x:v>
      </x:c>
      <x:c r="N87" t="n">
        <x:v>270.08636</x:v>
      </x:c>
      <x:c r="O87" t="n">
        <x:v>1.5414</x:v>
      </x:c>
      <x:c r="P87" t="n">
        <x:v>36.21</x:v>
      </x:c>
      <x:c r="Q87" t="n">
        <x:v>270.18483</x:v>
      </x:c>
      <x:c r="R87" t="n">
        <x:v>0.14197</x:v>
      </x:c>
      <x:c r="S87" t="n">
        <x:v>270.08886</x:v>
      </x:c>
      <x:c r="T87" t="n">
        <x:v>1.67794</x:v>
      </x:c>
      <x:c r="U87" t="n">
        <x:v>270.08636</x:v>
      </x:c>
      <x:c r="V87" t="n">
        <x:v>1.5414</x:v>
      </x:c>
      <x:c r="W87" t="n">
        <x:v>270.08809</x:v>
      </x:c>
      <x:c r="X87" t="n">
        <x:v>0.08809</x:v>
      </x:c>
      <x:c r="Y87" t="n">
        <x:v>0.14197</x:v>
      </x:c>
      <x:c r="Z87" t="n">
        <x:v>1.67794</x:v>
      </x:c>
      <x:c r="AA87" t="n">
        <x:v>1.5414</x:v>
      </x:c>
      <x:c r="AB87" t="n">
        <x:v>2.28288</x:v>
      </x:c>
      <x:c r="AC87" t="n">
        <x:v>38.58</x:v>
      </x:c>
      <x:c r="AD87" t="str">
        <x:v>Y</x:v>
      </x:c>
      <x:c r="AE87" t="n">
        <x:v>0.18212</x:v>
      </x:c>
      <x:c r="AF87" t="n">
        <x:v>37.14</x:v>
      </x:c>
      <x:c r="AG87" t="n">
        <x:v>0.225</x:v>
      </x:c>
      <x:c r="AH87" t="n">
        <x:v>27.24</x:v>
      </x:c>
      <x:c r="AI87" t="n">
        <x:v>1.76232</x:v>
      </x:c>
      <x:c r="AJ87" t="n">
        <x:v>-7.29</x:v>
      </x:c>
      <x:c r="AK87" t="n">
        <x:v>0.855</x:v>
      </x:c>
      <x:c r="AL87" t="n">
        <x:v>1.84</x:v>
      </x:c>
      <x:c r="AM87" t="n">
        <x:v>1.58035</x:v>
      </x:c>
      <x:c r="AN87" t="n">
        <x:v>12.29</x:v>
      </x:c>
      <x:c r="AO87" t="n">
        <x:v>0.898</x:v>
      </x:c>
      <x:c r="AP87" t="n">
        <x:v>1.52</x:v>
      </x:c>
      <x:c r="AQ87" t="n">
        <x:v>2.3746</x:v>
      </x:c>
      <x:c r="AR87" t="n">
        <x:v>1.49</x:v>
      </x:c>
      <x:c r="AS87" t="n">
        <x:v>0.0767</x:v>
      </x:c>
      <x:c r="AT87" t="n">
        <x:v>0.7422</x:v>
      </x:c>
      <x:c r="AU87" t="n">
        <x:v>0.6655</x:v>
      </x:c>
      <x:c r="AV87" t="n">
        <x:v>1</x:v>
      </x:c>
      <x:c r="AW87" t="n">
        <x:v>1.1151453791881547</x:v>
      </x:c>
      <x:c r="AX87" t="n">
        <x:v>0.0058821264485960515</x:v>
      </x:c>
      <x:c r="AY87" t="n">
        <x:v>0.5507932545518853</x:v>
      </x:c>
      <x:c r="AZ87" t="n">
        <x:v>0.44292035019135423</x:v>
      </x:c>
    </x:row>
    <x:row r="88">
      <x:c r="A88" t="str">
        <x:v>270Hz-1</x:v>
      </x:c>
      <x:c r="B88" t="n">
        <x:v>270</x:v>
      </x:c>
      <x:c r="C88" t="n">
        <x:v>1</x:v>
      </x:c>
      <x:c r="D88" t="n">
        <x:v>7</x:v>
      </x:c>
      <x:c r="E88" t="n">
        <x:v>1</x:v>
      </x:c>
      <x:c r="F88" t="n">
        <x:v>270</x:v>
      </x:c>
      <x:c r="G88" t="n">
        <x:v>17</x:v>
      </x:c>
      <x:c r="H88" t="n">
        <x:v>189.04367</x:v>
      </x:c>
      <x:c r="I88" t="n">
        <x:v>0.59496</x:v>
      </x:c>
      <x:c r="J88" t="n">
        <x:v>28</x:v>
      </x:c>
      <x:c r="K88" t="n">
        <x:v>270.09124</x:v>
      </x:c>
      <x:c r="L88" t="n">
        <x:v>1.75723</x:v>
      </x:c>
      <x:c r="M88" t="n">
        <x:v>32.93</x:v>
      </x:c>
      <x:c r="N88" t="n">
        <x:v>270.08442</x:v>
      </x:c>
      <x:c r="O88" t="n">
        <x:v>1.67072</x:v>
      </x:c>
      <x:c r="P88" t="n">
        <x:v>36.17</x:v>
      </x:c>
      <x:c r="Q88" t="n">
        <x:v>270.10572</x:v>
      </x:c>
      <x:c r="R88" t="n">
        <x:v>0.16965</x:v>
      </x:c>
      <x:c r="S88" t="n">
        <x:v>270.09124</x:v>
      </x:c>
      <x:c r="T88" t="n">
        <x:v>1.75723</x:v>
      </x:c>
      <x:c r="U88" t="n">
        <x:v>270.08442</x:v>
      </x:c>
      <x:c r="V88" t="n">
        <x:v>1.67072</x:v>
      </x:c>
      <x:c r="W88" t="n">
        <x:v>270.08812</x:v>
      </x:c>
      <x:c r="X88" t="n">
        <x:v>0.08812</x:v>
      </x:c>
      <x:c r="Y88" t="n">
        <x:v>0.16965</x:v>
      </x:c>
      <x:c r="Z88" t="n">
        <x:v>1.75723</x:v>
      </x:c>
      <x:c r="AA88" t="n">
        <x:v>1.67072</x:v>
      </x:c>
      <x:c r="AB88" t="n">
        <x:v>2.43063</x:v>
      </x:c>
      <x:c r="AC88" t="n">
        <x:v>38.4</x:v>
      </x:c>
      <x:c r="AD88" t="str">
        <x:v>Y</x:v>
      </x:c>
      <x:c r="AE88" t="n">
        <x:v>0.18578</x:v>
      </x:c>
      <x:c r="AF88" t="n">
        <x:v>34.26</x:v>
      </x:c>
      <x:c r="AG88" t="n">
        <x:v>0.195</x:v>
      </x:c>
      <x:c r="AH88" t="n">
        <x:v>31.12</x:v>
      </x:c>
      <x:c r="AI88" t="n">
        <x:v>1.81568</x:v>
      </x:c>
      <x:c r="AJ88" t="n">
        <x:v>-7.75</x:v>
      </x:c>
      <x:c r="AK88" t="n">
        <x:v>0.83</x:v>
      </x:c>
      <x:c r="AL88" t="n">
        <x:v>0.97</x:v>
      </x:c>
      <x:c r="AM88" t="n">
        <x:v>1.69306</x:v>
      </x:c>
      <x:c r="AN88" t="n">
        <x:v>12.52</x:v>
      </x:c>
      <x:c r="AO88" t="n">
        <x:v>0.896</x:v>
      </x:c>
      <x:c r="AP88" t="n">
        <x:v>1.4</x:v>
      </x:c>
      <x:c r="AQ88" t="n">
        <x:v>2.49008</x:v>
      </x:c>
      <x:c r="AR88" t="n">
        <x:v>1.02</x:v>
      </x:c>
      <x:c r="AS88" t="n">
        <x:v>0.0746</x:v>
      </x:c>
      <x:c r="AT88" t="n">
        <x:v>0.7292</x:v>
      </x:c>
      <x:c r="AU88" t="n">
        <x:v>0.6799</x:v>
      </x:c>
      <x:c r="AV88" t="n">
        <x:v>1</x:v>
      </x:c>
      <x:c r="AW88" t="n">
        <x:v>1.0724250764887244</x:v>
      </x:c>
      <x:c r="AX88" t="n">
        <x:v>0.00556636033715859</x:v>
      </x:c>
      <x:c r="AY88" t="n">
        <x:v>0.5316820755888324</x:v>
      </x:c>
      <x:c r="AZ88" t="n">
        <x:v>0.46229383119287953</x:v>
      </x:c>
    </x:row>
    <x:row r="89">
      <x:c r="A89" t="str">
        <x:v>270Hz-1</x:v>
      </x:c>
      <x:c r="B89" t="n">
        <x:v>270</x:v>
      </x:c>
      <x:c r="C89" t="n">
        <x:v>1</x:v>
      </x:c>
      <x:c r="D89" t="n">
        <x:v>8</x:v>
      </x:c>
      <x:c r="E89" t="n">
        <x:v>1</x:v>
      </x:c>
      <x:c r="F89" t="n">
        <x:v>270</x:v>
      </x:c>
      <x:c r="G89" t="n">
        <x:v>18</x:v>
      </x:c>
      <x:c r="H89" t="n">
        <x:v>189.18303</x:v>
      </x:c>
      <x:c r="I89" t="n">
        <x:v>0.30984</x:v>
      </x:c>
      <x:c r="J89" t="n">
        <x:v>22.26</x:v>
      </x:c>
      <x:c r="K89" t="n">
        <x:v>270.08984</x:v>
      </x:c>
      <x:c r="L89" t="n">
        <x:v>1.85985</x:v>
      </x:c>
      <x:c r="M89" t="n">
        <x:v>34.18</x:v>
      </x:c>
      <x:c r="N89" t="n">
        <x:v>270.08835</x:v>
      </x:c>
      <x:c r="O89" t="n">
        <x:v>1.78472</x:v>
      </x:c>
      <x:c r="P89" t="n">
        <x:v>36.29</x:v>
      </x:c>
      <x:c r="Q89" t="n">
        <x:v>270.04845</x:v>
      </x:c>
      <x:c r="R89" t="n">
        <x:v>0.18796</x:v>
      </x:c>
      <x:c r="S89" t="n">
        <x:v>270.08984</x:v>
      </x:c>
      <x:c r="T89" t="n">
        <x:v>1.85985</x:v>
      </x:c>
      <x:c r="U89" t="n">
        <x:v>270.08835</x:v>
      </x:c>
      <x:c r="V89" t="n">
        <x:v>1.78472</x:v>
      </x:c>
      <x:c r="W89" t="n">
        <x:v>270.08893</x:v>
      </x:c>
      <x:c r="X89" t="n">
        <x:v>0.08893</x:v>
      </x:c>
      <x:c r="Y89" t="n">
        <x:v>0.18796</x:v>
      </x:c>
      <x:c r="Z89" t="n">
        <x:v>1.85985</x:v>
      </x:c>
      <x:c r="AA89" t="n">
        <x:v>1.78472</x:v>
      </x:c>
      <x:c r="AB89" t="n">
        <x:v>2.58449</x:v>
      </x:c>
      <x:c r="AC89" t="n">
        <x:v>39.32</x:v>
      </x:c>
      <x:c r="AD89" t="str">
        <x:v>Y</x:v>
      </x:c>
      <x:c r="AE89" t="n">
        <x:v>0.17659</x:v>
      </x:c>
      <x:c r="AF89" t="n">
        <x:v>45.99</x:v>
      </x:c>
      <x:c r="AG89" t="n">
        <x:v>0.212</x:v>
      </x:c>
      <x:c r="AH89" t="n">
        <x:v>55.19</x:v>
      </x:c>
      <x:c r="AI89" t="n">
        <x:v>1.87606</x:v>
      </x:c>
      <x:c r="AJ89" t="n">
        <x:v>-9.33</x:v>
      </x:c>
      <x:c r="AK89" t="n">
        <x:v>0.86</x:v>
      </x:c>
      <x:c r="AL89" t="n">
        <x:v>1.65</x:v>
      </x:c>
      <x:c r="AM89" t="n">
        <x:v>1.85503</x:v>
      </x:c>
      <x:c r="AN89" t="n">
        <x:v>12.36</x:v>
      </x:c>
      <x:c r="AO89" t="n">
        <x:v>0.909</x:v>
      </x:c>
      <x:c r="AP89" t="n">
        <x:v>1.01</x:v>
      </x:c>
      <x:c r="AQ89" t="n">
        <x:v>2.64568</x:v>
      </x:c>
      <x:c r="AR89" t="n">
        <x:v>1.31</x:v>
      </x:c>
      <x:c r="AS89" t="n">
        <x:v>0.0667</x:v>
      </x:c>
      <x:c r="AT89" t="n">
        <x:v>0.7091</x:v>
      </x:c>
      <x:c r="AU89" t="n">
        <x:v>0.7012</x:v>
      </x:c>
      <x:c r="AV89" t="n">
        <x:v>1</x:v>
      </x:c>
      <x:c r="AW89" t="n">
        <x:v>1.011336743880153</x:v>
      </x:c>
      <x:c r="AX89" t="n">
        <x:v>0.00445510131103378</x:v>
      </x:c>
      <x:c r="AY89" t="n">
        <x:v>0.5028272656048026</x:v>
      </x:c>
      <x:c r="AZ89" t="n">
        <x:v>0.4916174009471702</x:v>
      </x:c>
    </x:row>
    <x:row r="90">
      <x:c r="A90" t="str">
        <x:v>270Hz-1</x:v>
      </x:c>
      <x:c r="B90" t="n">
        <x:v>270</x:v>
      </x:c>
      <x:c r="C90" t="n">
        <x:v>1</x:v>
      </x:c>
      <x:c r="D90" t="n">
        <x:v>9</x:v>
      </x:c>
      <x:c r="E90" t="n">
        <x:v>1</x:v>
      </x:c>
      <x:c r="F90" t="n">
        <x:v>270</x:v>
      </x:c>
      <x:c r="G90" t="n">
        <x:v>19</x:v>
      </x:c>
      <x:c r="H90" t="n">
        <x:v>189.16475</x:v>
      </x:c>
      <x:c r="I90" t="n">
        <x:v>0.55414</x:v>
      </x:c>
      <x:c r="J90" t="n">
        <x:v>27.11</x:v>
      </x:c>
      <x:c r="K90" t="n">
        <x:v>270.08713</x:v>
      </x:c>
      <x:c r="L90" t="n">
        <x:v>1.89661</x:v>
      </x:c>
      <x:c r="M90" t="n">
        <x:v>34.05</x:v>
      </x:c>
      <x:c r="N90" t="n">
        <x:v>270.08248</x:v>
      </x:c>
      <x:c r="O90" t="n">
        <x:v>1.95642</x:v>
      </x:c>
      <x:c r="P90" t="n">
        <x:v>36.18</x:v>
      </x:c>
      <x:c r="Q90" t="n">
        <x:v>270.06939</x:v>
      </x:c>
      <x:c r="R90" t="n">
        <x:v>0.19962</x:v>
      </x:c>
      <x:c r="S90" t="n">
        <x:v>270.08713</x:v>
      </x:c>
      <x:c r="T90" t="n">
        <x:v>1.89661</x:v>
      </x:c>
      <x:c r="U90" t="n">
        <x:v>270.08248</x:v>
      </x:c>
      <x:c r="V90" t="n">
        <x:v>1.95642</x:v>
      </x:c>
      <x:c r="W90" t="n">
        <x:v>270.08466</x:v>
      </x:c>
      <x:c r="X90" t="n">
        <x:v>0.08466</x:v>
      </x:c>
      <x:c r="Y90" t="n">
        <x:v>0.19962</x:v>
      </x:c>
      <x:c r="Z90" t="n">
        <x:v>1.89661</x:v>
      </x:c>
      <x:c r="AA90" t="n">
        <x:v>1.95642</x:v>
      </x:c>
      <x:c r="AB90" t="n">
        <x:v>2.73213</x:v>
      </x:c>
      <x:c r="AC90" t="n">
        <x:v>38.78</x:v>
      </x:c>
      <x:c r="AD90" t="str">
        <x:v>Z</x:v>
      </x:c>
      <x:c r="AE90" t="n">
        <x:v>0.21338</x:v>
      </x:c>
      <x:c r="AF90" t="n">
        <x:v>44.51</x:v>
      </x:c>
      <x:c r="AG90" t="n">
        <x:v>0.216</x:v>
      </x:c>
      <x:c r="AH90" t="n">
        <x:v>25.43</x:v>
      </x:c>
      <x:c r="AI90" t="n">
        <x:v>1.9859</x:v>
      </x:c>
      <x:c r="AJ90" t="n">
        <x:v>-9.6</x:v>
      </x:c>
      <x:c r="AK90" t="n">
        <x:v>0.861</x:v>
      </x:c>
      <x:c r="AL90" t="n">
        <x:v>1.28</x:v>
      </x:c>
      <x:c r="AM90" t="n">
        <x:v>2.03818</x:v>
      </x:c>
      <x:c r="AN90" t="n">
        <x:v>12.07</x:v>
      </x:c>
      <x:c r="AO90" t="n">
        <x:v>0.898</x:v>
      </x:c>
      <x:c r="AP90" t="n">
        <x:v>1.46</x:v>
      </x:c>
      <x:c r="AQ90" t="n">
        <x:v>2.85429</x:v>
      </x:c>
      <x:c r="AR90" t="n">
        <x:v>0.49</x:v>
      </x:c>
      <x:c r="AS90" t="n">
        <x:v>0.0748</x:v>
      </x:c>
      <x:c r="AT90" t="n">
        <x:v>0.6958</x:v>
      </x:c>
      <x:c r="AU90" t="n">
        <x:v>0.7141</x:v>
      </x:c>
      <x:c r="AV90" t="n">
        <x:v>1</x:v>
      </x:c>
      <x:c r="AW90" t="n">
        <x:v>0.974349664897114</x:v>
      </x:c>
      <x:c r="AX90" t="n">
        <x:v>0.0055887055620554025</x:v>
      </x:c>
      <x:c r="AY90" t="n">
        <x:v>0.4840815825148551</x:v>
      </x:c>
      <x:c r="AZ90" t="n">
        <x:v>0.5099045407609251</x:v>
      </x:c>
    </x:row>
    <x:row r="91">
      <x:c r="A91" t="str">
        <x:v>270Hz-1</x:v>
      </x:c>
      <x:c r="B91" t="n">
        <x:v>270</x:v>
      </x:c>
      <x:c r="C91" t="n">
        <x:v>1</x:v>
      </x:c>
      <x:c r="D91" t="n">
        <x:v>10</x:v>
      </x:c>
      <x:c r="E91" t="n">
        <x:v>1</x:v>
      </x:c>
      <x:c r="F91" t="n">
        <x:v>270</x:v>
      </x:c>
      <x:c r="G91" t="n">
        <x:v>20</x:v>
      </x:c>
      <x:c r="H91" t="n">
        <x:v>189.08144</x:v>
      </x:c>
      <x:c r="I91" t="n">
        <x:v>0.64089</x:v>
      </x:c>
      <x:c r="J91" t="n">
        <x:v>27.09</x:v>
      </x:c>
      <x:c r="K91" t="n">
        <x:v>270.09148</x:v>
      </x:c>
      <x:c r="L91" t="n">
        <x:v>1.95814</x:v>
      </x:c>
      <x:c r="M91" t="n">
        <x:v>33.77</x:v>
      </x:c>
      <x:c r="N91" t="n">
        <x:v>270.08207</x:v>
      </x:c>
      <x:c r="O91" t="n">
        <x:v>2.24786</x:v>
      </x:c>
      <x:c r="P91" t="n">
        <x:v>36.37</x:v>
      </x:c>
      <x:c r="Q91" t="n">
        <x:v>270.04676</x:v>
      </x:c>
      <x:c r="R91" t="n">
        <x:v>0.22684</x:v>
      </x:c>
      <x:c r="S91" t="n">
        <x:v>270.09148</x:v>
      </x:c>
      <x:c r="T91" t="n">
        <x:v>1.95814</x:v>
      </x:c>
      <x:c r="U91" t="n">
        <x:v>270.08207</x:v>
      </x:c>
      <x:c r="V91" t="n">
        <x:v>2.24786</x:v>
      </x:c>
      <x:c r="W91" t="n">
        <x:v>270.0859</x:v>
      </x:c>
      <x:c r="X91" t="n">
        <x:v>0.0859</x:v>
      </x:c>
      <x:c r="Y91" t="n">
        <x:v>0.22684</x:v>
      </x:c>
      <x:c r="Z91" t="n">
        <x:v>1.95814</x:v>
      </x:c>
      <x:c r="AA91" t="n">
        <x:v>2.24786</x:v>
      </x:c>
      <x:c r="AB91" t="n">
        <x:v>2.98975</x:v>
      </x:c>
      <x:c r="AC91" t="n">
        <x:v>38.08</x:v>
      </x:c>
      <x:c r="AD91" t="str">
        <x:v>Z</x:v>
      </x:c>
      <x:c r="AE91" t="n">
        <x:v>0.24334</x:v>
      </x:c>
      <x:c r="AF91" t="n">
        <x:v>28.21</x:v>
      </x:c>
      <x:c r="AG91" t="n">
        <x:v>0.222</x:v>
      </x:c>
      <x:c r="AH91" t="n">
        <x:v>17.35</x:v>
      </x:c>
      <x:c r="AI91" t="n">
        <x:v>2.06291</x:v>
      </x:c>
      <x:c r="AJ91" t="n">
        <x:v>-10.6</x:v>
      </x:c>
      <x:c r="AK91" t="n">
        <x:v>0.865</x:v>
      </x:c>
      <x:c r="AL91" t="n">
        <x:v>1.4</x:v>
      </x:c>
      <x:c r="AM91" t="n">
        <x:v>2.18618</x:v>
      </x:c>
      <x:c r="AN91" t="n">
        <x:v>11.54</x:v>
      </x:c>
      <x:c r="AO91" t="n">
        <x:v>0.905</x:v>
      </x:c>
      <x:c r="AP91" t="n">
        <x:v>1.95</x:v>
      </x:c>
      <x:c r="AQ91" t="n">
        <x:v>3.01612</x:v>
      </x:c>
      <x:c r="AR91" t="n">
        <x:v>1.01</x:v>
      </x:c>
      <x:c r="AS91" t="n">
        <x:v>0.0807</x:v>
      </x:c>
      <x:c r="AT91" t="n">
        <x:v>0.684</x:v>
      </x:c>
      <x:c r="AU91" t="n">
        <x:v>0.7248</x:v>
      </x:c>
      <x:c r="AV91" t="n">
        <x:v>1</x:v>
      </x:c>
      <x:c r="AW91" t="n">
        <x:v>0.9436139750615229</x:v>
      </x:c>
      <x:c r="AX91" t="n">
        <x:v>0.006509232354885273</x:v>
      </x:c>
      <x:c r="AY91" t="n">
        <x:v>0.46780335190493644</x:v>
      </x:c>
      <x:c r="AZ91" t="n">
        <x:v>0.5253812879544106</x:v>
      </x:c>
    </x:row>
    <x:row r="92">
      <x:c r="A92" t="str">
        <x:v>275Hz-1</x:v>
      </x:c>
      <x:c r="B92" t="n">
        <x:v>275</x:v>
      </x:c>
      <x:c r="C92" t="n">
        <x:v>1</x:v>
      </x:c>
      <x:c r="D92" t="n">
        <x:v>1</x:v>
      </x:c>
      <x:c r="E92" t="n">
        <x:v>1</x:v>
      </x:c>
      <x:c r="F92" t="n">
        <x:v>275</x:v>
      </x:c>
      <x:c r="G92" t="n">
        <x:v>11</x:v>
      </x:c>
      <x:c r="H92" t="n">
        <x:v>345.37419</x:v>
      </x:c>
      <x:c r="I92" t="n">
        <x:v>0.35584</x:v>
      </x:c>
      <x:c r="J92" t="n">
        <x:v>22.98</x:v>
      </x:c>
      <x:c r="K92" t="n">
        <x:v>275.00423</x:v>
      </x:c>
      <x:c r="L92" t="n">
        <x:v>1.4118</x:v>
      </x:c>
      <x:c r="M92" t="n">
        <x:v>31.19</x:v>
      </x:c>
      <x:c r="N92" t="n">
        <x:v>274.99974</x:v>
      </x:c>
      <x:c r="O92" t="n">
        <x:v>1.10727</x:v>
      </x:c>
      <x:c r="P92" t="n">
        <x:v>34.44</x:v>
      </x:c>
      <x:c r="Q92" t="n">
        <x:v>275.07943</x:v>
      </x:c>
      <x:c r="R92" t="n">
        <x:v>0.10976</x:v>
      </x:c>
      <x:c r="S92" t="n">
        <x:v>275.00423</x:v>
      </x:c>
      <x:c r="T92" t="n">
        <x:v>1.4118</x:v>
      </x:c>
      <x:c r="U92" t="n">
        <x:v>274.99974</x:v>
      </x:c>
      <x:c r="V92" t="n">
        <x:v>1.10727</x:v>
      </x:c>
      <x:c r="W92" t="n">
        <x:v>275.00281</x:v>
      </x:c>
      <x:c r="X92" t="n">
        <x:v>0.00281</x:v>
      </x:c>
      <x:c r="Y92" t="n">
        <x:v>0.10976</x:v>
      </x:c>
      <x:c r="Z92" t="n">
        <x:v>1.4118</x:v>
      </x:c>
      <x:c r="AA92" t="n">
        <x:v>1.10727</x:v>
      </x:c>
      <x:c r="AB92" t="n">
        <x:v>1.79757</x:v>
      </x:c>
      <x:c r="AC92" t="n">
        <x:v>33.09</x:v>
      </x:c>
      <x:c r="AD92" t="str">
        <x:v>Y</x:v>
      </x:c>
      <x:c r="AE92" t="n">
        <x:v>0.1067</x:v>
      </x:c>
      <x:c r="AF92" t="n">
        <x:v>37.42</x:v>
      </x:c>
      <x:c r="AG92" t="n">
        <x:v>0.134</x:v>
      </x:c>
      <x:c r="AH92" t="n">
        <x:v>15</x:v>
      </x:c>
      <x:c r="AI92" t="n">
        <x:v>1.41837</x:v>
      </x:c>
      <x:c r="AJ92" t="n">
        <x:v>-8.99</x:v>
      </x:c>
      <x:c r="AK92" t="n">
        <x:v>0.813</x:v>
      </x:c>
      <x:c r="AL92" t="n">
        <x:v>1.23</x:v>
      </x:c>
      <x:c r="AM92" t="n">
        <x:v>1.10616</x:v>
      </x:c>
      <x:c r="AN92" t="n">
        <x:v>7.17</x:v>
      </x:c>
      <x:c r="AO92" t="n">
        <x:v>0.874</x:v>
      </x:c>
      <x:c r="AP92" t="n">
        <x:v>1.2</x:v>
      </x:c>
      <x:c r="AQ92" t="n">
        <x:v>1.80201</x:v>
      </x:c>
      <x:c r="AR92" t="n">
        <x:v>0.66</x:v>
      </x:c>
      <x:c r="AS92" t="n">
        <x:v>0.0592</x:v>
      </x:c>
      <x:c r="AT92" t="n">
        <x:v>0.7871</x:v>
      </x:c>
      <x:c r="AU92" t="n">
        <x:v>0.6139</x:v>
      </x:c>
      <x:c r="AV92" t="n">
        <x:v>1</x:v>
      </x:c>
      <x:c r="AW92" t="n">
        <x:v>1.2822466912562376</x:v>
      </x:c>
      <x:c r="AX92" t="n">
        <x:v>0.003506020454111363</x:v>
      </x:c>
      <x:c r="AY92" t="n">
        <x:v>0.6195333366356394</x:v>
      </x:c>
      <x:c r="AZ92" t="n">
        <x:v>0.3768092073545383</x:v>
      </x:c>
    </x:row>
    <x:row r="93">
      <x:c r="A93" t="str">
        <x:v>275Hz-1</x:v>
      </x:c>
      <x:c r="B93" t="n">
        <x:v>275</x:v>
      </x:c>
      <x:c r="C93" t="n">
        <x:v>1</x:v>
      </x:c>
      <x:c r="D93" t="n">
        <x:v>2</x:v>
      </x:c>
      <x:c r="E93" t="n">
        <x:v>1</x:v>
      </x:c>
      <x:c r="F93" t="n">
        <x:v>275</x:v>
      </x:c>
      <x:c r="G93" t="n">
        <x:v>12</x:v>
      </x:c>
      <x:c r="H93" t="n">
        <x:v>134.21324</x:v>
      </x:c>
      <x:c r="I93" t="n">
        <x:v>0.41254</x:v>
      </x:c>
      <x:c r="J93" t="n">
        <x:v>23.71</x:v>
      </x:c>
      <x:c r="K93" t="n">
        <x:v>274.99738</x:v>
      </x:c>
      <x:c r="L93" t="n">
        <x:v>1.53681</x:v>
      </x:c>
      <x:c r="M93" t="n">
        <x:v>31.75</x:v>
      </x:c>
      <x:c r="N93" t="n">
        <x:v>274.99708</x:v>
      </x:c>
      <x:c r="O93" t="n">
        <x:v>1.21619</x:v>
      </x:c>
      <x:c r="P93" t="n">
        <x:v>34.64</x:v>
      </x:c>
      <x:c r="Q93" t="n">
        <x:v>275.05499</x:v>
      </x:c>
      <x:c r="R93" t="n">
        <x:v>0.11778</x:v>
      </x:c>
      <x:c r="S93" t="n">
        <x:v>274.99738</x:v>
      </x:c>
      <x:c r="T93" t="n">
        <x:v>1.53681</x:v>
      </x:c>
      <x:c r="U93" t="n">
        <x:v>274.99708</x:v>
      </x:c>
      <x:c r="V93" t="n">
        <x:v>1.21619</x:v>
      </x:c>
      <x:c r="W93" t="n">
        <x:v>274.99748</x:v>
      </x:c>
      <x:c r="X93" t="n">
        <x:v>-0.00252</x:v>
      </x:c>
      <x:c r="Y93" t="n">
        <x:v>0.11778</x:v>
      </x:c>
      <x:c r="Z93" t="n">
        <x:v>1.53681</x:v>
      </x:c>
      <x:c r="AA93" t="n">
        <x:v>1.21619</x:v>
      </x:c>
      <x:c r="AB93" t="n">
        <x:v>1.96336</x:v>
      </x:c>
      <x:c r="AC93" t="n">
        <x:v>33.53</x:v>
      </x:c>
      <x:c r="AD93" t="str">
        <x:v>Y</x:v>
      </x:c>
      <x:c r="AE93" t="n">
        <x:v>0.1221</x:v>
      </x:c>
      <x:c r="AF93" t="n">
        <x:v>40.82</x:v>
      </x:c>
      <x:c r="AG93" t="n">
        <x:v>0.141</x:v>
      </x:c>
      <x:c r="AH93" t="n">
        <x:v>10.87</x:v>
      </x:c>
      <x:c r="AI93" t="n">
        <x:v>1.54453</x:v>
      </x:c>
      <x:c r="AJ93" t="n">
        <x:v>-9.81</x:v>
      </x:c>
      <x:c r="AK93" t="n">
        <x:v>0.816</x:v>
      </x:c>
      <x:c r="AL93" t="n">
        <x:v>1.24</x:v>
      </x:c>
      <x:c r="AM93" t="n">
        <x:v>1.21677</x:v>
      </x:c>
      <x:c r="AN93" t="n">
        <x:v>7.9</x:v>
      </x:c>
      <x:c r="AO93" t="n">
        <x:v>0.888</x:v>
      </x:c>
      <x:c r="AP93" t="n">
        <x:v>1.12</x:v>
      </x:c>
      <x:c r="AQ93" t="n">
        <x:v>1.97015</x:v>
      </x:c>
      <x:c r="AR93" t="n">
        <x:v>0.48</x:v>
      </x:c>
      <x:c r="AS93" t="n">
        <x:v>0.062</x:v>
      </x:c>
      <x:c r="AT93" t="n">
        <x:v>0.784</x:v>
      </x:c>
      <x:c r="AU93" t="n">
        <x:v>0.6176</x:v>
      </x:c>
      <x:c r="AV93" t="n">
        <x:v>1</x:v>
      </x:c>
      <x:c r="AW93" t="n">
        <x:v>1.269368902915095</x:v>
      </x:c>
      <x:c r="AX93" t="n">
        <x:v>0.0038408977152284527</x:v>
      </x:c>
      <x:c r="AY93" t="n">
        <x:v>0.6146021997916394</x:v>
      </x:c>
      <x:c r="AZ93" t="n">
        <x:v>0.38143312049873473</x:v>
      </x:c>
    </x:row>
    <x:row r="94">
      <x:c r="A94" t="str">
        <x:v>275Hz-1</x:v>
      </x:c>
      <x:c r="B94" t="n">
        <x:v>275</x:v>
      </x:c>
      <x:c r="C94" t="n">
        <x:v>1</x:v>
      </x:c>
      <x:c r="D94" t="n">
        <x:v>3</x:v>
      </x:c>
      <x:c r="E94" t="n">
        <x:v>1</x:v>
      </x:c>
      <x:c r="F94" t="n">
        <x:v>275</x:v>
      </x:c>
      <x:c r="G94" t="n">
        <x:v>13</x:v>
      </x:c>
      <x:c r="H94" t="n">
        <x:v>134.18093</x:v>
      </x:c>
      <x:c r="I94" t="n">
        <x:v>0.35196</x:v>
      </x:c>
      <x:c r="J94" t="n">
        <x:v>23.03</x:v>
      </x:c>
      <x:c r="K94" t="n">
        <x:v>274.99886</x:v>
      </x:c>
      <x:c r="L94" t="n">
        <x:v>1.6654</x:v>
      </x:c>
      <x:c r="M94" t="n">
        <x:v>32.69</x:v>
      </x:c>
      <x:c r="N94" t="n">
        <x:v>275.00058</x:v>
      </x:c>
      <x:c r="O94" t="n">
        <x:v>1.31702</x:v>
      </x:c>
      <x:c r="P94" t="n">
        <x:v>34.92</x:v>
      </x:c>
      <x:c r="Q94" t="n">
        <x:v>274.96437</x:v>
      </x:c>
      <x:c r="R94" t="n">
        <x:v>0.12818</x:v>
      </x:c>
      <x:c r="S94" t="n">
        <x:v>274.99886</x:v>
      </x:c>
      <x:c r="T94" t="n">
        <x:v>1.6654</x:v>
      </x:c>
      <x:c r="U94" t="n">
        <x:v>275.00058</x:v>
      </x:c>
      <x:c r="V94" t="n">
        <x:v>1.31702</x:v>
      </x:c>
      <x:c r="W94" t="n">
        <x:v>274.99939</x:v>
      </x:c>
      <x:c r="X94" t="n">
        <x:v>-0.00061</x:v>
      </x:c>
      <x:c r="Y94" t="n">
        <x:v>0.12818</x:v>
      </x:c>
      <x:c r="Z94" t="n">
        <x:v>1.6654</x:v>
      </x:c>
      <x:c r="AA94" t="n">
        <x:v>1.31702</x:v>
      </x:c>
      <x:c r="AB94" t="n">
        <x:v>2.1271</x:v>
      </x:c>
      <x:c r="AC94" t="n">
        <x:v>32.05</x:v>
      </x:c>
      <x:c r="AD94" t="str">
        <x:v>Y</x:v>
      </x:c>
      <x:c r="AE94" t="n">
        <x:v>0.12493</x:v>
      </x:c>
      <x:c r="AF94" t="n">
        <x:v>35.53</x:v>
      </x:c>
      <x:c r="AG94" t="n">
        <x:v>0.16</x:v>
      </x:c>
      <x:c r="AH94" t="n">
        <x:v>11.61</x:v>
      </x:c>
      <x:c r="AI94" t="n">
        <x:v>1.66688</x:v>
      </x:c>
      <x:c r="AJ94" t="n">
        <x:v>-10.61</x:v>
      </x:c>
      <x:c r="AK94" t="n">
        <x:v>0.843</x:v>
      </x:c>
      <x:c r="AL94" t="n">
        <x:v>0.94</x:v>
      </x:c>
      <x:c r="AM94" t="n">
        <x:v>1.35386</x:v>
      </x:c>
      <x:c r="AN94" t="n">
        <x:v>8.33</x:v>
      </x:c>
      <x:c r="AO94" t="n">
        <x:v>0.899</x:v>
      </x:c>
      <x:c r="AP94" t="n">
        <x:v>1.77</x:v>
      </x:c>
      <x:c r="AQ94" t="n">
        <x:v>2.15114</x:v>
      </x:c>
      <x:c r="AR94" t="n">
        <x:v>1.11</x:v>
      </x:c>
      <x:c r="AS94" t="n">
        <x:v>0.0581</x:v>
      </x:c>
      <x:c r="AT94" t="n">
        <x:v>0.7749</x:v>
      </x:c>
      <x:c r="AU94" t="n">
        <x:v>0.6294</x:v>
      </x:c>
      <x:c r="AV94" t="n">
        <x:v>1</x:v>
      </x:c>
      <x:c r="AW94" t="n">
        <x:v>1.23120558994283</x:v>
      </x:c>
      <x:c r="AX94" t="n">
        <x:v>0.0033728430157252856</x:v>
      </x:c>
      <x:c r="AY94" t="n">
        <x:v>0.6004423549250997</x:v>
      </x:c>
      <x:c r="AZ94" t="n">
        <x:v>0.39610485210105684</x:v>
      </x:c>
    </x:row>
    <x:row r="95">
      <x:c r="A95" t="str">
        <x:v>275Hz-1</x:v>
      </x:c>
      <x:c r="B95" t="n">
        <x:v>275</x:v>
      </x:c>
      <x:c r="C95" t="n">
        <x:v>1</x:v>
      </x:c>
      <x:c r="D95" t="n">
        <x:v>4</x:v>
      </x:c>
      <x:c r="E95" t="n">
        <x:v>1</x:v>
      </x:c>
      <x:c r="F95" t="n">
        <x:v>275</x:v>
      </x:c>
      <x:c r="G95" t="n">
        <x:v>14</x:v>
      </x:c>
      <x:c r="H95" t="n">
        <x:v>134.08137</x:v>
      </x:c>
      <x:c r="I95" t="n">
        <x:v>0.45249</x:v>
      </x:c>
      <x:c r="J95" t="n">
        <x:v>24.81</x:v>
      </x:c>
      <x:c r="K95" t="n">
        <x:v>275.00796</x:v>
      </x:c>
      <x:c r="L95" t="n">
        <x:v>1.77514</x:v>
      </x:c>
      <x:c r="M95" t="n">
        <x:v>32.22</x:v>
      </x:c>
      <x:c r="N95" t="n">
        <x:v>275.00125</x:v>
      </x:c>
      <x:c r="O95" t="n">
        <x:v>1.46043</x:v>
      </x:c>
      <x:c r="P95" t="n">
        <x:v>35.47</x:v>
      </x:c>
      <x:c r="Q95" t="n">
        <x:v>275.01849</x:v>
      </x:c>
      <x:c r="R95" t="n">
        <x:v>0.14516</x:v>
      </x:c>
      <x:c r="S95" t="n">
        <x:v>275.00796</x:v>
      </x:c>
      <x:c r="T95" t="n">
        <x:v>1.77514</x:v>
      </x:c>
      <x:c r="U95" t="n">
        <x:v>275.00125</x:v>
      </x:c>
      <x:c r="V95" t="n">
        <x:v>1.46043</x:v>
      </x:c>
      <x:c r="W95" t="n">
        <x:v>275.0053</x:v>
      </x:c>
      <x:c r="X95" t="n">
        <x:v>0.0053</x:v>
      </x:c>
      <x:c r="Y95" t="n">
        <x:v>0.14516</x:v>
      </x:c>
      <x:c r="Z95" t="n">
        <x:v>1.77514</x:v>
      </x:c>
      <x:c r="AA95" t="n">
        <x:v>1.46043</x:v>
      </x:c>
      <x:c r="AB95" t="n">
        <x:v>2.30327</x:v>
      </x:c>
      <x:c r="AC95" t="n">
        <x:v>34.02</x:v>
      </x:c>
      <x:c r="AD95" t="str">
        <x:v>Y</x:v>
      </x:c>
      <x:c r="AE95" t="n">
        <x:v>0.14017</x:v>
      </x:c>
      <x:c r="AF95" t="n">
        <x:v>43.31</x:v>
      </x:c>
      <x:c r="AG95" t="n">
        <x:v>0.152</x:v>
      </x:c>
      <x:c r="AH95" t="n">
        <x:v>10.63</x:v>
      </x:c>
      <x:c r="AI95" t="n">
        <x:v>1.77786</x:v>
      </x:c>
      <x:c r="AJ95" t="n">
        <x:v>-10.94</x:v>
      </x:c>
      <x:c r="AK95" t="n">
        <x:v>0.823</x:v>
      </x:c>
      <x:c r="AL95" t="n">
        <x:v>0.45</x:v>
      </x:c>
      <x:c r="AM95" t="n">
        <x:v>1.46533</x:v>
      </x:c>
      <x:c r="AN95" t="n">
        <x:v>8.3</x:v>
      </x:c>
      <x:c r="AO95" t="n">
        <x:v>0.895</x:v>
      </x:c>
      <x:c r="AP95" t="n">
        <x:v>1.45</x:v>
      </x:c>
      <x:c r="AQ95" t="n">
        <x:v>2.30825</x:v>
      </x:c>
      <x:c r="AR95" t="n">
        <x:v>0.67</x:v>
      </x:c>
      <x:c r="AS95" t="n">
        <x:v>0.0607</x:v>
      </x:c>
      <x:c r="AT95" t="n">
        <x:v>0.7702</x:v>
      </x:c>
      <x:c r="AU95" t="n">
        <x:v>0.6348</x:v>
      </x:c>
      <x:c r="AV95" t="n">
        <x:v>1</x:v>
      </x:c>
      <x:c r="AW95" t="n">
        <x:v>1.2132830147475313</x:v>
      </x:c>
      <x:c r="AX95" t="n">
        <x:v>0.0036876055354025925</x:v>
      </x:c>
      <x:c r="AY95" t="n">
        <x:v>0.5932386381807615</x:v>
      </x:c>
      <x:c r="AZ95" t="n">
        <x:v>0.40300013695758746</x:v>
      </x:c>
    </x:row>
    <x:row r="96">
      <x:c r="A96" t="str">
        <x:v>275Hz-1</x:v>
      </x:c>
      <x:c r="B96" t="n">
        <x:v>275</x:v>
      </x:c>
      <x:c r="C96" t="n">
        <x:v>1</x:v>
      </x:c>
      <x:c r="D96" t="n">
        <x:v>5</x:v>
      </x:c>
      <x:c r="E96" t="n">
        <x:v>1</x:v>
      </x:c>
      <x:c r="F96" t="n">
        <x:v>275</x:v>
      </x:c>
      <x:c r="G96" t="n">
        <x:v>15</x:v>
      </x:c>
      <x:c r="H96" t="n">
        <x:v>345.48187</x:v>
      </x:c>
      <x:c r="I96" t="n">
        <x:v>0.31971</x:v>
      </x:c>
      <x:c r="J96" t="n">
        <x:v>21.1</x:v>
      </x:c>
      <x:c r="K96" t="n">
        <x:v>275.00499</x:v>
      </x:c>
      <x:c r="L96" t="n">
        <x:v>1.25421</x:v>
      </x:c>
      <x:c r="M96" t="n">
        <x:v>29.44</x:v>
      </x:c>
      <x:c r="N96" t="n">
        <x:v>274.9998</x:v>
      </x:c>
      <x:c r="O96" t="n">
        <x:v>2.22299</x:v>
      </x:c>
      <x:c r="P96" t="n">
        <x:v>36.39</x:v>
      </x:c>
      <x:c r="Q96" t="n">
        <x:v>275.00117</x:v>
      </x:c>
      <x:c r="R96" t="n">
        <x:v>0.22844</x:v>
      </x:c>
      <x:c r="S96" t="n">
        <x:v>275.00499</x:v>
      </x:c>
      <x:c r="T96" t="n">
        <x:v>1.25421</x:v>
      </x:c>
      <x:c r="U96" t="n">
        <x:v>274.9998</x:v>
      </x:c>
      <x:c r="V96" t="n">
        <x:v>2.22299</x:v>
      </x:c>
      <x:c r="W96" t="n">
        <x:v>275.00106</x:v>
      </x:c>
      <x:c r="X96" t="n">
        <x:v>0.00106</x:v>
      </x:c>
      <x:c r="Y96" t="n">
        <x:v>0.22844</x:v>
      </x:c>
      <x:c r="Z96" t="n">
        <x:v>1.25421</x:v>
      </x:c>
      <x:c r="AA96" t="n">
        <x:v>2.22299</x:v>
      </x:c>
      <x:c r="AB96" t="n">
        <x:v>2.5626</x:v>
      </x:c>
      <x:c r="AC96" t="n">
        <x:v>35.04</x:v>
      </x:c>
      <x:c r="AD96" t="str">
        <x:v>Z</x:v>
      </x:c>
      <x:c r="AE96" t="n">
        <x:v>0.17726</x:v>
      </x:c>
      <x:c r="AF96" t="n">
        <x:v>-6.4</x:v>
      </x:c>
      <x:c r="AG96" t="n">
        <x:v>0.212</x:v>
      </x:c>
      <x:c r="AH96" t="n">
        <x:v>9.12</x:v>
      </x:c>
      <x:c r="AI96" t="n">
        <x:v>1.5062</x:v>
      </x:c>
      <x:c r="AJ96" t="n">
        <x:v>-22.14</x:v>
      </x:c>
      <x:c r="AK96" t="n">
        <x:v>0.797</x:v>
      </x:c>
      <x:c r="AL96" t="n">
        <x:v>9.44</x:v>
      </x:c>
      <x:c r="AM96" t="n">
        <x:v>1.92496</x:v>
      </x:c>
      <x:c r="AN96" t="n">
        <x:v>13.72</x:v>
      </x:c>
      <x:c r="AO96" t="n">
        <x:v>0.881</x:v>
      </x:c>
      <x:c r="AP96" t="n">
        <x:v>7.1</x:v>
      </x:c>
      <x:c r="AQ96" t="n">
        <x:v>2.45679</x:v>
      </x:c>
      <x:c r="AR96" t="n">
        <x:v>1.47</x:v>
      </x:c>
      <x:c r="AS96" t="n">
        <x:v>0.0722</x:v>
      </x:c>
      <x:c r="AT96" t="n">
        <x:v>0.6131</x:v>
      </x:c>
      <x:c r="AU96" t="n">
        <x:v>0.7835</x:v>
      </x:c>
      <x:c r="AV96" t="n">
        <x:v>1</x:v>
      </x:c>
      <x:c r="AW96" t="n">
        <x:v>0.7824578173052946</x:v>
      </x:c>
      <x:c r="AX96" t="n">
        <x:v>0.0052057753006890025</x:v>
      </x:c>
      <x:c r="AY96" t="n">
        <x:v>0.37586268783044524</x:v>
      </x:c>
      <x:c r="AZ96" t="n">
        <x:v>0.61391373159451</x:v>
      </x:c>
    </x:row>
    <x:row r="97">
      <x:c r="A97" t="str">
        <x:v>275Hz-1</x:v>
      </x:c>
      <x:c r="B97" t="n">
        <x:v>275</x:v>
      </x:c>
      <x:c r="C97" t="n">
        <x:v>1</x:v>
      </x:c>
      <x:c r="D97" t="n">
        <x:v>6</x:v>
      </x:c>
      <x:c r="E97" t="n">
        <x:v>1</x:v>
      </x:c>
      <x:c r="F97" t="n">
        <x:v>275</x:v>
      </x:c>
      <x:c r="G97" t="n">
        <x:v>16</x:v>
      </x:c>
      <x:c r="H97" t="n">
        <x:v>345.26488</x:v>
      </x:c>
      <x:c r="I97" t="n">
        <x:v>0.32601</x:v>
      </x:c>
      <x:c r="J97" t="n">
        <x:v>22.34</x:v>
      </x:c>
      <x:c r="K97" t="n">
        <x:v>274.99805</x:v>
      </x:c>
      <x:c r="L97" t="n">
        <x:v>1.99411</x:v>
      </x:c>
      <x:c r="M97" t="n">
        <x:v>33.93</x:v>
      </x:c>
      <x:c r="N97" t="n">
        <x:v>274.99453</x:v>
      </x:c>
      <x:c r="O97" t="n">
        <x:v>1.77694</x:v>
      </x:c>
      <x:c r="P97" t="n">
        <x:v>36.31</x:v>
      </x:c>
      <x:c r="Q97" t="n">
        <x:v>275.01101</x:v>
      </x:c>
      <x:c r="R97" t="n">
        <x:v>0.17322</x:v>
      </x:c>
      <x:c r="S97" t="n">
        <x:v>274.99805</x:v>
      </x:c>
      <x:c r="T97" t="n">
        <x:v>1.99411</x:v>
      </x:c>
      <x:c r="U97" t="n">
        <x:v>274.99453</x:v>
      </x:c>
      <x:c r="V97" t="n">
        <x:v>1.77694</x:v>
      </x:c>
      <x:c r="W97" t="n">
        <x:v>274.99655</x:v>
      </x:c>
      <x:c r="X97" t="n">
        <x:v>-0.00345</x:v>
      </x:c>
      <x:c r="Y97" t="n">
        <x:v>0.17322</x:v>
      </x:c>
      <x:c r="Z97" t="n">
        <x:v>1.99411</x:v>
      </x:c>
      <x:c r="AA97" t="n">
        <x:v>1.77694</x:v>
      </x:c>
      <x:c r="AB97" t="n">
        <x:v>2.67657</x:v>
      </x:c>
      <x:c r="AC97" t="n">
        <x:v>36.49</x:v>
      </x:c>
      <x:c r="AD97" t="str">
        <x:v>Y</x:v>
      </x:c>
      <x:c r="AE97" t="n">
        <x:v>0.17536</x:v>
      </x:c>
      <x:c r="AF97" t="n">
        <x:v>41.01</x:v>
      </x:c>
      <x:c r="AG97" t="n">
        <x:v>0.22</x:v>
      </x:c>
      <x:c r="AH97" t="n">
        <x:v>12.67</x:v>
      </x:c>
      <x:c r="AI97" t="n">
        <x:v>2.00142</x:v>
      </x:c>
      <x:c r="AJ97" t="n">
        <x:v>-13.84</x:v>
      </x:c>
      <x:c r="AK97" t="n">
        <x:v>0.867</x:v>
      </x:c>
      <x:c r="AL97" t="n">
        <x:v>1.61</x:v>
      </x:c>
      <x:c r="AM97" t="n">
        <x:v>1.76287</x:v>
      </x:c>
      <x:c r="AN97" t="n">
        <x:v>9.54</x:v>
      </x:c>
      <x:c r="AO97" t="n">
        <x:v>0.91</x:v>
      </x:c>
      <x:c r="AP97" t="n">
        <x:v>0.79</x:v>
      </x:c>
      <x:c r="AQ97" t="n">
        <x:v>2.67302</x:v>
      </x:c>
      <x:c r="AR97" t="n">
        <x:v>0.91</x:v>
      </x:c>
      <x:c r="AS97" t="n">
        <x:v>0.0656</x:v>
      </x:c>
      <x:c r="AT97" t="n">
        <x:v>0.7487</x:v>
      </x:c>
      <x:c r="AU97" t="n">
        <x:v>0.6595</x:v>
      </x:c>
      <x:c r="AV97" t="n">
        <x:v>1</x:v>
      </x:c>
      <x:c r="AW97" t="n">
        <x:v>1.1353191103144304</x:v>
      </x:c>
      <x:c r="AX97" t="n">
        <x:v>0.004303845346977409</x:v>
      </x:c>
      <x:c r="AY97" t="n">
        <x:v>0.5606244756535457</x:v>
      </x:c>
      <x:c r="AZ97" t="n">
        <x:v>0.43494681783573463</x:v>
      </x:c>
    </x:row>
    <x:row r="98">
      <x:c r="A98" t="str">
        <x:v>275Hz-1</x:v>
      </x:c>
      <x:c r="B98" t="n">
        <x:v>275</x:v>
      </x:c>
      <x:c r="C98" t="n">
        <x:v>1</x:v>
      </x:c>
      <x:c r="D98" t="n">
        <x:v>7</x:v>
      </x:c>
      <x:c r="E98" t="n">
        <x:v>1</x:v>
      </x:c>
      <x:c r="F98" t="n">
        <x:v>275</x:v>
      </x:c>
      <x:c r="G98" t="n">
        <x:v>17</x:v>
      </x:c>
      <x:c r="H98" t="n">
        <x:v>133.98995</x:v>
      </x:c>
      <x:c r="I98" t="n">
        <x:v>0.47277</x:v>
      </x:c>
      <x:c r="J98" t="n">
        <x:v>25.11</x:v>
      </x:c>
      <x:c r="K98" t="n">
        <x:v>274.99624</x:v>
      </x:c>
      <x:c r="L98" t="n">
        <x:v>2.08859</x:v>
      </x:c>
      <x:c r="M98" t="n">
        <x:v>33.46</x:v>
      </x:c>
      <x:c r="N98" t="n">
        <x:v>275.00252</x:v>
      </x:c>
      <x:c r="O98" t="n">
        <x:v>1.86995</x:v>
      </x:c>
      <x:c r="P98" t="n">
        <x:v>36.19</x:v>
      </x:c>
      <x:c r="Q98" t="n">
        <x:v>275.02267</x:v>
      </x:c>
      <x:c r="R98" t="n">
        <x:v>0.18102</x:v>
      </x:c>
      <x:c r="S98" t="n">
        <x:v>274.99624</x:v>
      </x:c>
      <x:c r="T98" t="n">
        <x:v>2.08859</x:v>
      </x:c>
      <x:c r="U98" t="n">
        <x:v>275.00252</x:v>
      </x:c>
      <x:c r="V98" t="n">
        <x:v>1.86995</x:v>
      </x:c>
      <x:c r="W98" t="n">
        <x:v>274.99914</x:v>
      </x:c>
      <x:c r="X98" t="n">
        <x:v>-0.00086</x:v>
      </x:c>
      <x:c r="Y98" t="n">
        <x:v>0.18102</x:v>
      </x:c>
      <x:c r="Z98" t="n">
        <x:v>2.08859</x:v>
      </x:c>
      <x:c r="AA98" t="n">
        <x:v>1.86995</x:v>
      </x:c>
      <x:c r="AB98" t="n">
        <x:v>2.80922</x:v>
      </x:c>
      <x:c r="AC98" t="n">
        <x:v>36.31</x:v>
      </x:c>
      <x:c r="AD98" t="str">
        <x:v>Y</x:v>
      </x:c>
      <x:c r="AE98" t="n">
        <x:v>0.17548</x:v>
      </x:c>
      <x:c r="AF98" t="n">
        <x:v>36.91</x:v>
      </x:c>
      <x:c r="AG98" t="n">
        <x:v>0.193</x:v>
      </x:c>
      <x:c r="AH98" t="n">
        <x:v>6.91</x:v>
      </x:c>
      <x:c r="AI98" t="n">
        <x:v>2.07816</x:v>
      </x:c>
      <x:c r="AJ98" t="n">
        <x:v>-15.42</x:v>
      </x:c>
      <x:c r="AK98" t="n">
        <x:v>0.844</x:v>
      </x:c>
      <x:c r="AL98" t="n">
        <x:v>0.45</x:v>
      </x:c>
      <x:c r="AM98" t="n">
        <x:v>1.87245</x:v>
      </x:c>
      <x:c r="AN98" t="n">
        <x:v>7.55</x:v>
      </x:c>
      <x:c r="AO98" t="n">
        <x:v>0.909</x:v>
      </x:c>
      <x:c r="AP98" t="n">
        <x:v>1.53</x:v>
      </x:c>
      <x:c r="AQ98" t="n">
        <x:v>2.8029</x:v>
      </x:c>
      <x:c r="AR98" t="n">
        <x:v>0.56</x:v>
      </x:c>
      <x:c r="AS98" t="n">
        <x:v>0.0626</x:v>
      </x:c>
      <x:c r="AT98" t="n">
        <x:v>0.7414</x:v>
      </x:c>
      <x:c r="AU98" t="n">
        <x:v>0.668</x:v>
      </x:c>
      <x:c r="AV98" t="n">
        <x:v>1</x:v>
      </x:c>
      <x:c r="AW98" t="n">
        <x:v>1.1098614115196668</x:v>
      </x:c>
      <x:c r="AX98" t="n">
        <x:v>0.003919584615069471</x:v>
      </x:c>
      <x:c r="AY98" t="n">
        <x:v>0.5497215414042642</x:v>
      </x:c>
      <x:c r="AZ98" t="n">
        <x:v>0.4462777676476245</x:v>
      </x:c>
    </x:row>
    <x:row r="99">
      <x:c r="A99" t="str">
        <x:v>275Hz-1</x:v>
      </x:c>
      <x:c r="B99" t="n">
        <x:v>275</x:v>
      </x:c>
      <x:c r="C99" t="n">
        <x:v>1</x:v>
      </x:c>
      <x:c r="D99" t="n">
        <x:v>8</x:v>
      </x:c>
      <x:c r="E99" t="n">
        <x:v>1</x:v>
      </x:c>
      <x:c r="F99" t="n">
        <x:v>275</x:v>
      </x:c>
      <x:c r="G99" t="n">
        <x:v>18</x:v>
      </x:c>
      <x:c r="H99" t="n">
        <x:v>233.81544</x:v>
      </x:c>
      <x:c r="I99" t="n">
        <x:v>0.30588</x:v>
      </x:c>
      <x:c r="J99" t="n">
        <x:v>21.12</x:v>
      </x:c>
      <x:c r="K99" t="n">
        <x:v>275.00463</x:v>
      </x:c>
      <x:c r="L99" t="n">
        <x:v>2.13853</x:v>
      </x:c>
      <x:c r="M99" t="n">
        <x:v>33.97</x:v>
      </x:c>
      <x:c r="N99" t="n">
        <x:v>275.00146</x:v>
      </x:c>
      <x:c r="O99" t="n">
        <x:v>2.01412</x:v>
      </x:c>
      <x:c r="P99" t="n">
        <x:v>36.57</x:v>
      </x:c>
      <x:c r="Q99" t="n">
        <x:v>275.0209</x:v>
      </x:c>
      <x:c r="R99" t="n">
        <x:v>0.18445</x:v>
      </x:c>
      <x:c r="S99" t="n">
        <x:v>275.00463</x:v>
      </x:c>
      <x:c r="T99" t="n">
        <x:v>2.13853</x:v>
      </x:c>
      <x:c r="U99" t="n">
        <x:v>275.00146</x:v>
      </x:c>
      <x:c r="V99" t="n">
        <x:v>2.01412</x:v>
      </x:c>
      <x:c r="W99" t="n">
        <x:v>275.00321</x:v>
      </x:c>
      <x:c r="X99" t="n">
        <x:v>0.00321</x:v>
      </x:c>
      <x:c r="Y99" t="n">
        <x:v>0.18445</x:v>
      </x:c>
      <x:c r="Z99" t="n">
        <x:v>2.13853</x:v>
      </x:c>
      <x:c r="AA99" t="n">
        <x:v>2.01412</x:v>
      </x:c>
      <x:c r="AB99" t="n">
        <x:v>2.94347</x:v>
      </x:c>
      <x:c r="AC99" t="n">
        <x:v>38.1</x:v>
      </x:c>
      <x:c r="AD99" t="str">
        <x:v>Y</x:v>
      </x:c>
      <x:c r="AE99" t="n">
        <x:v>0.18834</x:v>
      </x:c>
      <x:c r="AF99" t="n">
        <x:v>39.95</x:v>
      </x:c>
      <x:c r="AG99" t="n">
        <x:v>0.217</x:v>
      </x:c>
      <x:c r="AH99" t="n">
        <x:v>8.92</x:v>
      </x:c>
      <x:c r="AI99" t="n">
        <x:v>2.13643</x:v>
      </x:c>
      <x:c r="AJ99" t="n">
        <x:v>-14.99</x:v>
      </x:c>
      <x:c r="AK99" t="n">
        <x:v>0.868</x:v>
      </x:c>
      <x:c r="AL99" t="n">
        <x:v>1.29</x:v>
      </x:c>
      <x:c r="AM99" t="n">
        <x:v>2.01127</x:v>
      </x:c>
      <x:c r="AN99" t="n">
        <x:v>9.3</x:v>
      </x:c>
      <x:c r="AO99" t="n">
        <x:v>0.904</x:v>
      </x:c>
      <x:c r="AP99" t="n">
        <x:v>0.73</x:v>
      </x:c>
      <x:c r="AQ99" t="n">
        <x:v>2.94035</x:v>
      </x:c>
      <x:c r="AR99" t="n">
        <x:v>0.71</x:v>
      </x:c>
      <x:c r="AS99" t="n">
        <x:v>0.0641</x:v>
      </x:c>
      <x:c r="AT99" t="n">
        <x:v>0.7266</x:v>
      </x:c>
      <x:c r="AU99" t="n">
        <x:v>0.684</x:v>
      </x:c>
      <x:c r="AV99" t="n">
        <x:v>1</x:v>
      </x:c>
      <x:c r="AW99" t="n">
        <x:v>1.0622293376821608</x:v>
      </x:c>
      <x:c r="AX99" t="n">
        <x:v>0.004102863552710414</x:v>
      </x:c>
      <x:c r="AY99" t="n">
        <x:v>0.5279335685297911</x:v>
      </x:c>
      <x:c r="AZ99" t="n">
        <x:v>0.46788884727843927</x:v>
      </x:c>
    </x:row>
    <x:row r="100">
      <x:c r="A100" t="str">
        <x:v>275Hz-1</x:v>
      </x:c>
      <x:c r="B100" t="n">
        <x:v>275</x:v>
      </x:c>
      <x:c r="C100" t="n">
        <x:v>1</x:v>
      </x:c>
      <x:c r="D100" t="n">
        <x:v>9</x:v>
      </x:c>
      <x:c r="E100" t="n">
        <x:v>1</x:v>
      </x:c>
      <x:c r="F100" t="n">
        <x:v>275</x:v>
      </x:c>
      <x:c r="G100" t="n">
        <x:v>19</x:v>
      </x:c>
      <x:c r="H100" t="n">
        <x:v>134.16854</x:v>
      </x:c>
      <x:c r="I100" t="n">
        <x:v>0.46647</x:v>
      </x:c>
      <x:c r="J100" t="n">
        <x:v>23.98</x:v>
      </x:c>
      <x:c r="K100" t="n">
        <x:v>275.00297</x:v>
      </x:c>
      <x:c r="L100" t="n">
        <x:v>2.1669</x:v>
      </x:c>
      <x:c r="M100" t="n">
        <x:v>33.95</x:v>
      </x:c>
      <x:c r="N100" t="n">
        <x:v>275.00465</x:v>
      </x:c>
      <x:c r="O100" t="n">
        <x:v>2.19873</x:v>
      </x:c>
      <x:c r="P100" t="n">
        <x:v>36.52</x:v>
      </x:c>
      <x:c r="Q100" t="n">
        <x:v>274.98559</x:v>
      </x:c>
      <x:c r="R100" t="n">
        <x:v>0.205</x:v>
      </x:c>
      <x:c r="S100" t="n">
        <x:v>275.00297</x:v>
      </x:c>
      <x:c r="T100" t="n">
        <x:v>2.1669</x:v>
      </x:c>
      <x:c r="U100" t="n">
        <x:v>275.00465</x:v>
      </x:c>
      <x:c r="V100" t="n">
        <x:v>2.19873</x:v>
      </x:c>
      <x:c r="W100" t="n">
        <x:v>275.00374</x:v>
      </x:c>
      <x:c r="X100" t="n">
        <x:v>0.00374</x:v>
      </x:c>
      <x:c r="Y100" t="n">
        <x:v>0.205</x:v>
      </x:c>
      <x:c r="Z100" t="n">
        <x:v>2.1669</x:v>
      </x:c>
      <x:c r="AA100" t="n">
        <x:v>2.19873</x:v>
      </x:c>
      <x:c r="AB100" t="n">
        <x:v>3.09385</x:v>
      </x:c>
      <x:c r="AC100" t="n">
        <x:v>37.28</x:v>
      </x:c>
      <x:c r="AD100" t="str">
        <x:v>Z</x:v>
      </x:c>
      <x:c r="AE100" t="n">
        <x:v>0.21227</x:v>
      </x:c>
      <x:c r="AF100" t="n">
        <x:v>33.72</x:v>
      </x:c>
      <x:c r="AG100" t="n">
        <x:v>0.218</x:v>
      </x:c>
      <x:c r="AH100" t="n">
        <x:v>12.73</x:v>
      </x:c>
      <x:c r="AI100" t="n">
        <x:v>2.16844</x:v>
      </x:c>
      <x:c r="AJ100" t="n">
        <x:v>-16.41</x:v>
      </x:c>
      <x:c r="AK100" t="n">
        <x:v>0.868</x:v>
      </x:c>
      <x:c r="AL100" t="n">
        <x:v>0.36</x:v>
      </x:c>
      <x:c r="AM100" t="n">
        <x:v>2.21489</x:v>
      </x:c>
      <x:c r="AN100" t="n">
        <x:v>8.22</x:v>
      </x:c>
      <x:c r="AO100" t="n">
        <x:v>0.899</x:v>
      </x:c>
      <x:c r="AP100" t="n">
        <x:v>0.6</x:v>
      </x:c>
      <x:c r="AQ100" t="n">
        <x:v>3.10703</x:v>
      </x:c>
      <x:c r="AR100" t="n">
        <x:v>0.35</x:v>
      </x:c>
      <x:c r="AS100" t="n">
        <x:v>0.0683</x:v>
      </x:c>
      <x:c r="AT100" t="n">
        <x:v>0.6979</x:v>
      </x:c>
      <x:c r="AU100" t="n">
        <x:v>0.7129</x:v>
      </x:c>
      <x:c r="AV100" t="n">
        <x:v>1</x:v>
      </x:c>
      <x:c r="AW100" t="n">
        <x:v>0.9790283038886807</x:v>
      </x:c>
      <x:c r="AX100" t="n">
        <x:v>0.004667521709225603</x:v>
      </x:c>
      <x:c r="AY100" t="n">
        <x:v>0.48708407025812706</x:v>
      </x:c>
      <x:c r="AZ100" t="n">
        <x:v>0.5081751587054074</x:v>
      </x:c>
    </x:row>
    <x:row r="101">
      <x:c r="A101" t="str">
        <x:v>275Hz-1</x:v>
      </x:c>
      <x:c r="B101" t="n">
        <x:v>275</x:v>
      </x:c>
      <x:c r="C101" t="n">
        <x:v>1</x:v>
      </x:c>
      <x:c r="D101" t="n">
        <x:v>10</x:v>
      </x:c>
      <x:c r="E101" t="n">
        <x:v>1</x:v>
      </x:c>
      <x:c r="F101" t="n">
        <x:v>275</x:v>
      </x:c>
      <x:c r="G101" t="n">
        <x:v>20</x:v>
      </x:c>
      <x:c r="H101" t="n">
        <x:v>134.0999</x:v>
      </x:c>
      <x:c r="I101" t="n">
        <x:v>0.48767</x:v>
      </x:c>
      <x:c r="J101" t="n">
        <x:v>24.09</x:v>
      </x:c>
      <x:c r="K101" t="n">
        <x:v>274.99399</x:v>
      </x:c>
      <x:c r="L101" t="n">
        <x:v>2.19543</x:v>
      </x:c>
      <x:c r="M101" t="n">
        <x:v>34.05</x:v>
      </x:c>
      <x:c r="N101" t="n">
        <x:v>275.00024</x:v>
      </x:c>
      <x:c r="O101" t="n">
        <x:v>2.40824</x:v>
      </x:c>
      <x:c r="P101" t="n">
        <x:v>36.38</x:v>
      </x:c>
      <x:c r="Q101" t="n">
        <x:v>274.99523</x:v>
      </x:c>
      <x:c r="R101" t="n">
        <x:v>0.22219</x:v>
      </x:c>
      <x:c r="S101" t="n">
        <x:v>274.99399</x:v>
      </x:c>
      <x:c r="T101" t="n">
        <x:v>2.19543</x:v>
      </x:c>
      <x:c r="U101" t="n">
        <x:v>275.00024</x:v>
      </x:c>
      <x:c r="V101" t="n">
        <x:v>2.40824</x:v>
      </x:c>
      <x:c r="W101" t="n">
        <x:v>274.9974</x:v>
      </x:c>
      <x:c r="X101" t="n">
        <x:v>-0.0026</x:v>
      </x:c>
      <x:c r="Y101" t="n">
        <x:v>0.22219</x:v>
      </x:c>
      <x:c r="Z101" t="n">
        <x:v>2.19543</x:v>
      </x:c>
      <x:c r="AA101" t="n">
        <x:v>2.40824</x:v>
      </x:c>
      <x:c r="AB101" t="n">
        <x:v>3.26633</x:v>
      </x:c>
      <x:c r="AC101" t="n">
        <x:v>32.62</x:v>
      </x:c>
      <x:c r="AD101" t="str">
        <x:v>Z</x:v>
      </x:c>
      <x:c r="AE101" t="n">
        <x:v>0.22619</x:v>
      </x:c>
      <x:c r="AF101" t="n">
        <x:v>34.09</x:v>
      </x:c>
      <x:c r="AG101" t="n">
        <x:v>0.216</x:v>
      </x:c>
      <x:c r="AH101" t="n">
        <x:v>14.79</x:v>
      </x:c>
      <x:c r="AI101" t="n">
        <x:v>2.21536</x:v>
      </x:c>
      <x:c r="AJ101" t="n">
        <x:v>-16.38</x:v>
      </x:c>
      <x:c r="AK101" t="n">
        <x:v>0.871</x:v>
      </x:c>
      <x:c r="AL101" t="n">
        <x:v>1.15</x:v>
      </x:c>
      <x:c r="AM101" t="n">
        <x:v>2.38177</x:v>
      </x:c>
      <x:c r="AN101" t="n">
        <x:v>8.85</x:v>
      </x:c>
      <x:c r="AO101" t="n">
        <x:v>0.895</x:v>
      </x:c>
      <x:c r="AP101" t="n">
        <x:v>0.32</x:v>
      </x:c>
      <x:c r="AQ101" t="n">
        <x:v>3.26083</x:v>
      </x:c>
      <x:c r="AR101" t="n">
        <x:v>0.57</x:v>
      </x:c>
      <x:c r="AS101" t="n">
        <x:v>0.0694</x:v>
      </x:c>
      <x:c r="AT101" t="n">
        <x:v>0.6794</x:v>
      </x:c>
      <x:c r="AU101" t="n">
        <x:v>0.7304</x:v>
      </x:c>
      <x:c r="AV101" t="n">
        <x:v>1</x:v>
      </x:c>
      <x:c r="AW101" t="n">
        <x:v>0.9301317927423723</x:v>
      </x:c>
      <x:c r="AX101" t="n">
        <x:v>0.004811610737383318</x:v>
      </x:c>
      <x:c r="AY101" t="n">
        <x:v>0.46156439927407633</x:v>
      </x:c>
      <x:c r="AZ101" t="n">
        <x:v>0.5335109354497758</x:v>
      </x:c>
    </x:row>
    <x:row r="102">
      <x:c r="A102" t="str">
        <x:v>300Hz-1</x:v>
      </x:c>
      <x:c r="B102" t="n">
        <x:v>300</x:v>
      </x:c>
      <x:c r="C102" t="n">
        <x:v>1</x:v>
      </x:c>
      <x:c r="D102" t="n">
        <x:v>1</x:v>
      </x:c>
      <x:c r="E102" t="n">
        <x:v>1</x:v>
      </x:c>
      <x:c r="F102" t="n">
        <x:v>300</x:v>
      </x:c>
      <x:c r="G102" t="n">
        <x:v>11</x:v>
      </x:c>
      <x:c r="H102" t="n">
        <x:v>259.06675</x:v>
      </x:c>
      <x:c r="I102" t="n">
        <x:v>0.30815</x:v>
      </x:c>
      <x:c r="J102" t="n">
        <x:v>23.1</x:v>
      </x:c>
      <x:c r="K102" t="n">
        <x:v>300.00342</x:v>
      </x:c>
      <x:c r="L102" t="n">
        <x:v>2.13519</x:v>
      </x:c>
      <x:c r="M102" t="n">
        <x:v>36.09</x:v>
      </x:c>
      <x:c r="N102" t="n">
        <x:v>299.99826</x:v>
      </x:c>
      <x:c r="O102" t="n">
        <x:v>1.74044</x:v>
      </x:c>
      <x:c r="P102" t="n">
        <x:v>36.27</x:v>
      </x:c>
      <x:c r="Q102" t="n">
        <x:v>300.05048</x:v>
      </x:c>
      <x:c r="R102" t="n">
        <x:v>0.19992</x:v>
      </x:c>
      <x:c r="S102" t="n">
        <x:v>300.00342</x:v>
      </x:c>
      <x:c r="T102" t="n">
        <x:v>2.13519</x:v>
      </x:c>
      <x:c r="U102" t="n">
        <x:v>299.99826</x:v>
      </x:c>
      <x:c r="V102" t="n">
        <x:v>1.74044</x:v>
      </x:c>
      <x:c r="W102" t="n">
        <x:v>300.00162</x:v>
      </x:c>
      <x:c r="X102" t="n">
        <x:v>0.00162</x:v>
      </x:c>
      <x:c r="Y102" t="n">
        <x:v>0.19992</x:v>
      </x:c>
      <x:c r="Z102" t="n">
        <x:v>2.13519</x:v>
      </x:c>
      <x:c r="AA102" t="n">
        <x:v>1.74044</x:v>
      </x:c>
      <x:c r="AB102" t="n">
        <x:v>2.76191</x:v>
      </x:c>
      <x:c r="AC102" t="n">
        <x:v>40.73</x:v>
      </x:c>
      <x:c r="AD102" t="str">
        <x:v>Y</x:v>
      </x:c>
      <x:c r="AE102" t="n">
        <x:v>0.18459</x:v>
      </x:c>
      <x:c r="AF102" t="n">
        <x:v>42.4</x:v>
      </x:c>
      <x:c r="AG102" t="n">
        <x:v>0.231</x:v>
      </x:c>
      <x:c r="AH102" t="n">
        <x:v>20.32</x:v>
      </x:c>
      <x:c r="AI102" t="n">
        <x:v>2.16668</x:v>
      </x:c>
      <x:c r="AJ102" t="n">
        <x:v>-50.91</x:v>
      </x:c>
      <x:c r="AK102" t="n">
        <x:v>0.884</x:v>
      </x:c>
      <x:c r="AL102" t="n">
        <x:v>0.97</x:v>
      </x:c>
      <x:c r="AM102" t="n">
        <x:v>1.70814</x:v>
      </x:c>
      <x:c r="AN102" t="n">
        <x:v>-6.97</x:v>
      </x:c>
      <x:c r="AO102" t="n">
        <x:v>0.897</x:v>
      </x:c>
      <x:c r="AP102" t="n">
        <x:v>1.52</x:v>
      </x:c>
      <x:c r="AQ102" t="n">
        <x:v>2.76548</x:v>
      </x:c>
      <x:c r="AR102" t="n">
        <x:v>0.84</x:v>
      </x:c>
      <x:c r="AS102" t="n">
        <x:v>0.0667</x:v>
      </x:c>
      <x:c r="AT102" t="n">
        <x:v>0.7835</x:v>
      </x:c>
      <x:c r="AU102" t="n">
        <x:v>0.6177</x:v>
      </x:c>
      <x:c r="AV102" t="n">
        <x:v>1</x:v>
      </x:c>
      <x:c r="AW102" t="n">
        <x:v>1.2684440385448499</x:v>
      </x:c>
      <x:c r="AX102" t="n">
        <x:v>0.004455282999559694</x:v>
      </x:c>
      <x:c r="AY102" t="n">
        <x:v>0.6138305581771384</x:v>
      </x:c>
      <x:c r="AZ102" t="n">
        <x:v>0.38150996100959755</x:v>
      </x:c>
    </x:row>
    <x:row r="103">
      <x:c r="A103" t="str">
        <x:v>300Hz-1</x:v>
      </x:c>
      <x:c r="B103" t="n">
        <x:v>300</x:v>
      </x:c>
      <x:c r="C103" t="n">
        <x:v>1</x:v>
      </x:c>
      <x:c r="D103" t="n">
        <x:v>2</x:v>
      </x:c>
      <x:c r="E103" t="n">
        <x:v>1</x:v>
      </x:c>
      <x:c r="F103" t="n">
        <x:v>300</x:v>
      </x:c>
      <x:c r="G103" t="n">
        <x:v>12</x:v>
      </x:c>
      <x:c r="H103" t="n">
        <x:v>459.26313</x:v>
      </x:c>
      <x:c r="I103" t="n">
        <x:v>0.42325</x:v>
      </x:c>
      <x:c r="J103" t="n">
        <x:v>25.22</x:v>
      </x:c>
      <x:c r="K103" t="n">
        <x:v>299.99684</x:v>
      </x:c>
      <x:c r="L103" t="n">
        <x:v>2.2278</x:v>
      </x:c>
      <x:c r="M103" t="n">
        <x:v>36.04</x:v>
      </x:c>
      <x:c r="N103" t="n">
        <x:v>300.00597</x:v>
      </x:c>
      <x:c r="O103" t="n">
        <x:v>2.01868</x:v>
      </x:c>
      <x:c r="P103" t="n">
        <x:v>36.89</x:v>
      </x:c>
      <x:c r="Q103" t="n">
        <x:v>299.96484</x:v>
      </x:c>
      <x:c r="R103" t="n">
        <x:v>0.24087</x:v>
      </x:c>
      <x:c r="S103" t="n">
        <x:v>299.99684</x:v>
      </x:c>
      <x:c r="T103" t="n">
        <x:v>2.2278</x:v>
      </x:c>
      <x:c r="U103" t="n">
        <x:v>300.00597</x:v>
      </x:c>
      <x:c r="V103" t="n">
        <x:v>2.01868</x:v>
      </x:c>
      <x:c r="W103" t="n">
        <x:v>300.00073</x:v>
      </x:c>
      <x:c r="X103" t="n">
        <x:v>0.00073</x:v>
      </x:c>
      <x:c r="Y103" t="n">
        <x:v>0.24087</x:v>
      </x:c>
      <x:c r="Z103" t="n">
        <x:v>2.2278</x:v>
      </x:c>
      <x:c r="AA103" t="n">
        <x:v>2.01868</x:v>
      </x:c>
      <x:c r="AB103" t="n">
        <x:v>3.01599</x:v>
      </x:c>
      <x:c r="AC103" t="n">
        <x:v>39.88</x:v>
      </x:c>
      <x:c r="AD103" t="str">
        <x:v>Y</x:v>
      </x:c>
      <x:c r="AE103" t="n">
        <x:v>0.2044</x:v>
      </x:c>
      <x:c r="AF103" t="n">
        <x:v>34.91</x:v>
      </x:c>
      <x:c r="AG103" t="n">
        <x:v>0.226</x:v>
      </x:c>
      <x:c r="AH103" t="n">
        <x:v>15.94</x:v>
      </x:c>
      <x:c r="AI103" t="n">
        <x:v>2.25963</x:v>
      </x:c>
      <x:c r="AJ103" t="n">
        <x:v>-51.71</x:v>
      </x:c>
      <x:c r="AK103" t="n">
        <x:v>0.887</x:v>
      </x:c>
      <x:c r="AL103" t="n">
        <x:v>1.62</x:v>
      </x:c>
      <x:c r="AM103" t="n">
        <x:v>1.98811</x:v>
      </x:c>
      <x:c r="AN103" t="n">
        <x:v>-5.13</x:v>
      </x:c>
      <x:c r="AO103" t="n">
        <x:v>0.906</x:v>
      </x:c>
      <x:c r="AP103" t="n">
        <x:v>1.76</x:v>
      </x:c>
      <x:c r="AQ103" t="n">
        <x:v>3.01707</x:v>
      </x:c>
      <x:c r="AR103" t="n">
        <x:v>0.8</x:v>
      </x:c>
      <x:c r="AS103" t="n">
        <x:v>0.0677</x:v>
      </x:c>
      <x:c r="AT103" t="n">
        <x:v>0.7489</x:v>
      </x:c>
      <x:c r="AU103" t="n">
        <x:v>0.659</x:v>
      </x:c>
      <x:c r="AV103" t="n">
        <x:v>1</x:v>
      </x:c>
      <x:c r="AW103" t="n">
        <x:v>1.1365719200647852</x:v>
      </x:c>
      <x:c r="AX103" t="n">
        <x:v>0.004589770919168716</x:v>
      </x:c>
      <x:c r="AY103" t="n">
        <x:v>0.5609238303842029</x:v>
      </x:c>
      <x:c r="AZ103" t="n">
        <x:v>0.43422022351018685</x:v>
      </x:c>
    </x:row>
    <x:row r="104">
      <x:c r="A104" t="str">
        <x:v>300Hz-1</x:v>
      </x:c>
      <x:c r="B104" t="n">
        <x:v>300</x:v>
      </x:c>
      <x:c r="C104" t="n">
        <x:v>1</x:v>
      </x:c>
      <x:c r="D104" t="n">
        <x:v>3</x:v>
      </x:c>
      <x:c r="E104" t="n">
        <x:v>1</x:v>
      </x:c>
      <x:c r="F104" t="n">
        <x:v>300</x:v>
      </x:c>
      <x:c r="G104" t="n">
        <x:v>13</x:v>
      </x:c>
      <x:c r="H104" t="n">
        <x:v>300.00332</x:v>
      </x:c>
      <x:c r="I104" t="n">
        <x:v>0.26247</x:v>
      </x:c>
      <x:c r="J104" t="n">
        <x:v>22.49</x:v>
      </x:c>
      <x:c r="K104" t="n">
        <x:v>299.99696</x:v>
      </x:c>
      <x:c r="L104" t="n">
        <x:v>2.28064</x:v>
      </x:c>
      <x:c r="M104" t="n">
        <x:v>37.09</x:v>
      </x:c>
      <x:c r="N104" t="n">
        <x:v>299.99806</x:v>
      </x:c>
      <x:c r="O104" t="n">
        <x:v>2.29556</x:v>
      </x:c>
      <x:c r="P104" t="n">
        <x:v>37.3</x:v>
      </x:c>
      <x:c r="Q104" t="n">
        <x:v>300.00332</x:v>
      </x:c>
      <x:c r="R104" t="n">
        <x:v>0.26247</x:v>
      </x:c>
      <x:c r="S104" t="n">
        <x:v>299.99696</x:v>
      </x:c>
      <x:c r="T104" t="n">
        <x:v>2.28064</x:v>
      </x:c>
      <x:c r="U104" t="n">
        <x:v>299.99806</x:v>
      </x:c>
      <x:c r="V104" t="n">
        <x:v>2.29556</x:v>
      </x:c>
      <x:c r="W104" t="n">
        <x:v>299.99755</x:v>
      </x:c>
      <x:c r="X104" t="n">
        <x:v>-0.00245</x:v>
      </x:c>
      <x:c r="Y104" t="n">
        <x:v>0.26247</x:v>
      </x:c>
      <x:c r="Z104" t="n">
        <x:v>2.28064</x:v>
      </x:c>
      <x:c r="AA104" t="n">
        <x:v>2.29556</x:v>
      </x:c>
      <x:c r="AB104" t="n">
        <x:v>3.24651</x:v>
      </x:c>
      <x:c r="AC104" t="n">
        <x:v>44.16</x:v>
      </x:c>
      <x:c r="AD104" t="str">
        <x:v>Z</x:v>
      </x:c>
      <x:c r="AE104" t="n">
        <x:v>0.24037</x:v>
      </x:c>
      <x:c r="AF104" t="n">
        <x:v>33</x:v>
      </x:c>
      <x:c r="AG104" t="n">
        <x:v>0.336</x:v>
      </x:c>
      <x:c r="AH104" t="n">
        <x:v>5.39</x:v>
      </x:c>
      <x:c r="AI104" t="n">
        <x:v>2.27365</x:v>
      </x:c>
      <x:c r="AJ104" t="n">
        <x:v>-53.21</x:v>
      </x:c>
      <x:c r="AK104" t="n">
        <x:v>0.903</x:v>
      </x:c>
      <x:c r="AL104" t="n">
        <x:v>0.38</x:v>
      </x:c>
      <x:c r="AM104" t="n">
        <x:v>2.28648</x:v>
      </x:c>
      <x:c r="AN104" t="n">
        <x:v>-5.63</x:v>
      </x:c>
      <x:c r="AO104" t="n">
        <x:v>0.906</x:v>
      </x:c>
      <x:c r="AP104" t="n">
        <x:v>0.5</x:v>
      </x:c>
      <x:c r="AQ104" t="n">
        <x:v>3.2335</x:v>
      </x:c>
      <x:c r="AR104" t="n">
        <x:v>0.2</x:v>
      </x:c>
      <x:c r="AS104" t="n">
        <x:v>0.0743</x:v>
      </x:c>
      <x:c r="AT104" t="n">
        <x:v>0.7032</x:v>
      </x:c>
      <x:c r="AU104" t="n">
        <x:v>0.7071</x:v>
      </x:c>
      <x:c r="AV104" t="n">
        <x:v>1</x:v>
      </x:c>
      <x:c r="AW104" t="n">
        <x:v>0.9943887547671529</x:v>
      </x:c>
      <x:c r="AX104" t="n">
        <x:v>0.005526049825009937</x:v>
      </x:c>
      <x:c r="AY104" t="n">
        <x:v>0.49442621792517344</x:v>
      </x:c>
      <x:c r="AZ104" t="n">
        <x:v>0.5000219659424474</x:v>
      </x:c>
    </x:row>
    <x:row r="105">
      <x:c r="A105" t="str">
        <x:v>300Hz-1</x:v>
      </x:c>
      <x:c r="B105" t="n">
        <x:v>300</x:v>
      </x:c>
      <x:c r="C105" t="n">
        <x:v>1</x:v>
      </x:c>
      <x:c r="D105" t="n">
        <x:v>4</x:v>
      </x:c>
      <x:c r="E105" t="n">
        <x:v>1</x:v>
      </x:c>
      <x:c r="F105" t="n">
        <x:v>300</x:v>
      </x:c>
      <x:c r="G105" t="n">
        <x:v>14</x:v>
      </x:c>
      <x:c r="H105" t="n">
        <x:v>259.06522</x:v>
      </x:c>
      <x:c r="I105" t="n">
        <x:v>0.3991</x:v>
      </x:c>
      <x:c r="J105" t="n">
        <x:v>24.59</x:v>
      </x:c>
      <x:c r="K105" t="n">
        <x:v>299.99733</x:v>
      </x:c>
      <x:c r="L105" t="n">
        <x:v>2.2877</x:v>
      </x:c>
      <x:c r="M105" t="n">
        <x:v>36.3</x:v>
      </x:c>
      <x:c r="N105" t="n">
        <x:v>300.00076</x:v>
      </x:c>
      <x:c r="O105" t="n">
        <x:v>2.60083</x:v>
      </x:c>
      <x:c r="P105" t="n">
        <x:v>37.46</x:v>
      </x:c>
      <x:c r="Q105" t="n">
        <x:v>299.97412</x:v>
      </x:c>
      <x:c r="R105" t="n">
        <x:v>0.258</x:v>
      </x:c>
      <x:c r="S105" t="n">
        <x:v>299.99733</x:v>
      </x:c>
      <x:c r="T105" t="n">
        <x:v>2.2877</x:v>
      </x:c>
      <x:c r="U105" t="n">
        <x:v>300.00076</x:v>
      </x:c>
      <x:c r="V105" t="n">
        <x:v>2.60083</x:v>
      </x:c>
      <x:c r="W105" t="n">
        <x:v>299.99913</x:v>
      </x:c>
      <x:c r="X105" t="n">
        <x:v>-0.00087</x:v>
      </x:c>
      <x:c r="Y105" t="n">
        <x:v>0.258</x:v>
      </x:c>
      <x:c r="Z105" t="n">
        <x:v>2.2877</x:v>
      </x:c>
      <x:c r="AA105" t="n">
        <x:v>2.60083</x:v>
      </x:c>
      <x:c r="AB105" t="n">
        <x:v>3.47339</x:v>
      </x:c>
      <x:c r="AC105" t="n">
        <x:v>43.2</x:v>
      </x:c>
      <x:c r="AD105" t="str">
        <x:v>Z</x:v>
      </x:c>
      <x:c r="AE105" t="n">
        <x:v>0.27389</x:v>
      </x:c>
      <x:c r="AF105" t="n">
        <x:v>37.01</x:v>
      </x:c>
      <x:c r="AG105" t="n">
        <x:v>0.299</x:v>
      </x:c>
      <x:c r="AH105" t="n">
        <x:v>14.57</x:v>
      </x:c>
      <x:c r="AI105" t="n">
        <x:v>2.27759</x:v>
      </x:c>
      <x:c r="AJ105" t="n">
        <x:v>-53.23</x:v>
      </x:c>
      <x:c r="AK105" t="n">
        <x:v>0.883</x:v>
      </x:c>
      <x:c r="AL105" t="n">
        <x:v>0.68</x:v>
      </x:c>
      <x:c r="AM105" t="n">
        <x:v>2.5907</x:v>
      </x:c>
      <x:c r="AN105" t="n">
        <x:v>-3.6</x:v>
      </x:c>
      <x:c r="AO105" t="n">
        <x:v>0.912</x:v>
      </x:c>
      <x:c r="AP105" t="n">
        <x:v>0.86</x:v>
      </x:c>
      <x:c r="AQ105" t="n">
        <x:v>3.46063</x:v>
      </x:c>
      <x:c r="AR105" t="n">
        <x:v>0.29</x:v>
      </x:c>
      <x:c r="AS105" t="n">
        <x:v>0.0791</x:v>
      </x:c>
      <x:c r="AT105" t="n">
        <x:v>0.6581</x:v>
      </x:c>
      <x:c r="AU105" t="n">
        <x:v>0.7486</x:v>
      </x:c>
      <x:c r="AV105" t="n">
        <x:v>1</x:v>
      </x:c>
      <x:c r="AW105" t="n">
        <x:v>0.8791407727641178</x:v>
      </x:c>
      <x:c r="AX105" t="n">
        <x:v>0.006263859608700928</x:v>
      </x:c>
      <x:c r="AY105" t="n">
        <x:v>0.43315243282732846</x:v>
      </x:c>
      <x:c r="AZ105" t="n">
        <x:v>0.5604332756403113</x:v>
      </x:c>
    </x:row>
    <x:row r="106">
      <x:c r="A106" t="str">
        <x:v>300Hz-1</x:v>
      </x:c>
      <x:c r="B106" t="n">
        <x:v>300</x:v>
      </x:c>
      <x:c r="C106" t="n">
        <x:v>1</x:v>
      </x:c>
      <x:c r="D106" t="n">
        <x:v>5</x:v>
      </x:c>
      <x:c r="E106" t="n">
        <x:v>1</x:v>
      </x:c>
      <x:c r="F106" t="n">
        <x:v>300</x:v>
      </x:c>
      <x:c r="G106" t="n">
        <x:v>15</x:v>
      </x:c>
      <x:c r="H106" t="n">
        <x:v>258.99692</x:v>
      </x:c>
      <x:c r="I106" t="n">
        <x:v>0.39266</x:v>
      </x:c>
      <x:c r="J106" t="n">
        <x:v>24.73</x:v>
      </x:c>
      <x:c r="K106" t="n">
        <x:v>300.0031</x:v>
      </x:c>
      <x:c r="L106" t="n">
        <x:v>2.35509</x:v>
      </x:c>
      <x:c r="M106" t="n">
        <x:v>35.95</x:v>
      </x:c>
      <x:c r="N106" t="n">
        <x:v>299.99765</x:v>
      </x:c>
      <x:c r="O106" t="n">
        <x:v>2.91587</x:v>
      </x:c>
      <x:c r="P106" t="n">
        <x:v>37.85</x:v>
      </x:c>
      <x:c r="Q106" t="n">
        <x:v>300.00021</x:v>
      </x:c>
      <x:c r="R106" t="n">
        <x:v>0.28258</x:v>
      </x:c>
      <x:c r="S106" t="n">
        <x:v>300.0031</x:v>
      </x:c>
      <x:c r="T106" t="n">
        <x:v>2.35509</x:v>
      </x:c>
      <x:c r="U106" t="n">
        <x:v>299.99765</x:v>
      </x:c>
      <x:c r="V106" t="n">
        <x:v>2.91587</x:v>
      </x:c>
      <x:c r="W106" t="n">
        <x:v>299.9998</x:v>
      </x:c>
      <x:c r="X106" t="n">
        <x:v>-0.0002</x:v>
      </x:c>
      <x:c r="Y106" t="n">
        <x:v>0.28258</x:v>
      </x:c>
      <x:c r="Z106" t="n">
        <x:v>2.35509</x:v>
      </x:c>
      <x:c r="AA106" t="n">
        <x:v>2.91587</x:v>
      </x:c>
      <x:c r="AB106" t="n">
        <x:v>3.7588</x:v>
      </x:c>
      <x:c r="AC106" t="n">
        <x:v>43.33</x:v>
      </x:c>
      <x:c r="AD106" t="str">
        <x:v>Z</x:v>
      </x:c>
      <x:c r="AE106" t="n">
        <x:v>0.29125</x:v>
      </x:c>
      <x:c r="AF106" t="n">
        <x:v>28.55</x:v>
      </x:c>
      <x:c r="AG106" t="n">
        <x:v>0.3</x:v>
      </x:c>
      <x:c r="AH106" t="n">
        <x:v>16</x:v>
      </x:c>
      <x:c r="AI106" t="n">
        <x:v>2.34385</x:v>
      </x:c>
      <x:c r="AJ106" t="n">
        <x:v>-53.41</x:v>
      </x:c>
      <x:c r="AK106" t="n">
        <x:v>0.885</x:v>
      </x:c>
      <x:c r="AL106" t="n">
        <x:v>1.54</x:v>
      </x:c>
      <x:c r="AM106" t="n">
        <x:v>2.93343</x:v>
      </x:c>
      <x:c r="AN106" t="n">
        <x:v>-3.26</x:v>
      </x:c>
      <x:c r="AO106" t="n">
        <x:v>0.907</x:v>
      </x:c>
      <x:c r="AP106" t="n">
        <x:v>0.76</x:v>
      </x:c>
      <x:c r="AQ106" t="n">
        <x:v>3.76649</x:v>
      </x:c>
      <x:c r="AR106" t="n">
        <x:v>0.48</x:v>
      </x:c>
      <x:c r="AS106" t="n">
        <x:v>0.0773</x:v>
      </x:c>
      <x:c r="AT106" t="n">
        <x:v>0.6223</x:v>
      </x:c>
      <x:c r="AU106" t="n">
        <x:v>0.7788</x:v>
      </x:c>
      <x:c r="AV106" t="n">
        <x:v>1</x:v>
      </x:c>
      <x:c r="AW106" t="n">
        <x:v>0.7990134416024928</x:v>
      </x:c>
      <x:c r="AX106" t="n">
        <x:v>0.005979408584669209</x:v>
      </x:c>
      <x:c r="AY106" t="n">
        <x:v>0.3872451540150179</x:v>
      </x:c>
      <x:c r="AZ106" t="n">
        <x:v>0.6065656618154353</x:v>
      </x:c>
    </x:row>
    <x:row r="107">
      <x:c r="A107" t="str">
        <x:v>300Hz-1</x:v>
      </x:c>
      <x:c r="B107" t="n">
        <x:v>300</x:v>
      </x:c>
      <x:c r="C107" t="n">
        <x:v>1</x:v>
      </x:c>
      <x:c r="D107" t="n">
        <x:v>6</x:v>
      </x:c>
      <x:c r="E107" t="n">
        <x:v>1</x:v>
      </x:c>
      <x:c r="F107" t="n">
        <x:v>300</x:v>
      </x:c>
      <x:c r="G107" t="n">
        <x:v>16</x:v>
      </x:c>
      <x:c r="H107" t="n">
        <x:v>459.1242</x:v>
      </x:c>
      <x:c r="I107" t="n">
        <x:v>0.43753</x:v>
      </x:c>
      <x:c r="J107" t="n">
        <x:v>25.57</x:v>
      </x:c>
      <x:c r="K107" t="n">
        <x:v>300.00363</x:v>
      </x:c>
      <x:c r="L107" t="n">
        <x:v>2.39133</x:v>
      </x:c>
      <x:c r="M107" t="n">
        <x:v>36.04</x:v>
      </x:c>
      <x:c r="N107" t="n">
        <x:v>299.99982</x:v>
      </x:c>
      <x:c r="O107" t="n">
        <x:v>3.216</x:v>
      </x:c>
      <x:c r="P107" t="n">
        <x:v>37.96</x:v>
      </x:c>
      <x:c r="Q107" t="n">
        <x:v>299.99036</x:v>
      </x:c>
      <x:c r="R107" t="n">
        <x:v>0.30506</x:v>
      </x:c>
      <x:c r="S107" t="n">
        <x:v>300.00363</x:v>
      </x:c>
      <x:c r="T107" t="n">
        <x:v>2.39133</x:v>
      </x:c>
      <x:c r="U107" t="n">
        <x:v>299.99982</x:v>
      </x:c>
      <x:c r="V107" t="n">
        <x:v>3.216</x:v>
      </x:c>
      <x:c r="W107" t="n">
        <x:v>300.00111</x:v>
      </x:c>
      <x:c r="X107" t="n">
        <x:v>0.00111</x:v>
      </x:c>
      <x:c r="Y107" t="n">
        <x:v>0.30506</x:v>
      </x:c>
      <x:c r="Z107" t="n">
        <x:v>2.39133</x:v>
      </x:c>
      <x:c r="AA107" t="n">
        <x:v>3.216</x:v>
      </x:c>
      <x:c r="AB107" t="n">
        <x:v>4.01923</x:v>
      </x:c>
      <x:c r="AC107" t="n">
        <x:v>43.5</x:v>
      </x:c>
      <x:c r="AD107" t="str">
        <x:v>Z</x:v>
      </x:c>
      <x:c r="AE107" t="n">
        <x:v>0.29964</x:v>
      </x:c>
      <x:c r="AF107" t="n">
        <x:v>30.36</x:v>
      </x:c>
      <x:c r="AG107" t="n">
        <x:v>0.323</x:v>
      </x:c>
      <x:c r="AH107" t="n">
        <x:v>5.37</x:v>
      </x:c>
      <x:c r="AI107" t="n">
        <x:v>2.45281</x:v>
      </x:c>
      <x:c r="AJ107" t="n">
        <x:v>-51.91</x:v>
      </x:c>
      <x:c r="AK107" t="n">
        <x:v>0.888</x:v>
      </x:c>
      <x:c r="AL107" t="n">
        <x:v>0.98</x:v>
      </x:c>
      <x:c r="AM107" t="n">
        <x:v>3.07041</x:v>
      </x:c>
      <x:c r="AN107" t="n">
        <x:v>-3.13</x:v>
      </x:c>
      <x:c r="AO107" t="n">
        <x:v>0.91</x:v>
      </x:c>
      <x:c r="AP107" t="n">
        <x:v>1.23</x:v>
      </x:c>
      <x:c r="AQ107" t="n">
        <x:v>3.94142</x:v>
      </x:c>
      <x:c r="AR107" t="n">
        <x:v>0.59</x:v>
      </x:c>
      <x:c r="AS107" t="n">
        <x:v>0.076</x:v>
      </x:c>
      <x:c r="AT107" t="n">
        <x:v>0.6223</x:v>
      </x:c>
      <x:c r="AU107" t="n">
        <x:v>0.779</x:v>
      </x:c>
      <x:c r="AV107" t="n">
        <x:v>1</x:v>
      </x:c>
      <x:c r="AW107" t="n">
        <x:v>0.7988542246800916</x:v>
      </x:c>
      <x:c r="AX107" t="n">
        <x:v>0.005779551590844345</x:v>
      </x:c>
      <x:c r="AY107" t="n">
        <x:v>0.3872776053042544</x:v>
      </x:c>
      <x:c r="AZ107" t="n">
        <x:v>0.6068583216879152</x:v>
      </x:c>
    </x:row>
    <x:row r="108">
      <x:c r="A108" t="str">
        <x:v>300Hz-1</x:v>
      </x:c>
      <x:c r="B108" t="n">
        <x:v>300</x:v>
      </x:c>
      <x:c r="C108" t="n">
        <x:v>1</x:v>
      </x:c>
      <x:c r="D108" t="n">
        <x:v>7</x:v>
      </x:c>
      <x:c r="E108" t="n">
        <x:v>1</x:v>
      </x:c>
      <x:c r="F108" t="n">
        <x:v>300</x:v>
      </x:c>
      <x:c r="G108" t="n">
        <x:v>17</x:v>
      </x:c>
      <x:c r="H108" t="n">
        <x:v>458.81322</x:v>
      </x:c>
      <x:c r="I108" t="n">
        <x:v>0.35066</x:v>
      </x:c>
      <x:c r="J108" t="n">
        <x:v>23.49</x:v>
      </x:c>
      <x:c r="K108" t="n">
        <x:v>300.00137</x:v>
      </x:c>
      <x:c r="L108" t="n">
        <x:v>2.52395</x:v>
      </x:c>
      <x:c r="M108" t="n">
        <x:v>36.2</x:v>
      </x:c>
      <x:c r="N108" t="n">
        <x:v>299.99725</x:v>
      </x:c>
      <x:c r="O108" t="n">
        <x:v>2.79524</x:v>
      </x:c>
      <x:c r="P108" t="n">
        <x:v>37.45</x:v>
      </x:c>
      <x:c r="Q108" t="n">
        <x:v>299.98681</x:v>
      </x:c>
      <x:c r="R108" t="n">
        <x:v>0.28527</x:v>
      </x:c>
      <x:c r="S108" t="n">
        <x:v>300.00137</x:v>
      </x:c>
      <x:c r="T108" t="n">
        <x:v>2.52395</x:v>
      </x:c>
      <x:c r="U108" t="n">
        <x:v>299.99725</x:v>
      </x:c>
      <x:c r="V108" t="n">
        <x:v>2.79524</x:v>
      </x:c>
      <x:c r="W108" t="n">
        <x:v>299.99902</x:v>
      </x:c>
      <x:c r="X108" t="n">
        <x:v>-0.00098</x:v>
      </x:c>
      <x:c r="Y108" t="n">
        <x:v>0.28527</x:v>
      </x:c>
      <x:c r="Z108" t="n">
        <x:v>2.52395</x:v>
      </x:c>
      <x:c r="AA108" t="n">
        <x:v>2.79524</x:v>
      </x:c>
      <x:c r="AB108" t="n">
        <x:v>3.77691</x:v>
      </x:c>
      <x:c r="AC108" t="n">
        <x:v>40.89</x:v>
      </x:c>
      <x:c r="AD108" t="str">
        <x:v>Z</x:v>
      </x:c>
      <x:c r="AE108" t="n">
        <x:v>0.28918</x:v>
      </x:c>
      <x:c r="AF108" t="n">
        <x:v>34.37</x:v>
      </x:c>
      <x:c r="AG108" t="n">
        <x:v>0.33</x:v>
      </x:c>
      <x:c r="AH108" t="n">
        <x:v>8.96</x:v>
      </x:c>
      <x:c r="AI108" t="n">
        <x:v>2.52293</x:v>
      </x:c>
      <x:c r="AJ108" t="n">
        <x:v>-53.03</x:v>
      </x:c>
      <x:c r="AK108" t="n">
        <x:v>0.885</x:v>
      </x:c>
      <x:c r="AL108" t="n">
        <x:v>0.67</x:v>
      </x:c>
      <x:c r="AM108" t="n">
        <x:v>3.08798</x:v>
      </x:c>
      <x:c r="AN108" t="n">
        <x:v>-3.56</x:v>
      </x:c>
      <x:c r="AO108" t="n">
        <x:v>0.913</x:v>
      </x:c>
      <x:c r="AP108" t="n">
        <x:v>6.02</x:v>
      </x:c>
      <x:c r="AQ108" t="n">
        <x:v>3.99926</x:v>
      </x:c>
      <x:c r="AR108" t="n">
        <x:v>3.83</x:v>
      </x:c>
      <x:c r="AS108" t="n">
        <x:v>0.0723</x:v>
      </x:c>
      <x:c r="AT108" t="n">
        <x:v>0.6309</x:v>
      </x:c>
      <x:c r="AU108" t="n">
        <x:v>0.7721</x:v>
      </x:c>
      <x:c r="AV108" t="n">
        <x:v>1</x:v>
      </x:c>
      <x:c r="AW108" t="n">
        <x:v>0.8170163019190539</x:v>
      </x:c>
      <x:c r="AX108" t="n">
        <x:v>0.005228501391569421</x:v>
      </x:c>
      <x:c r="AY108" t="n">
        <x:v>0.39797072210288015</x:v>
      </x:c>
      <x:c r="AZ108" t="n">
        <x:v>0.5961968524555713</x:v>
      </x:c>
    </x:row>
    <x:row r="109">
      <x:c r="A109" t="str">
        <x:v>300Hz-1</x:v>
      </x:c>
      <x:c r="B109" t="n">
        <x:v>300</x:v>
      </x:c>
      <x:c r="C109" t="n">
        <x:v>1</x:v>
      </x:c>
      <x:c r="D109" t="n">
        <x:v>8</x:v>
      </x:c>
      <x:c r="E109" t="n">
        <x:v>1</x:v>
      </x:c>
      <x:c r="F109" t="n">
        <x:v>300</x:v>
      </x:c>
      <x:c r="G109" t="n">
        <x:v>18</x:v>
      </x:c>
      <x:c r="H109" t="n">
        <x:v>459.07505</x:v>
      </x:c>
      <x:c r="I109" t="n">
        <x:v>0.36892</x:v>
      </x:c>
      <x:c r="J109" t="n">
        <x:v>24.12</x:v>
      </x:c>
      <x:c r="K109" t="n">
        <x:v>300.00047</x:v>
      </x:c>
      <x:c r="L109" t="n">
        <x:v>2.51533</x:v>
      </x:c>
      <x:c r="M109" t="n">
        <x:v>36.07</x:v>
      </x:c>
      <x:c r="N109" t="n">
        <x:v>299.99945</x:v>
      </x:c>
      <x:c r="O109" t="n">
        <x:v>3.67411</x:v>
      </x:c>
      <x:c r="P109" t="n">
        <x:v>38.15</x:v>
      </x:c>
      <x:c r="Q109" t="n">
        <x:v>300.01412</x:v>
      </x:c>
      <x:c r="R109" t="n">
        <x:v>0.35627</x:v>
      </x:c>
      <x:c r="S109" t="n">
        <x:v>300.00047</x:v>
      </x:c>
      <x:c r="T109" t="n">
        <x:v>2.51533</x:v>
      </x:c>
      <x:c r="U109" t="n">
        <x:v>299.99945</x:v>
      </x:c>
      <x:c r="V109" t="n">
        <x:v>3.67411</x:v>
      </x:c>
      <x:c r="W109" t="n">
        <x:v>299.99987</x:v>
      </x:c>
      <x:c r="X109" t="n">
        <x:v>-0.00013</x:v>
      </x:c>
      <x:c r="Y109" t="n">
        <x:v>0.35627</x:v>
      </x:c>
      <x:c r="Z109" t="n">
        <x:v>2.51533</x:v>
      </x:c>
      <x:c r="AA109" t="n">
        <x:v>3.67411</x:v>
      </x:c>
      <x:c r="AB109" t="n">
        <x:v>4.46687</x:v>
      </x:c>
      <x:c r="AC109" t="n">
        <x:v>43.3</x:v>
      </x:c>
      <x:c r="AD109" t="str">
        <x:v>Z</x:v>
      </x:c>
      <x:c r="AE109" t="n">
        <x:v>0.35492</x:v>
      </x:c>
      <x:c r="AF109" t="n">
        <x:v>26.65</x:v>
      </x:c>
      <x:c r="AG109" t="n">
        <x:v>0.404</x:v>
      </x:c>
      <x:c r="AH109" t="n">
        <x:v>7.32</x:v>
      </x:c>
      <x:c r="AI109" t="n">
        <x:v>2.56859</x:v>
      </x:c>
      <x:c r="AJ109" t="n">
        <x:v>-54.14</x:v>
      </x:c>
      <x:c r="AK109" t="n">
        <x:v>0.888</x:v>
      </x:c>
      <x:c r="AL109" t="n">
        <x:v>1.5</x:v>
      </x:c>
      <x:c r="AM109" t="n">
        <x:v>3.61736</x:v>
      </x:c>
      <x:c r="AN109" t="n">
        <x:v>-3.6</x:v>
      </x:c>
      <x:c r="AO109" t="n">
        <x:v>0.914</x:v>
      </x:c>
      <x:c r="AP109" t="n">
        <x:v>1.06</x:v>
      </x:c>
      <x:c r="AQ109" t="n">
        <x:v>4.45099</x:v>
      </x:c>
      <x:c r="AR109" t="n">
        <x:v>0.61</x:v>
      </x:c>
      <x:c r="AS109" t="n">
        <x:v>0.0797</x:v>
      </x:c>
      <x:c r="AT109" t="n">
        <x:v>0.5771</x:v>
      </x:c>
      <x:c r="AU109" t="n">
        <x:v>0.8127</x:v>
      </x:c>
      <x:c r="AV109" t="n">
        <x:v>1</x:v>
      </x:c>
      <x:c r="AW109" t="n">
        <x:v>0.7100730919786805</x:v>
      </x:c>
      <x:c r="AX109" t="n">
        <x:v>0.006358397996383688</x:v>
      </x:c>
      <x:c r="AY109" t="n">
        <x:v>0.33302461718472703</x:v>
      </x:c>
      <x:c r="AZ109" t="n">
        <x:v>0.6604960531005656</x:v>
      </x:c>
    </x:row>
    <x:row r="110">
      <x:c r="A110" t="str">
        <x:v>300Hz-1</x:v>
      </x:c>
      <x:c r="B110" t="n">
        <x:v>300</x:v>
      </x:c>
      <x:c r="C110" t="n">
        <x:v>1</x:v>
      </x:c>
      <x:c r="D110" t="n">
        <x:v>9</x:v>
      </x:c>
      <x:c r="E110" t="n">
        <x:v>1</x:v>
      </x:c>
      <x:c r="F110" t="n">
        <x:v>300</x:v>
      </x:c>
      <x:c r="G110" t="n">
        <x:v>19</x:v>
      </x:c>
      <x:c r="H110" t="n">
        <x:v>300.02354</x:v>
      </x:c>
      <x:c r="I110" t="n">
        <x:v>0.38024</x:v>
      </x:c>
      <x:c r="J110" t="n">
        <x:v>24.73</x:v>
      </x:c>
      <x:c r="K110" t="n">
        <x:v>300.00032</x:v>
      </x:c>
      <x:c r="L110" t="n">
        <x:v>2.59232</x:v>
      </x:c>
      <x:c r="M110" t="n">
        <x:v>36.48</x:v>
      </x:c>
      <x:c r="N110" t="n">
        <x:v>299.99882</x:v>
      </x:c>
      <x:c r="O110" t="n">
        <x:v>4.04641</x:v>
      </x:c>
      <x:c r="P110" t="n">
        <x:v>38.52</x:v>
      </x:c>
      <x:c r="Q110" t="n">
        <x:v>300.02354</x:v>
      </x:c>
      <x:c r="R110" t="n">
        <x:v>0.38024</x:v>
      </x:c>
      <x:c r="S110" t="n">
        <x:v>300.00032</x:v>
      </x:c>
      <x:c r="T110" t="n">
        <x:v>2.59232</x:v>
      </x:c>
      <x:c r="U110" t="n">
        <x:v>299.99882</x:v>
      </x:c>
      <x:c r="V110" t="n">
        <x:v>4.04641</x:v>
      </x:c>
      <x:c r="W110" t="n">
        <x:v>299.99941</x:v>
      </x:c>
      <x:c r="X110" t="n">
        <x:v>-0.00059</x:v>
      </x:c>
      <x:c r="Y110" t="n">
        <x:v>0.38024</x:v>
      </x:c>
      <x:c r="Z110" t="n">
        <x:v>2.59232</x:v>
      </x:c>
      <x:c r="AA110" t="n">
        <x:v>4.04641</x:v>
      </x:c>
      <x:c r="AB110" t="n">
        <x:v>4.8206</x:v>
      </x:c>
      <x:c r="AC110" t="n">
        <x:v>45.16</x:v>
      </x:c>
      <x:c r="AD110" t="str">
        <x:v>Z</x:v>
      </x:c>
      <x:c r="AE110" t="n">
        <x:v>0.39077</x:v>
      </x:c>
      <x:c r="AF110" t="n">
        <x:v>27.97</x:v>
      </x:c>
      <x:c r="AG110" t="n">
        <x:v>0.48</x:v>
      </x:c>
      <x:c r="AH110" t="n">
        <x:v>9.14</x:v>
      </x:c>
      <x:c r="AI110" t="n">
        <x:v>2.61197</x:v>
      </x:c>
      <x:c r="AJ110" t="n">
        <x:v>-54.46</x:v>
      </x:c>
      <x:c r="AK110" t="n">
        <x:v>0.892</x:v>
      </x:c>
      <x:c r="AL110" t="n">
        <x:v>1</x:v>
      </x:c>
      <x:c r="AM110" t="n">
        <x:v>4.21312</x:v>
      </x:c>
      <x:c r="AN110" t="n">
        <x:v>-4.15</x:v>
      </x:c>
      <x:c r="AO110" t="n">
        <x:v>0.918</x:v>
      </x:c>
      <x:c r="AP110" t="n">
        <x:v>1.17</x:v>
      </x:c>
      <x:c r="AQ110" t="n">
        <x:v>4.97256</x:v>
      </x:c>
      <x:c r="AR110" t="n">
        <x:v>1.16</x:v>
      </x:c>
      <x:c r="AS110" t="n">
        <x:v>0.0786</x:v>
      </x:c>
      <x:c r="AT110" t="n">
        <x:v>0.5253</x:v>
      </x:c>
      <x:c r="AU110" t="n">
        <x:v>0.8473</x:v>
      </x:c>
      <x:c r="AV110" t="n">
        <x:v>1</x:v>
      </x:c>
      <x:c r="AW110" t="n">
        <x:v>0.6199609790369133</x:v>
      </x:c>
      <x:c r="AX110" t="n">
        <x:v>0.00617564560315668</x:v>
      </x:c>
      <x:c r="AY110" t="n">
        <x:v>0.2759156311366454</x:v>
      </x:c>
      <x:c r="AZ110" t="n">
        <x:v>0.7178729579614636</x:v>
      </x:c>
    </x:row>
    <x:row r="111">
      <x:c r="A111" t="str">
        <x:v>300Hz-1</x:v>
      </x:c>
      <x:c r="B111" t="n">
        <x:v>300</x:v>
      </x:c>
      <x:c r="C111" t="n">
        <x:v>1</x:v>
      </x:c>
      <x:c r="D111" t="n">
        <x:v>10</x:v>
      </x:c>
      <x:c r="E111" t="n">
        <x:v>1</x:v>
      </x:c>
      <x:c r="F111" t="n">
        <x:v>300</x:v>
      </x:c>
      <x:c r="G111" t="n">
        <x:v>20</x:v>
      </x:c>
      <x:c r="H111" t="n">
        <x:v>459.07872</x:v>
      </x:c>
      <x:c r="I111" t="n">
        <x:v>0.53851</x:v>
      </x:c>
      <x:c r="J111" t="n">
        <x:v>26.39</x:v>
      </x:c>
      <x:c r="K111" t="n">
        <x:v>299.99848</x:v>
      </x:c>
      <x:c r="L111" t="n">
        <x:v>2.67194</x:v>
      </x:c>
      <x:c r="M111" t="n">
        <x:v>35.52</x:v>
      </x:c>
      <x:c r="N111" t="n">
        <x:v>299.99758</x:v>
      </x:c>
      <x:c r="O111" t="n">
        <x:v>4.6121</x:v>
      </x:c>
      <x:c r="P111" t="n">
        <x:v>38.64</x:v>
      </x:c>
      <x:c r="Q111" t="n">
        <x:v>299.99707</x:v>
      </x:c>
      <x:c r="R111" t="n">
        <x:v>0.42725</x:v>
      </x:c>
      <x:c r="S111" t="n">
        <x:v>299.99848</x:v>
      </x:c>
      <x:c r="T111" t="n">
        <x:v>2.67194</x:v>
      </x:c>
      <x:c r="U111" t="n">
        <x:v>299.99758</x:v>
      </x:c>
      <x:c r="V111" t="n">
        <x:v>4.6121</x:v>
      </x:c>
      <x:c r="W111" t="n">
        <x:v>299.9978</x:v>
      </x:c>
      <x:c r="X111" t="n">
        <x:v>-0.0022</x:v>
      </x:c>
      <x:c r="Y111" t="n">
        <x:v>0.42725</x:v>
      </x:c>
      <x:c r="Z111" t="n">
        <x:v>2.67194</x:v>
      </x:c>
      <x:c r="AA111" t="n">
        <x:v>4.6121</x:v>
      </x:c>
      <x:c r="AB111" t="n">
        <x:v>5.34727</x:v>
      </x:c>
      <x:c r="AC111" t="n">
        <x:v>46.08</x:v>
      </x:c>
      <x:c r="AD111" t="str">
        <x:v>Z</x:v>
      </x:c>
      <x:c r="AE111" t="n">
        <x:v>0.44699</x:v>
      </x:c>
      <x:c r="AF111" t="n">
        <x:v>22.83</x:v>
      </x:c>
      <x:c r="AG111" t="n">
        <x:v>0.384</x:v>
      </x:c>
      <x:c r="AH111" t="n">
        <x:v>8.81</x:v>
      </x:c>
      <x:c r="AI111" t="n">
        <x:v>2.60589</x:v>
      </x:c>
      <x:c r="AJ111" t="n">
        <x:v>-52.94</x:v>
      </x:c>
      <x:c r="AK111" t="n">
        <x:v>0.852</x:v>
      </x:c>
      <x:c r="AL111" t="n">
        <x:v>2.11</x:v>
      </x:c>
      <x:c r="AM111" t="n">
        <x:v>5.00963</x:v>
      </x:c>
      <x:c r="AN111" t="n">
        <x:v>-5.88</x:v>
      </x:c>
      <x:c r="AO111" t="n">
        <x:v>0.919</x:v>
      </x:c>
      <x:c r="AP111" t="n">
        <x:v>1.17</x:v>
      </x:c>
      <x:c r="AQ111" t="n">
        <x:v>5.66488</x:v>
      </x:c>
      <x:c r="AR111" t="n">
        <x:v>0.95</x:v>
      </x:c>
      <x:c r="AS111" t="n">
        <x:v>0.0789</x:v>
      </x:c>
      <x:c r="AT111" t="n">
        <x:v>0.46</x:v>
      </x:c>
      <x:c r="AU111" t="n">
        <x:v>0.8843</x:v>
      </x:c>
      <x:c r="AV111" t="n">
        <x:v>1</x:v>
      </x:c>
      <x:c r="AW111" t="n">
        <x:v>0.52017614075291</x:v>
      </x:c>
      <x:c r="AX111" t="n">
        <x:v>0.006226072669587295</x:v>
      </x:c>
      <x:c r="AY111" t="n">
        <x:v>0.21160734073107468</x:v>
      </x:c>
      <x:c r="AZ111" t="n">
        <x:v>0.7820416312499505</x:v>
      </x:c>
    </x:row>
    <x:row r="112">
      <x:c r="A112" t="str">
        <x:v>325Hz-1</x:v>
      </x:c>
      <x:c r="B112" t="n">
        <x:v>325</x:v>
      </x:c>
      <x:c r="C112" t="n">
        <x:v>1</x:v>
      </x:c>
      <x:c r="D112" t="n">
        <x:v>1</x:v>
      </x:c>
      <x:c r="E112" t="n">
        <x:v>1</x:v>
      </x:c>
      <x:c r="F112" t="n">
        <x:v>325</x:v>
      </x:c>
      <x:c r="G112" t="n">
        <x:v>11</x:v>
      </x:c>
      <x:c r="H112" t="n">
        <x:v>234.13926</x:v>
      </x:c>
      <x:c r="I112" t="n">
        <x:v>0.36051</x:v>
      </x:c>
      <x:c r="J112" t="n">
        <x:v>22.54</x:v>
      </x:c>
      <x:c r="K112" t="n">
        <x:v>324.99658</x:v>
      </x:c>
      <x:c r="L112" t="n">
        <x:v>2.38553</x:v>
      </x:c>
      <x:c r="M112" t="n">
        <x:v>33.93</x:v>
      </x:c>
      <x:c r="N112" t="n">
        <x:v>325.00183</x:v>
      </x:c>
      <x:c r="O112" t="n">
        <x:v>2.48347</x:v>
      </x:c>
      <x:c r="P112" t="n">
        <x:v>37.21</x:v>
      </x:c>
      <x:c r="Q112" t="n">
        <x:v>324.98728</x:v>
      </x:c>
      <x:c r="R112" t="n">
        <x:v>0.3187</x:v>
      </x:c>
      <x:c r="S112" t="n">
        <x:v>324.99658</x:v>
      </x:c>
      <x:c r="T112" t="n">
        <x:v>2.38553</x:v>
      </x:c>
      <x:c r="U112" t="n">
        <x:v>325.00183</x:v>
      </x:c>
      <x:c r="V112" t="n">
        <x:v>2.48347</x:v>
      </x:c>
      <x:c r="W112" t="n">
        <x:v>324.99921</x:v>
      </x:c>
      <x:c r="X112" t="n">
        <x:v>-0.00079</x:v>
      </x:c>
      <x:c r="Y112" t="n">
        <x:v>0.3187</x:v>
      </x:c>
      <x:c r="Z112" t="n">
        <x:v>2.38553</x:v>
      </x:c>
      <x:c r="AA112" t="n">
        <x:v>2.48347</x:v>
      </x:c>
      <x:c r="AB112" t="n">
        <x:v>3.45832</x:v>
      </x:c>
      <x:c r="AC112" t="n">
        <x:v>36.4</x:v>
      </x:c>
      <x:c r="AD112" t="str">
        <x:v>Z</x:v>
      </x:c>
      <x:c r="AE112" t="n">
        <x:v>0.32236</x:v>
      </x:c>
      <x:c r="AF112" t="n">
        <x:v>17.06</x:v>
      </x:c>
      <x:c r="AG112" t="n">
        <x:v>0.365</x:v>
      </x:c>
      <x:c r="AH112" t="n">
        <x:v>9.78</x:v>
      </x:c>
      <x:c r="AI112" t="n">
        <x:v>2.41778</x:v>
      </x:c>
      <x:c r="AJ112" t="n">
        <x:v>-89.67</x:v>
      </x:c>
      <x:c r="AK112" t="n">
        <x:v>0.864</x:v>
      </x:c>
      <x:c r="AL112" t="n">
        <x:v>0.79</x:v>
      </x:c>
      <x:c r="AM112" t="n">
        <x:v>2.43301</x:v>
      </x:c>
      <x:c r="AN112" t="n">
        <x:v>-27.74</x:v>
      </x:c>
      <x:c r="AO112" t="n">
        <x:v>0.911</x:v>
      </x:c>
      <x:c r="AP112" t="n">
        <x:v>1.35</x:v>
      </x:c>
      <x:c r="AQ112" t="n">
        <x:v>3.44535</x:v>
      </x:c>
      <x:c r="AR112" t="n">
        <x:v>0.81</x:v>
      </x:c>
      <x:c r="AS112" t="n">
        <x:v>0.0936</x:v>
      </x:c>
      <x:c r="AT112" t="n">
        <x:v>0.7018</x:v>
      </x:c>
      <x:c r="AU112" t="n">
        <x:v>0.7062</x:v>
      </x:c>
      <x:c r="AV112" t="n">
        <x:v>1</x:v>
      </x:c>
      <x:c r="AW112" t="n">
        <x:v>0.9937402641172869</x:v>
      </x:c>
      <x:c r="AX112" t="n">
        <x:v>0.008754182588619435</x:v>
      </x:c>
      <x:c r="AY112" t="n">
        <x:v>0.49245535899831644</x:v>
      </x:c>
      <x:c r="AZ112" t="n">
        <x:v>0.4986790164802971</x:v>
      </x:c>
    </x:row>
    <x:row r="113">
      <x:c r="A113" t="str">
        <x:v>325Hz-1</x:v>
      </x:c>
      <x:c r="B113" t="n">
        <x:v>325</x:v>
      </x:c>
      <x:c r="C113" t="n">
        <x:v>1</x:v>
      </x:c>
      <x:c r="D113" t="n">
        <x:v>2</x:v>
      </x:c>
      <x:c r="E113" t="n">
        <x:v>1</x:v>
      </x:c>
      <x:c r="F113" t="n">
        <x:v>325</x:v>
      </x:c>
      <x:c r="G113" t="n">
        <x:v>12</x:v>
      </x:c>
      <x:c r="H113" t="n">
        <x:v>234.32978</x:v>
      </x:c>
      <x:c r="I113" t="n">
        <x:v>0.47758</x:v>
      </x:c>
      <x:c r="J113" t="n">
        <x:v>24.07</x:v>
      </x:c>
      <x:c r="K113" t="n">
        <x:v>324.99888</x:v>
      </x:c>
      <x:c r="L113" t="n">
        <x:v>2.44263</x:v>
      </x:c>
      <x:c r="M113" t="n">
        <x:v>33.9</x:v>
      </x:c>
      <x:c r="N113" t="n">
        <x:v>325.00121</x:v>
      </x:c>
      <x:c r="O113" t="n">
        <x:v>2.93432</x:v>
      </x:c>
      <x:c r="P113" t="n">
        <x:v>38.01</x:v>
      </x:c>
      <x:c r="Q113" t="n">
        <x:v>324.99849</x:v>
      </x:c>
      <x:c r="R113" t="n">
        <x:v>0.36138</x:v>
      </x:c>
      <x:c r="S113" t="n">
        <x:v>324.99888</x:v>
      </x:c>
      <x:c r="T113" t="n">
        <x:v>2.44263</x:v>
      </x:c>
      <x:c r="U113" t="n">
        <x:v>325.00121</x:v>
      </x:c>
      <x:c r="V113" t="n">
        <x:v>2.93432</x:v>
      </x:c>
      <x:c r="W113" t="n">
        <x:v>325.00024</x:v>
      </x:c>
      <x:c r="X113" t="n">
        <x:v>0.00024</x:v>
      </x:c>
      <x:c r="Y113" t="n">
        <x:v>0.36138</x:v>
      </x:c>
      <x:c r="Z113" t="n">
        <x:v>2.44263</x:v>
      </x:c>
      <x:c r="AA113" t="n">
        <x:v>2.93432</x:v>
      </x:c>
      <x:c r="AB113" t="n">
        <x:v>3.835</x:v>
      </x:c>
      <x:c r="AC113" t="n">
        <x:v>40.02</x:v>
      </x:c>
      <x:c r="AD113" t="str">
        <x:v>Z</x:v>
      </x:c>
      <x:c r="AE113" t="n">
        <x:v>0.34939</x:v>
      </x:c>
      <x:c r="AF113" t="n">
        <x:v>17.58</x:v>
      </x:c>
      <x:c r="AG113" t="n">
        <x:v>0.344</x:v>
      </x:c>
      <x:c r="AH113" t="n">
        <x:v>3.63</x:v>
      </x:c>
      <x:c r="AI113" t="n">
        <x:v>2.42869</x:v>
      </x:c>
      <x:c r="AJ113" t="n">
        <x:v>-89.03</x:v>
      </x:c>
      <x:c r="AK113" t="n">
        <x:v>0.844</x:v>
      </x:c>
      <x:c r="AL113" t="n">
        <x:v>0.56</x:v>
      </x:c>
      <x:c r="AM113" t="n">
        <x:v>2.88919</x:v>
      </x:c>
      <x:c r="AN113" t="n">
        <x:v>-25.71</x:v>
      </x:c>
      <x:c r="AO113" t="n">
        <x:v>0.913</x:v>
      </x:c>
      <x:c r="AP113" t="n">
        <x:v>0.69</x:v>
      </x:c>
      <x:c r="AQ113" t="n">
        <x:v>3.79055</x:v>
      </x:c>
      <x:c r="AR113" t="n">
        <x:v>0.55</x:v>
      </x:c>
      <x:c r="AS113" t="n">
        <x:v>0.0922</x:v>
      </x:c>
      <x:c r="AT113" t="n">
        <x:v>0.6407</x:v>
      </x:c>
      <x:c r="AU113" t="n">
        <x:v>0.7622</x:v>
      </x:c>
      <x:c r="AV113" t="n">
        <x:v>1</x:v>
      </x:c>
      <x:c r="AW113" t="n">
        <x:v>0.8406127669000654</x:v>
      </x:c>
      <x:c r="AX113" t="n">
        <x:v>0.008496038703753964</x:v>
      </x:c>
      <x:c r="AY113" t="n">
        <x:v>0.4105250947011194</x:v>
      </x:c>
      <x:c r="AZ113" t="n">
        <x:v>0.5809620268355908</x:v>
      </x:c>
    </x:row>
    <x:row r="114">
      <x:c r="A114" t="str">
        <x:v>325Hz-1</x:v>
      </x:c>
      <x:c r="B114" t="n">
        <x:v>325</x:v>
      </x:c>
      <x:c r="C114" t="n">
        <x:v>1</x:v>
      </x:c>
      <x:c r="D114" t="n">
        <x:v>3</x:v>
      </x:c>
      <x:c r="E114" t="n">
        <x:v>1</x:v>
      </x:c>
      <x:c r="F114" t="n">
        <x:v>325</x:v>
      </x:c>
      <x:c r="G114" t="n">
        <x:v>13</x:v>
      </x:c>
      <x:c r="H114" t="n">
        <x:v>325.0225</x:v>
      </x:c>
      <x:c r="I114" t="n">
        <x:v>0.39831</x:v>
      </x:c>
      <x:c r="J114" t="n">
        <x:v>22.55</x:v>
      </x:c>
      <x:c r="K114" t="n">
        <x:v>325.00842</x:v>
      </x:c>
      <x:c r="L114" t="n">
        <x:v>2.4077</x:v>
      </x:c>
      <x:c r="M114" t="n">
        <x:v>33.68</x:v>
      </x:c>
      <x:c r="N114" t="n">
        <x:v>324.99835</x:v>
      </x:c>
      <x:c r="O114" t="n">
        <x:v>3.51083</x:v>
      </x:c>
      <x:c r="P114" t="n">
        <x:v>38.46</x:v>
      </x:c>
      <x:c r="Q114" t="n">
        <x:v>325.0225</x:v>
      </x:c>
      <x:c r="R114" t="n">
        <x:v>0.39831</x:v>
      </x:c>
      <x:c r="S114" t="n">
        <x:v>325.00842</x:v>
      </x:c>
      <x:c r="T114" t="n">
        <x:v>2.4077</x:v>
      </x:c>
      <x:c r="U114" t="n">
        <x:v>324.99835</x:v>
      </x:c>
      <x:c r="V114" t="n">
        <x:v>3.51083</x:v>
      </x:c>
      <x:c r="W114" t="n">
        <x:v>325.00176</x:v>
      </x:c>
      <x:c r="X114" t="n">
        <x:v>0.00176</x:v>
      </x:c>
      <x:c r="Y114" t="n">
        <x:v>0.39831</x:v>
      </x:c>
      <x:c r="Z114" t="n">
        <x:v>2.4077</x:v>
      </x:c>
      <x:c r="AA114" t="n">
        <x:v>3.51083</x:v>
      </x:c>
      <x:c r="AB114" t="n">
        <x:v>4.2757</x:v>
      </x:c>
      <x:c r="AC114" t="n">
        <x:v>42.09</x:v>
      </x:c>
      <x:c r="AD114" t="str">
        <x:v>Z</x:v>
      </x:c>
      <x:c r="AE114" t="n">
        <x:v>0.39763</x:v>
      </x:c>
      <x:c r="AF114" t="n">
        <x:v>15.05</x:v>
      </x:c>
      <x:c r="AG114" t="n">
        <x:v>0.414</x:v>
      </x:c>
      <x:c r="AH114" t="n">
        <x:v>4.2</x:v>
      </x:c>
      <x:c r="AI114" t="n">
        <x:v>2.42984</x:v>
      </x:c>
      <x:c r="AJ114" t="n">
        <x:v>-88.89</x:v>
      </x:c>
      <x:c r="AK114" t="n">
        <x:v>0.846</x:v>
      </x:c>
      <x:c r="AL114" t="n">
        <x:v>0.92</x:v>
      </x:c>
      <x:c r="AM114" t="n">
        <x:v>3.44705</x:v>
      </x:c>
      <x:c r="AN114" t="n">
        <x:v>-23.84</x:v>
      </x:c>
      <x:c r="AO114" t="n">
        <x:v>0.919</x:v>
      </x:c>
      <x:c r="AP114" t="n">
        <x:v>0.62</x:v>
      </x:c>
      <x:c r="AQ114" t="n">
        <x:v>4.23617</x:v>
      </x:c>
      <x:c r="AR114" t="n">
        <x:v>0.43</x:v>
      </x:c>
      <x:c r="AS114" t="n">
        <x:v>0.0939</x:v>
      </x:c>
      <x:c r="AT114" t="n">
        <x:v>0.5736</x:v>
      </x:c>
      <x:c r="AU114" t="n">
        <x:v>0.8137</x:v>
      </x:c>
      <x:c r="AV114" t="n">
        <x:v>1</x:v>
      </x:c>
      <x:c r="AW114" t="n">
        <x:v>0.7049041934407682</x:v>
      </x:c>
      <x:c r="AX114" t="n">
        <x:v>0.008810722556284704</x:v>
      </x:c>
      <x:c r="AY114" t="n">
        <x:v>0.3290096178223064</x:v>
      </x:c>
      <x:c r="AZ114" t="n">
        <x:v>0.6621378363725487</x:v>
      </x:c>
    </x:row>
    <x:row r="115">
      <x:c r="A115" t="str">
        <x:v>325Hz-1</x:v>
      </x:c>
      <x:c r="B115" t="n">
        <x:v>325</x:v>
      </x:c>
      <x:c r="C115" t="n">
        <x:v>1</x:v>
      </x:c>
      <x:c r="D115" t="n">
        <x:v>4</x:v>
      </x:c>
      <x:c r="E115" t="n">
        <x:v>1</x:v>
      </x:c>
      <x:c r="F115" t="n">
        <x:v>325</x:v>
      </x:c>
      <x:c r="G115" t="n">
        <x:v>14</x:v>
      </x:c>
      <x:c r="H115" t="n">
        <x:v>234.12704</x:v>
      </x:c>
      <x:c r="I115" t="n">
        <x:v>0.47373</x:v>
      </x:c>
      <x:c r="J115" t="n">
        <x:v>23.48</x:v>
      </x:c>
      <x:c r="K115" t="n">
        <x:v>324.99851</x:v>
      </x:c>
      <x:c r="L115" t="n">
        <x:v>2.40741</x:v>
      </x:c>
      <x:c r="M115" t="n">
        <x:v>33.09</x:v>
      </x:c>
      <x:c r="N115" t="n">
        <x:v>324.99997</x:v>
      </x:c>
      <x:c r="O115" t="n">
        <x:v>4.04855</x:v>
      </x:c>
      <x:c r="P115" t="n">
        <x:v>38.67</x:v>
      </x:c>
      <x:c r="Q115" t="n">
        <x:v>325.00494</x:v>
      </x:c>
      <x:c r="R115" t="n">
        <x:v>0.44411</x:v>
      </x:c>
      <x:c r="S115" t="n">
        <x:v>324.99851</x:v>
      </x:c>
      <x:c r="T115" t="n">
        <x:v>2.40741</x:v>
      </x:c>
      <x:c r="U115" t="n">
        <x:v>324.99997</x:v>
      </x:c>
      <x:c r="V115" t="n">
        <x:v>4.04855</x:v>
      </x:c>
      <x:c r="W115" t="n">
        <x:v>324.99964</x:v>
      </x:c>
      <x:c r="X115" t="n">
        <x:v>-0.00036</x:v>
      </x:c>
      <x:c r="Y115" t="n">
        <x:v>0.44411</x:v>
      </x:c>
      <x:c r="Z115" t="n">
        <x:v>2.40741</x:v>
      </x:c>
      <x:c r="AA115" t="n">
        <x:v>4.04855</x:v>
      </x:c>
      <x:c r="AB115" t="n">
        <x:v>4.73113</x:v>
      </x:c>
      <x:c r="AC115" t="n">
        <x:v>41.47</x:v>
      </x:c>
      <x:c r="AD115" t="str">
        <x:v>Z</x:v>
      </x:c>
      <x:c r="AE115" t="n">
        <x:v>0.43842</x:v>
      </x:c>
      <x:c r="AF115" t="n">
        <x:v>16.39</x:v>
      </x:c>
      <x:c r="AG115" t="n">
        <x:v>0.411</x:v>
      </x:c>
      <x:c r="AH115" t="n">
        <x:v>3.42</x:v>
      </x:c>
      <x:c r="AI115" t="n">
        <x:v>2.45442</x:v>
      </x:c>
      <x:c r="AJ115" t="n">
        <x:v>-88.31</x:v>
      </x:c>
      <x:c r="AK115" t="n">
        <x:v>0.836</x:v>
      </x:c>
      <x:c r="AL115" t="n">
        <x:v>1.77</x:v>
      </x:c>
      <x:c r="AM115" t="n">
        <x:v>3.95255</x:v>
      </x:c>
      <x:c r="AN115" t="n">
        <x:v>-23.34</x:v>
      </x:c>
      <x:c r="AO115" t="n">
        <x:v>0.92</x:v>
      </x:c>
      <x:c r="AP115" t="n">
        <x:v>1.22</x:v>
      </x:c>
      <x:c r="AQ115" t="n">
        <x:v>4.67356</x:v>
      </x:c>
      <x:c r="AR115" t="n">
        <x:v>0.5</x:v>
      </x:c>
      <x:c r="AS115" t="n">
        <x:v>0.0938</x:v>
      </x:c>
      <x:c r="AT115" t="n">
        <x:v>0.5252</x:v>
      </x:c>
      <x:c r="AU115" t="n">
        <x:v>0.8457</x:v>
      </x:c>
      <x:c r="AV115" t="n">
        <x:v>1</x:v>
      </x:c>
      <x:c r="AW115" t="n">
        <x:v>0.6209712717106678</x:v>
      </x:c>
      <x:c r="AX115" t="n">
        <x:v>0.008800048591905316</x:v>
      </x:c>
      <x:c r="AY115" t="n">
        <x:v>0.27580498854901647</x:v>
      </x:c>
      <x:c r="AZ115" t="n">
        <x:v>0.715252031122442</x:v>
      </x:c>
    </x:row>
    <x:row r="116">
      <x:c r="A116" t="str">
        <x:v>325Hz-1</x:v>
      </x:c>
      <x:c r="B116" t="n">
        <x:v>325</x:v>
      </x:c>
      <x:c r="C116" t="n">
        <x:v>1</x:v>
      </x:c>
      <x:c r="D116" t="n">
        <x:v>5</x:v>
      </x:c>
      <x:c r="E116" t="n">
        <x:v>1</x:v>
      </x:c>
      <x:c r="F116" t="n">
        <x:v>325</x:v>
      </x:c>
      <x:c r="G116" t="n">
        <x:v>15</x:v>
      </x:c>
      <x:c r="H116" t="n">
        <x:v>234.41468</x:v>
      </x:c>
      <x:c r="I116" t="n">
        <x:v>0.47677</x:v>
      </x:c>
      <x:c r="J116" t="n">
        <x:v>23.67</x:v>
      </x:c>
      <x:c r="K116" t="n">
        <x:v>324.99687</x:v>
      </x:c>
      <x:c r="L116" t="n">
        <x:v>2.45431</x:v>
      </x:c>
      <x:c r="M116" t="n">
        <x:v>33.3</x:v>
      </x:c>
      <x:c r="N116" t="n">
        <x:v>324.99872</x:v>
      </x:c>
      <x:c r="O116" t="n">
        <x:v>4.50961</x:v>
      </x:c>
      <x:c r="P116" t="n">
        <x:v>39.07</x:v>
      </x:c>
      <x:c r="Q116" t="n">
        <x:v>325.00227</x:v>
      </x:c>
      <x:c r="R116" t="n">
        <x:v>0.475</x:v>
      </x:c>
      <x:c r="S116" t="n">
        <x:v>324.99687</x:v>
      </x:c>
      <x:c r="T116" t="n">
        <x:v>2.45431</x:v>
      </x:c>
      <x:c r="U116" t="n">
        <x:v>324.99872</x:v>
      </x:c>
      <x:c r="V116" t="n">
        <x:v>4.50961</x:v>
      </x:c>
      <x:c r="W116" t="n">
        <x:v>324.99833</x:v>
      </x:c>
      <x:c r="X116" t="n">
        <x:v>-0.00167</x:v>
      </x:c>
      <x:c r="Y116" t="n">
        <x:v>0.475</x:v>
      </x:c>
      <x:c r="Z116" t="n">
        <x:v>2.45431</x:v>
      </x:c>
      <x:c r="AA116" t="n">
        <x:v>4.50961</x:v>
      </x:c>
      <x:c r="AB116" t="n">
        <x:v>5.15614</x:v>
      </x:c>
      <x:c r="AC116" t="n">
        <x:v>43.25</x:v>
      </x:c>
      <x:c r="AD116" t="str">
        <x:v>Z</x:v>
      </x:c>
      <x:c r="AE116" t="n">
        <x:v>0.4734</x:v>
      </x:c>
      <x:c r="AF116" t="n">
        <x:v>14.28</x:v>
      </x:c>
      <x:c r="AG116" t="n">
        <x:v>0.434</x:v>
      </x:c>
      <x:c r="AH116" t="n">
        <x:v>7.25</x:v>
      </x:c>
      <x:c r="AI116" t="n">
        <x:v>2.47814</x:v>
      </x:c>
      <x:c r="AJ116" t="n">
        <x:v>-86.56</x:v>
      </x:c>
      <x:c r="AK116" t="n">
        <x:v>0.833</x:v>
      </x:c>
      <x:c r="AL116" t="n">
        <x:v>1.27</x:v>
      </x:c>
      <x:c r="AM116" t="n">
        <x:v>4.45633</x:v>
      </x:c>
      <x:c r="AN116" t="n">
        <x:v>-23.09</x:v>
      </x:c>
      <x:c r="AO116" t="n">
        <x:v>0.921</x:v>
      </x:c>
      <x:c r="AP116" t="n">
        <x:v>0.79</x:v>
      </x:c>
      <x:c r="AQ116" t="n">
        <x:v>5.12114</x:v>
      </x:c>
      <x:c r="AR116" t="n">
        <x:v>0.58</x:v>
      </x:c>
      <x:c r="AS116" t="n">
        <x:v>0.0924</x:v>
      </x:c>
      <x:c r="AT116" t="n">
        <x:v>0.4839</x:v>
      </x:c>
      <x:c r="AU116" t="n">
        <x:v>0.8702</x:v>
      </x:c>
      <x:c r="AV116" t="n">
        <x:v>1</x:v>
      </x:c>
      <x:c r="AW116" t="n">
        <x:v>0.5560943646453471</x:v>
      </x:c>
      <x:c r="AX116" t="n">
        <x:v>0.008545219246796939</x:v>
      </x:c>
      <x:c r="AY116" t="n">
        <x:v>0.23416305654239036</x:v>
      </x:c>
      <x:c r="AZ116" t="n">
        <x:v>0.7572188039927734</x:v>
      </x:c>
    </x:row>
    <x:row r="117">
      <x:c r="A117" t="str">
        <x:v>325Hz-1</x:v>
      </x:c>
      <x:c r="B117" t="n">
        <x:v>325</x:v>
      </x:c>
      <x:c r="C117" t="n">
        <x:v>1</x:v>
      </x:c>
      <x:c r="D117" t="n">
        <x:v>6</x:v>
      </x:c>
      <x:c r="E117" t="n">
        <x:v>1</x:v>
      </x:c>
      <x:c r="F117" t="n">
        <x:v>325</x:v>
      </x:c>
      <x:c r="G117" t="n">
        <x:v>16</x:v>
      </x:c>
      <x:c r="H117" t="n">
        <x:v>234.11647</x:v>
      </x:c>
      <x:c r="I117" t="n">
        <x:v>0.52904</x:v>
      </x:c>
      <x:c r="J117" t="n">
        <x:v>24.8</x:v>
      </x:c>
      <x:c r="K117" t="n">
        <x:v>325.00073</x:v>
      </x:c>
      <x:c r="L117" t="n">
        <x:v>2.44529</x:v>
      </x:c>
      <x:c r="M117" t="n">
        <x:v>33.49</x:v>
      </x:c>
      <x:c r="N117" t="n">
        <x:v>324.99926</x:v>
      </x:c>
      <x:c r="O117" t="n">
        <x:v>5.1037</x:v>
      </x:c>
      <x:c r="P117" t="n">
        <x:v>39.29</x:v>
      </x:c>
      <x:c r="Q117" t="n">
        <x:v>325.00348</x:v>
      </x:c>
      <x:c r="R117" t="n">
        <x:v>0.50667</x:v>
      </x:c>
      <x:c r="S117" t="n">
        <x:v>325.00073</x:v>
      </x:c>
      <x:c r="T117" t="n">
        <x:v>2.44529</x:v>
      </x:c>
      <x:c r="U117" t="n">
        <x:v>324.99926</x:v>
      </x:c>
      <x:c r="V117" t="n">
        <x:v>5.1037</x:v>
      </x:c>
      <x:c r="W117" t="n">
        <x:v>324.99956</x:v>
      </x:c>
      <x:c r="X117" t="n">
        <x:v>-0.00044</x:v>
      </x:c>
      <x:c r="Y117" t="n">
        <x:v>0.50667</x:v>
      </x:c>
      <x:c r="Z117" t="n">
        <x:v>2.44529</x:v>
      </x:c>
      <x:c r="AA117" t="n">
        <x:v>5.1037</x:v>
      </x:c>
      <x:c r="AB117" t="n">
        <x:v>5.6819</x:v>
      </x:c>
      <x:c r="AC117" t="n">
        <x:v>41.55</x:v>
      </x:c>
      <x:c r="AD117" t="str">
        <x:v>Z</x:v>
      </x:c>
      <x:c r="AE117" t="n">
        <x:v>0.51286</x:v>
      </x:c>
      <x:c r="AF117" t="n">
        <x:v>12.7</x:v>
      </x:c>
      <x:c r="AG117" t="n">
        <x:v>0.455</x:v>
      </x:c>
      <x:c r="AH117" t="n">
        <x:v>4.92</x:v>
      </x:c>
      <x:c r="AI117" t="n">
        <x:v>2.44835</x:v>
      </x:c>
      <x:c r="AJ117" t="n">
        <x:v>-85.23</x:v>
      </x:c>
      <x:c r="AK117" t="n">
        <x:v>0.831</x:v>
      </x:c>
      <x:c r="AL117" t="n">
        <x:v>1.04</x:v>
      </x:c>
      <x:c r="AM117" t="n">
        <x:v>5.11324</x:v>
      </x:c>
      <x:c r="AN117" t="n">
        <x:v>-23.5</x:v>
      </x:c>
      <x:c r="AO117" t="n">
        <x:v>0.922</x:v>
      </x:c>
      <x:c r="AP117" t="n">
        <x:v>0.3</x:v>
      </x:c>
      <x:c r="AQ117" t="n">
        <x:v>5.69242</x:v>
      </x:c>
      <x:c r="AR117" t="n">
        <x:v>0.3</x:v>
      </x:c>
      <x:c r="AS117" t="n">
        <x:v>0.0901</x:v>
      </x:c>
      <x:c r="AT117" t="n">
        <x:v>0.4301</x:v>
      </x:c>
      <x:c r="AU117" t="n">
        <x:v>0.8983</x:v>
      </x:c>
      <x:c r="AV117" t="n">
        <x:v>1</x:v>
      </x:c>
      <x:c r="AW117" t="n">
        <x:v>0.4788255587455312</x:v>
      </x:c>
      <x:c r="AX117" t="n">
        <x:v>0.008117153977440839</x:v>
      </x:c>
      <x:c r="AY117" t="n">
        <x:v>0.1849920784550508</x:v>
      </x:c>
      <x:c r="AZ117" t="n">
        <x:v>0.8068605531676712</x:v>
      </x:c>
    </x:row>
    <x:row r="118">
      <x:c r="A118" t="str">
        <x:v>325Hz-1</x:v>
      </x:c>
      <x:c r="B118" t="n">
        <x:v>325</x:v>
      </x:c>
      <x:c r="C118" t="n">
        <x:v>1</x:v>
      </x:c>
      <x:c r="D118" t="n">
        <x:v>7</x:v>
      </x:c>
      <x:c r="E118" t="n">
        <x:v>1</x:v>
      </x:c>
      <x:c r="F118" t="n">
        <x:v>325</x:v>
      </x:c>
      <x:c r="G118" t="n">
        <x:v>17</x:v>
      </x:c>
      <x:c r="H118" t="n">
        <x:v>234.0537</x:v>
      </x:c>
      <x:c r="I118" t="n">
        <x:v>0.65146</x:v>
      </x:c>
      <x:c r="J118" t="n">
        <x:v>25.98</x:v>
      </x:c>
      <x:c r="K118" t="n">
        <x:v>325.00671</x:v>
      </x:c>
      <x:c r="L118" t="n">
        <x:v>2.40476</x:v>
      </x:c>
      <x:c r="M118" t="n">
        <x:v>32.47</x:v>
      </x:c>
      <x:c r="N118" t="n">
        <x:v>325.00048</x:v>
      </x:c>
      <x:c r="O118" t="n">
        <x:v>5.70993</x:v>
      </x:c>
      <x:c r="P118" t="n">
        <x:v>39.4</x:v>
      </x:c>
      <x:c r="Q118" t="n">
        <x:v>324.99917</x:v>
      </x:c>
      <x:c r="R118" t="n">
        <x:v>0.54504</x:v>
      </x:c>
      <x:c r="S118" t="n">
        <x:v>325.00671</x:v>
      </x:c>
      <x:c r="T118" t="n">
        <x:v>2.40476</x:v>
      </x:c>
      <x:c r="U118" t="n">
        <x:v>325.00048</x:v>
      </x:c>
      <x:c r="V118" t="n">
        <x:v>5.70993</x:v>
      </x:c>
      <x:c r="W118" t="n">
        <x:v>325.0014</x:v>
      </x:c>
      <x:c r="X118" t="n">
        <x:v>0.0014</x:v>
      </x:c>
      <x:c r="Y118" t="n">
        <x:v>0.54504</x:v>
      </x:c>
      <x:c r="Z118" t="n">
        <x:v>2.40476</x:v>
      </x:c>
      <x:c r="AA118" t="n">
        <x:v>5.70993</x:v>
      </x:c>
      <x:c r="AB118" t="n">
        <x:v>6.21959</x:v>
      </x:c>
      <x:c r="AC118" t="n">
        <x:v>38.75</x:v>
      </x:c>
      <x:c r="AD118" t="str">
        <x:v>Z</x:v>
      </x:c>
      <x:c r="AE118" t="n">
        <x:v>0.54061</x:v>
      </x:c>
      <x:c r="AF118" t="n">
        <x:v>9.21</x:v>
      </x:c>
      <x:c r="AG118" t="n">
        <x:v>0.44</x:v>
      </x:c>
      <x:c r="AH118" t="n">
        <x:v>2.27</x:v>
      </x:c>
      <x:c r="AI118" t="n">
        <x:v>2.42512</x:v>
      </x:c>
      <x:c r="AJ118" t="n">
        <x:v>-84.03</x:v>
      </x:c>
      <x:c r="AK118" t="n">
        <x:v>0.81</x:v>
      </x:c>
      <x:c r="AL118" t="n">
        <x:v>1.13</x:v>
      </x:c>
      <x:c r="AM118" t="n">
        <x:v>5.70187</x:v>
      </x:c>
      <x:c r="AN118" t="n">
        <x:v>-23.45</x:v>
      </x:c>
      <x:c r="AO118" t="n">
        <x:v>0.925</x:v>
      </x:c>
      <x:c r="AP118" t="n">
        <x:v>0.43</x:v>
      </x:c>
      <x:c r="AQ118" t="n">
        <x:v>6.21978</x:v>
      </x:c>
      <x:c r="AR118" t="n">
        <x:v>0.34</x:v>
      </x:c>
      <x:c r="AS118" t="n">
        <x:v>0.0869</x:v>
      </x:c>
      <x:c r="AT118" t="n">
        <x:v>0.3899</x:v>
      </x:c>
      <x:c r="AU118" t="n">
        <x:v>0.9167</x:v>
      </x:c>
      <x:c r="AV118" t="n">
        <x:v>1</x:v>
      </x:c>
      <x:c r="AW118" t="n">
        <x:v>0.4253201142782982</x:v>
      </x:c>
      <x:c r="AX118" t="n">
        <x:v>0.007554715301723243</x:v>
      </x:c>
      <x:c r="AY118" t="n">
        <x:v>0.15202549266473392</x:v>
      </x:c>
      <x:c r="AZ118" t="n">
        <x:v>0.8403971592304194</x:v>
      </x:c>
    </x:row>
    <x:row r="119">
      <x:c r="A119" t="str">
        <x:v>325Hz-1</x:v>
      </x:c>
      <x:c r="B119" t="n">
        <x:v>325</x:v>
      </x:c>
      <x:c r="C119" t="n">
        <x:v>1</x:v>
      </x:c>
      <x:c r="D119" t="n">
        <x:v>8</x:v>
      </x:c>
      <x:c r="E119" t="n">
        <x:v>1</x:v>
      </x:c>
      <x:c r="F119" t="n">
        <x:v>325</x:v>
      </x:c>
      <x:c r="G119" t="n">
        <x:v>18</x:v>
      </x:c>
      <x:c r="H119" t="n">
        <x:v>325.00224</x:v>
      </x:c>
      <x:c r="I119" t="n">
        <x:v>0.58376</x:v>
      </x:c>
      <x:c r="J119" t="n">
        <x:v>25.14</x:v>
      </x:c>
      <x:c r="K119" t="n">
        <x:v>324.99964</x:v>
      </x:c>
      <x:c r="L119" t="n">
        <x:v>2.39552</x:v>
      </x:c>
      <x:c r="M119" t="n">
        <x:v>33.16</x:v>
      </x:c>
      <x:c r="N119" t="n">
        <x:v>325.00202</x:v>
      </x:c>
      <x:c r="O119" t="n">
        <x:v>6.33675</x:v>
      </x:c>
      <x:c r="P119" t="n">
        <x:v>39.79</x:v>
      </x:c>
      <x:c r="Q119" t="n">
        <x:v>325.00224</x:v>
      </x:c>
      <x:c r="R119" t="n">
        <x:v>0.58376</x:v>
      </x:c>
      <x:c r="S119" t="n">
        <x:v>324.99964</x:v>
      </x:c>
      <x:c r="T119" t="n">
        <x:v>2.39552</x:v>
      </x:c>
      <x:c r="U119" t="n">
        <x:v>325.00202</x:v>
      </x:c>
      <x:c r="V119" t="n">
        <x:v>6.33675</x:v>
      </x:c>
      <x:c r="W119" t="n">
        <x:v>325.00173</x:v>
      </x:c>
      <x:c r="X119" t="n">
        <x:v>0.00173</x:v>
      </x:c>
      <x:c r="Y119" t="n">
        <x:v>0.58376</x:v>
      </x:c>
      <x:c r="Z119" t="n">
        <x:v>2.39552</x:v>
      </x:c>
      <x:c r="AA119" t="n">
        <x:v>6.33675</x:v>
      </x:c>
      <x:c r="AB119" t="n">
        <x:v>6.79954</x:v>
      </x:c>
      <x:c r="AC119" t="n">
        <x:v>40.93</x:v>
      </x:c>
      <x:c r="AD119" t="str">
        <x:v>Z</x:v>
      </x:c>
      <x:c r="AE119" t="n">
        <x:v>0.58345</x:v>
      </x:c>
      <x:c r="AF119" t="n">
        <x:v>9.51</x:v>
      </x:c>
      <x:c r="AG119" t="n">
        <x:v>0.503</x:v>
      </x:c>
      <x:c r="AH119" t="n">
        <x:v>3.79</x:v>
      </x:c>
      <x:c r="AI119" t="n">
        <x:v>2.35548</x:v>
      </x:c>
      <x:c r="AJ119" t="n">
        <x:v>-83.43</x:v>
      </x:c>
      <x:c r="AK119" t="n">
        <x:v>0.809</x:v>
      </x:c>
      <x:c r="AL119" t="n">
        <x:v>1.09</x:v>
      </x:c>
      <x:c r="AM119" t="n">
        <x:v>6.35304</x:v>
      </x:c>
      <x:c r="AN119" t="n">
        <x:v>-22.93</x:v>
      </x:c>
      <x:c r="AO119" t="n">
        <x:v>0.925</x:v>
      </x:c>
      <x:c r="AP119" t="n">
        <x:v>0.25</x:v>
      </x:c>
      <x:c r="AQ119" t="n">
        <x:v>6.80078</x:v>
      </x:c>
      <x:c r="AR119" t="n">
        <x:v>0.3</x:v>
      </x:c>
      <x:c r="AS119" t="n">
        <x:v>0.0858</x:v>
      </x:c>
      <x:c r="AT119" t="n">
        <x:v>0.3464</x:v>
      </x:c>
      <x:c r="AU119" t="n">
        <x:v>0.9342</x:v>
      </x:c>
      <x:c r="AV119" t="n">
        <x:v>1</x:v>
      </x:c>
      <x:c r="AW119" t="n">
        <x:v>0.37076423255638247</x:v>
      </x:c>
      <x:c r="AX119" t="n">
        <x:v>0.007360203740933571</x:v>
      </x:c>
      <x:c r="AY119" t="n">
        <x:v>0.11996136261420623</x:v>
      </x:c>
      <x:c r="AZ119" t="n">
        <x:v>0.8726613217857127</x:v>
      </x:c>
    </x:row>
    <x:row r="120">
      <x:c r="A120" t="str">
        <x:v>325Hz-1</x:v>
      </x:c>
      <x:c r="B120" t="n">
        <x:v>325</x:v>
      </x:c>
      <x:c r="C120" t="n">
        <x:v>1</x:v>
      </x:c>
      <x:c r="D120" t="n">
        <x:v>9</x:v>
      </x:c>
      <x:c r="E120" t="n">
        <x:v>1</x:v>
      </x:c>
      <x:c r="F120" t="n">
        <x:v>325</x:v>
      </x:c>
      <x:c r="G120" t="n">
        <x:v>19</x:v>
      </x:c>
      <x:c r="H120" t="n">
        <x:v>324.99586</x:v>
      </x:c>
      <x:c r="I120" t="n">
        <x:v>0.63201</x:v>
      </x:c>
      <x:c r="J120" t="n">
        <x:v>25.04</x:v>
      </x:c>
      <x:c r="K120" t="n">
        <x:v>324.9994</x:v>
      </x:c>
      <x:c r="L120" t="n">
        <x:v>2.31508</x:v>
      </x:c>
      <x:c r="M120" t="n">
        <x:v>32.61</x:v>
      </x:c>
      <x:c r="N120" t="n">
        <x:v>324.9997</x:v>
      </x:c>
      <x:c r="O120" t="n">
        <x:v>7.09007</x:v>
      </x:c>
      <x:c r="P120" t="n">
        <x:v>39.48</x:v>
      </x:c>
      <x:c r="Q120" t="n">
        <x:v>324.99586</x:v>
      </x:c>
      <x:c r="R120" t="n">
        <x:v>0.63201</x:v>
      </x:c>
      <x:c r="S120" t="n">
        <x:v>324.9994</x:v>
      </x:c>
      <x:c r="T120" t="n">
        <x:v>2.31508</x:v>
      </x:c>
      <x:c r="U120" t="n">
        <x:v>324.9997</x:v>
      </x:c>
      <x:c r="V120" t="n">
        <x:v>7.09007</x:v>
      </x:c>
      <x:c r="W120" t="n">
        <x:v>324.99964</x:v>
      </x:c>
      <x:c r="X120" t="n">
        <x:v>-0.00036</x:v>
      </x:c>
      <x:c r="Y120" t="n">
        <x:v>0.63201</x:v>
      </x:c>
      <x:c r="Z120" t="n">
        <x:v>2.31508</x:v>
      </x:c>
      <x:c r="AA120" t="n">
        <x:v>7.09007</x:v>
      </x:c>
      <x:c r="AB120" t="n">
        <x:v>7.48519</x:v>
      </x:c>
      <x:c r="AC120" t="n">
        <x:v>42.62</x:v>
      </x:c>
      <x:c r="AD120" t="str">
        <x:v>Z</x:v>
      </x:c>
      <x:c r="AE120" t="n">
        <x:v>0.63702</x:v>
      </x:c>
      <x:c r="AF120" t="n">
        <x:v>7.14</x:v>
      </x:c>
      <x:c r="AG120" t="n">
        <x:v>0.482</x:v>
      </x:c>
      <x:c r="AH120" t="n">
        <x:v>3.9</x:v>
      </x:c>
      <x:c r="AI120" t="n">
        <x:v>2.25758</x:v>
      </x:c>
      <x:c r="AJ120" t="n">
        <x:v>-80.84</x:v>
      </x:c>
      <x:c r="AK120" t="n">
        <x:v>0.805</x:v>
      </x:c>
      <x:c r="AL120" t="n">
        <x:v>1.16</x:v>
      </x:c>
      <x:c r="AM120" t="n">
        <x:v>7.22021</x:v>
      </x:c>
      <x:c r="AN120" t="n">
        <x:v>-22.84</x:v>
      </x:c>
      <x:c r="AO120" t="n">
        <x:v>0.923</x:v>
      </x:c>
      <x:c r="AP120" t="n">
        <x:v>0.87</x:v>
      </x:c>
      <x:c r="AQ120" t="n">
        <x:v>7.59181</x:v>
      </x:c>
      <x:c r="AR120" t="n">
        <x:v>0.75</x:v>
      </x:c>
      <x:c r="AS120" t="n">
        <x:v>0.0839</x:v>
      </x:c>
      <x:c r="AT120" t="n">
        <x:v>0.2974</x:v>
      </x:c>
      <x:c r="AU120" t="n">
        <x:v>0.9511</x:v>
      </x:c>
      <x:c r="AV120" t="n">
        <x:v>1</x:v>
      </x:c>
      <x:c r="AW120" t="n">
        <x:v>0.31267511609773124</x:v>
      </x:c>
      <x:c r="AX120" t="n">
        <x:v>0.007040694080026563</x:v>
      </x:c>
      <x:c r="AY120" t="n">
        <x:v>0.08842918797901794</x:v>
      </x:c>
      <x:c r="AZ120" t="n">
        <x:v>0.9045008878156232</x:v>
      </x:c>
    </x:row>
    <x:row r="121">
      <x:c r="A121" t="str">
        <x:v>325Hz-1</x:v>
      </x:c>
      <x:c r="B121" t="n">
        <x:v>325</x:v>
      </x:c>
      <x:c r="C121" t="n">
        <x:v>1</x:v>
      </x:c>
      <x:c r="D121" t="n">
        <x:v>10</x:v>
      </x:c>
      <x:c r="E121" t="n">
        <x:v>1</x:v>
      </x:c>
      <x:c r="F121" t="n">
        <x:v>325</x:v>
      </x:c>
      <x:c r="G121" t="n">
        <x:v>20</x:v>
      </x:c>
      <x:c r="H121" t="n">
        <x:v>233.845</x:v>
      </x:c>
      <x:c r="I121" t="n">
        <x:v>0.77796</x:v>
      </x:c>
      <x:c r="J121" t="n">
        <x:v>26.7</x:v>
      </x:c>
      <x:c r="K121" t="n">
        <x:v>325.00387</x:v>
      </x:c>
      <x:c r="L121" t="n">
        <x:v>2.2071</x:v>
      </x:c>
      <x:c r="M121" t="n">
        <x:v>31.93</x:v>
      </x:c>
      <x:c r="N121" t="n">
        <x:v>324.99988</x:v>
      </x:c>
      <x:c r="O121" t="n">
        <x:v>7.9702</x:v>
      </x:c>
      <x:c r="P121" t="n">
        <x:v>39.94</x:v>
      </x:c>
      <x:c r="Q121" t="n">
        <x:v>324.99073</x:v>
      </x:c>
      <x:c r="R121" t="n">
        <x:v>0.67056</x:v>
      </x:c>
      <x:c r="S121" t="n">
        <x:v>325.00387</x:v>
      </x:c>
      <x:c r="T121" t="n">
        <x:v>2.2071</x:v>
      </x:c>
      <x:c r="U121" t="n">
        <x:v>324.99988</x:v>
      </x:c>
      <x:c r="V121" t="n">
        <x:v>7.9702</x:v>
      </x:c>
      <x:c r="W121" t="n">
        <x:v>325.0001</x:v>
      </x:c>
      <x:c r="X121" t="n">
        <x:v>0.0001</x:v>
      </x:c>
      <x:c r="Y121" t="n">
        <x:v>0.67056</x:v>
      </x:c>
      <x:c r="Z121" t="n">
        <x:v>2.2071</x:v>
      </x:c>
      <x:c r="AA121" t="n">
        <x:v>7.9702</x:v>
      </x:c>
      <x:c r="AB121" t="n">
        <x:v>8.29729</x:v>
      </x:c>
      <x:c r="AC121" t="n">
        <x:v>44.19</x:v>
      </x:c>
      <x:c r="AD121" t="str">
        <x:v>Z</x:v>
      </x:c>
      <x:c r="AE121" t="n">
        <x:v>0.68272</x:v>
      </x:c>
      <x:c r="AF121" t="n">
        <x:v>7.14</x:v>
      </x:c>
      <x:c r="AG121" t="n">
        <x:v>0.455</x:v>
      </x:c>
      <x:c r="AH121" t="n">
        <x:v>3.27</x:v>
      </x:c>
      <x:c r="AI121" t="n">
        <x:v>2.15969</x:v>
      </x:c>
      <x:c r="AJ121" t="n">
        <x:v>-78.91</x:v>
      </x:c>
      <x:c r="AK121" t="n">
        <x:v>0.775</x:v>
      </x:c>
      <x:c r="AL121" t="n">
        <x:v>0.84</x:v>
      </x:c>
      <x:c r="AM121" t="n">
        <x:v>8.09895</x:v>
      </x:c>
      <x:c r="AN121" t="n">
        <x:v>-23.02</x:v>
      </x:c>
      <x:c r="AO121" t="n">
        <x:v>0.926</x:v>
      </x:c>
      <x:c r="AP121" t="n">
        <x:v>0.79</x:v>
      </x:c>
      <x:c r="AQ121" t="n">
        <x:v>8.40979</x:v>
      </x:c>
      <x:c r="AR121" t="n">
        <x:v>0.71</x:v>
      </x:c>
      <x:c r="AS121" t="n">
        <x:v>0.0812</x:v>
      </x:c>
      <x:c r="AT121" t="n">
        <x:v>0.2568</x:v>
      </x:c>
      <x:c r="AU121" t="n">
        <x:v>0.963</x:v>
      </x:c>
      <x:c r="AV121" t="n">
        <x:v>1</x:v>
      </x:c>
      <x:c r="AW121" t="n">
        <x:v>0.266662962482791</x:v>
      </x:c>
      <x:c r="AX121" t="n">
        <x:v>0.006590448165444447</x:v>
      </x:c>
      <x:c r="AY121" t="n">
        <x:v>0.06594965566112121</x:v>
      </x:c>
      <x:c r="AZ121" t="n">
        <x:v>0.9274427981955062</x:v>
      </x:c>
    </x:row>
    <x:row r="122">
      <x:c r="A122" t="str">
        <x:v>225Hz-2</x:v>
      </x:c>
      <x:c r="B122" t="n">
        <x:v>225</x:v>
      </x:c>
      <x:c r="C122" t="n">
        <x:v>2</x:v>
      </x:c>
      <x:c r="D122" t="n">
        <x:v>1</x:v>
      </x:c>
      <x:c r="E122" t="n">
        <x:v>1</x:v>
      </x:c>
      <x:c r="F122" t="n">
        <x:v>225</x:v>
      </x:c>
      <x:c r="G122" t="n">
        <x:v>11</x:v>
      </x:c>
      <x:c r="H122" t="n">
        <x:v>234.30842</x:v>
      </x:c>
      <x:c r="I122" t="n">
        <x:v>0.38596</x:v>
      </x:c>
      <x:c r="J122" t="n">
        <x:v>24.01</x:v>
      </x:c>
      <x:c r="K122" t="n">
        <x:v>224.98331</x:v>
      </x:c>
      <x:c r="L122" t="n">
        <x:v>0.49349</x:v>
      </x:c>
      <x:c r="M122" t="n">
        <x:v>22.93</x:v>
      </x:c>
      <x:c r="N122" t="n">
        <x:v>224.99866</x:v>
      </x:c>
      <x:c r="O122" t="n">
        <x:v>0.51564</x:v>
      </x:c>
      <x:c r="P122" t="n">
        <x:v>28.5</x:v>
      </x:c>
      <x:c r="Q122" t="n">
        <x:v>232.03125</x:v>
      </x:c>
      <x:c r="R122" t="n">
        <x:v>0.18672</x:v>
      </x:c>
      <x:c r="S122" t="n">
        <x:v>224.98331</x:v>
      </x:c>
      <x:c r="T122" t="n">
        <x:v>0.49349</x:v>
      </x:c>
      <x:c r="U122" t="n">
        <x:v>224.99866</x:v>
      </x:c>
      <x:c r="V122" t="n">
        <x:v>0.51564</x:v>
      </x:c>
      <x:c r="W122" t="n">
        <x:v>224.9913</x:v>
      </x:c>
      <x:c r="X122" t="n">
        <x:v>-0.0087</x:v>
      </x:c>
      <x:c r="Y122" t="n">
        <x:v>0.04698</x:v>
      </x:c>
      <x:c r="Z122" t="n">
        <x:v>0.49349</x:v>
      </x:c>
      <x:c r="AA122" t="n">
        <x:v>0.51564</x:v>
      </x:c>
      <x:c r="AB122" t="n">
        <x:v>0.71528</x:v>
      </x:c>
      <x:c r="AC122" t="n">
        <x:v>18.52</x:v>
      </x:c>
      <x:c r="AD122" t="str">
        <x:v>Z</x:v>
      </x:c>
      <x:c r="AE122" t="n">
        <x:v>0.05128</x:v>
      </x:c>
      <x:c r="AF122" t="n">
        <x:v>32.84</x:v>
      </x:c>
      <x:c r="AG122" t="n">
        <x:v>0.067</x:v>
      </x:c>
      <x:c r="AH122" t="n">
        <x:v>12.94</x:v>
      </x:c>
      <x:c r="AI122" t="n">
        <x:v>0.47313</x:v>
      </x:c>
      <x:c r="AJ122" t="n">
        <x:v>20.38</x:v>
      </x:c>
      <x:c r="AK122" t="n">
        <x:v>0.441</x:v>
      </x:c>
      <x:c r="AL122" t="n">
        <x:v>4.24</x:v>
      </x:c>
      <x:c r="AM122" t="n">
        <x:v>0.4885</x:v>
      </x:c>
      <x:c r="AN122" t="n">
        <x:v>24.35</x:v>
      </x:c>
      <x:c r="AO122" t="n">
        <x:v>0.726</x:v>
      </x:c>
      <x:c r="AP122" t="n">
        <x:v>5.21</x:v>
      </x:c>
      <x:c r="AQ122" t="n">
        <x:v>0.6823</x:v>
      </x:c>
      <x:c r="AR122" t="n">
        <x:v>3.48</x:v>
      </x:c>
      <x:c r="AS122" t="n">
        <x:v>0.0752</x:v>
      </x:c>
      <x:c r="AT122" t="n">
        <x:v>0.6934</x:v>
      </x:c>
      <x:c r="AU122" t="n">
        <x:v>0.716</x:v>
      </x:c>
      <x:c r="AV122" t="n">
        <x:v>1</x:v>
      </x:c>
      <x:c r="AW122" t="n">
        <x:v>0.9685363357215967</x:v>
      </x:c>
      <x:c r="AX122" t="n">
        <x:v>0.005648658122816522</x:v>
      </x:c>
      <x:c r="AY122" t="n">
        <x:v>0.48085067536201326</x:v>
      </x:c>
      <x:c r="AZ122" t="n">
        <x:v>0.5125997541443276</x:v>
      </x:c>
    </x:row>
    <x:row r="123">
      <x:c r="A123" t="str">
        <x:v>225Hz-2</x:v>
      </x:c>
      <x:c r="B123" t="n">
        <x:v>225</x:v>
      </x:c>
      <x:c r="C123" t="n">
        <x:v>2</x:v>
      </x:c>
      <x:c r="D123" t="n">
        <x:v>2</x:v>
      </x:c>
      <x:c r="E123" t="n">
        <x:v>1</x:v>
      </x:c>
      <x:c r="F123" t="n">
        <x:v>225</x:v>
      </x:c>
      <x:c r="G123" t="n">
        <x:v>12</x:v>
      </x:c>
      <x:c r="H123" t="n">
        <x:v>234.19286</x:v>
      </x:c>
      <x:c r="I123" t="n">
        <x:v>0.3348</x:v>
      </x:c>
      <x:c r="J123" t="n">
        <x:v>22.78</x:v>
      </x:c>
      <x:c r="K123" t="n">
        <x:v>224.99181</x:v>
      </x:c>
      <x:c r="L123" t="n">
        <x:v>0.51519</x:v>
      </x:c>
      <x:c r="M123" t="n">
        <x:v>23.07</x:v>
      </x:c>
      <x:c r="N123" t="n">
        <x:v>225.0065</x:v>
      </x:c>
      <x:c r="O123" t="n">
        <x:v>0.54762</x:v>
      </x:c>
      <x:c r="P123" t="n">
        <x:v>29.63</x:v>
      </x:c>
      <x:c r="Q123" t="n">
        <x:v>233.59375</x:v>
      </x:c>
      <x:c r="R123" t="n">
        <x:v>0.19653</x:v>
      </x:c>
      <x:c r="S123" t="n">
        <x:v>224.99181</x:v>
      </x:c>
      <x:c r="T123" t="n">
        <x:v>0.51519</x:v>
      </x:c>
      <x:c r="U123" t="n">
        <x:v>225.0065</x:v>
      </x:c>
      <x:c r="V123" t="n">
        <x:v>0.54762</x:v>
      </x:c>
      <x:c r="W123" t="n">
        <x:v>224.99987</x:v>
      </x:c>
      <x:c r="X123" t="n">
        <x:v>-0.00013</x:v>
      </x:c>
      <x:c r="Y123" t="n">
        <x:v>0.04902</x:v>
      </x:c>
      <x:c r="Z123" t="n">
        <x:v>0.51519</x:v>
      </x:c>
      <x:c r="AA123" t="n">
        <x:v>0.54762</x:v>
      </x:c>
      <x:c r="AB123" t="n">
        <x:v>0.75347</x:v>
      </x:c>
      <x:c r="AC123" t="n">
        <x:v>18.03</x:v>
      </x:c>
      <x:c r="AD123" t="str">
        <x:v>Z</x:v>
      </x:c>
      <x:c r="AE123" t="n">
        <x:v>0.04904</x:v>
      </x:c>
      <x:c r="AF123" t="n">
        <x:v>24.21</x:v>
      </x:c>
      <x:c r="AG123" t="n">
        <x:v>0.064</x:v>
      </x:c>
      <x:c r="AH123" t="n">
        <x:v>21.68</x:v>
      </x:c>
      <x:c r="AI123" t="n">
        <x:v>0.52446</x:v>
      </x:c>
      <x:c r="AJ123" t="n">
        <x:v>18.9</x:v>
      </x:c>
      <x:c r="AK123" t="n">
        <x:v>0.484</x:v>
      </x:c>
      <x:c r="AL123" t="n">
        <x:v>3.94</x:v>
      </x:c>
      <x:c r="AM123" t="n">
        <x:v>0.53412</x:v>
      </x:c>
      <x:c r="AN123" t="n">
        <x:v>22.17</x:v>
      </x:c>
      <x:c r="AO123" t="n">
        <x:v>0.746</x:v>
      </x:c>
      <x:c r="AP123" t="n">
        <x:v>3.08</x:v>
      </x:c>
      <x:c r="AQ123" t="n">
        <x:v>0.75047</x:v>
      </x:c>
      <x:c r="AR123" t="n">
        <x:v>2.13</x:v>
      </x:c>
      <x:c r="AS123" t="n">
        <x:v>0.0654</x:v>
      </x:c>
      <x:c r="AT123" t="n">
        <x:v>0.6989</x:v>
      </x:c>
      <x:c r="AU123" t="n">
        <x:v>0.7117</x:v>
      </x:c>
      <x:c r="AV123" t="n">
        <x:v>1</x:v>
      </x:c>
      <x:c r="AW123" t="n">
        <x:v>0.9819141765895304</x:v>
      </x:c>
      <x:c r="AX123" t="n">
        <x:v>0.004270062688973203</x:v>
      </x:c>
      <x:c r="AY123" t="n">
        <x:v>0.4883802233943391</x:v>
      </x:c>
      <x:c r="AZ123" t="n">
        <x:v>0.5065368072123283</x:v>
      </x:c>
    </x:row>
    <x:row r="124">
      <x:c r="A124" t="str">
        <x:v>225Hz-2</x:v>
      </x:c>
      <x:c r="B124" t="n">
        <x:v>225</x:v>
      </x:c>
      <x:c r="C124" t="n">
        <x:v>2</x:v>
      </x:c>
      <x:c r="D124" t="n">
        <x:v>3</x:v>
      </x:c>
      <x:c r="E124" t="n">
        <x:v>1</x:v>
      </x:c>
      <x:c r="F124" t="n">
        <x:v>225</x:v>
      </x:c>
      <x:c r="G124" t="n">
        <x:v>13</x:v>
      </x:c>
      <x:c r="H124" t="n">
        <x:v>234.18682</x:v>
      </x:c>
      <x:c r="I124" t="n">
        <x:v>0.38911</x:v>
      </x:c>
      <x:c r="J124" t="n">
        <x:v>23.87</x:v>
      </x:c>
      <x:c r="K124" t="n">
        <x:v>225.00342</x:v>
      </x:c>
      <x:c r="L124" t="n">
        <x:v>0.56478</x:v>
      </x:c>
      <x:c r="M124" t="n">
        <x:v>24.45</x:v>
      </x:c>
      <x:c r="N124" t="n">
        <x:v>224.98047</x:v>
      </x:c>
      <x:c r="O124" t="n">
        <x:v>0.59357</x:v>
      </x:c>
      <x:c r="P124" t="n">
        <x:v>30.18</x:v>
      </x:c>
      <x:c r="Q124" t="n">
        <x:v>233.59375</x:v>
      </x:c>
      <x:c r="R124" t="n">
        <x:v>0.22711</x:v>
      </x:c>
      <x:c r="S124" t="n">
        <x:v>225.00342</x:v>
      </x:c>
      <x:c r="T124" t="n">
        <x:v>0.56478</x:v>
      </x:c>
      <x:c r="U124" t="n">
        <x:v>224.98047</x:v>
      </x:c>
      <x:c r="V124" t="n">
        <x:v>0.59357</x:v>
      </x:c>
      <x:c r="W124" t="n">
        <x:v>224.99217</x:v>
      </x:c>
      <x:c r="X124" t="n">
        <x:v>-0.00783</x:v>
      </x:c>
      <x:c r="Y124" t="n">
        <x:v>0.05997</x:v>
      </x:c>
      <x:c r="Z124" t="n">
        <x:v>0.56478</x:v>
      </x:c>
      <x:c r="AA124" t="n">
        <x:v>0.59357</x:v>
      </x:c>
      <x:c r="AB124" t="n">
        <x:v>0.82152</x:v>
      </x:c>
      <x:c r="AC124" t="n">
        <x:v>19.07</x:v>
      </x:c>
      <x:c r="AD124" t="str">
        <x:v>Z</x:v>
      </x:c>
      <x:c r="AE124" t="n">
        <x:v>0.05631</x:v>
      </x:c>
      <x:c r="AF124" t="n">
        <x:v>18.66</x:v>
      </x:c>
      <x:c r="AG124" t="n">
        <x:v>0.07</x:v>
      </x:c>
      <x:c r="AH124" t="n">
        <x:v>14.34</x:v>
      </x:c>
      <x:c r="AI124" t="n">
        <x:v>0.56105</x:v>
      </x:c>
      <x:c r="AJ124" t="n">
        <x:v>20.93</x:v>
      </x:c>
      <x:c r="AK124" t="n">
        <x:v>0.509</x:v>
      </x:c>
      <x:c r="AL124" t="n">
        <x:v>1.88</x:v>
      </x:c>
      <x:c r="AM124" t="n">
        <x:v>0.58327</x:v>
      </x:c>
      <x:c r="AN124" t="n">
        <x:v>25.03</x:v>
      </x:c>
      <x:c r="AO124" t="n">
        <x:v>0.781</x:v>
      </x:c>
      <x:c r="AP124" t="n">
        <x:v>3.88</x:v>
      </x:c>
      <x:c r="AQ124" t="n">
        <x:v>0.81141</x:v>
      </x:c>
      <x:c r="AR124" t="n">
        <x:v>2.43</x:v>
      </x:c>
      <x:c r="AS124" t="n">
        <x:v>0.0694</x:v>
      </x:c>
      <x:c r="AT124" t="n">
        <x:v>0.6915</x:v>
      </x:c>
      <x:c r="AU124" t="n">
        <x:v>0.7188</x:v>
      </x:c>
      <x:c r="AV124" t="n">
        <x:v>1</x:v>
      </x:c>
      <x:c r="AW124" t="n">
        <x:v>0.9619044353386941</x:v>
      </x:c>
      <x:c r="AX124" t="n">
        <x:v>0.0048160428595115</x:v>
      </x:c>
      <x:c r="AY124" t="n">
        <x:v>0.4781040492486603</x:v>
      </x:c>
      <x:c r="AZ124" t="n">
        <x:v>0.5167239213838545</x:v>
      </x:c>
    </x:row>
    <x:row r="125">
      <x:c r="A125" t="str">
        <x:v>225Hz-2</x:v>
      </x:c>
      <x:c r="B125" t="n">
        <x:v>225</x:v>
      </x:c>
      <x:c r="C125" t="n">
        <x:v>2</x:v>
      </x:c>
      <x:c r="D125" t="n">
        <x:v>4</x:v>
      </x:c>
      <x:c r="E125" t="n">
        <x:v>1</x:v>
      </x:c>
      <x:c r="F125" t="n">
        <x:v>225</x:v>
      </x:c>
      <x:c r="G125" t="n">
        <x:v>14</x:v>
      </x:c>
      <x:c r="H125" t="n">
        <x:v>234.19316</x:v>
      </x:c>
      <x:c r="I125" t="n">
        <x:v>0.30355</x:v>
      </x:c>
      <x:c r="J125" t="n">
        <x:v>21.4</x:v>
      </x:c>
      <x:c r="K125" t="n">
        <x:v>225.00136</x:v>
      </x:c>
      <x:c r="L125" t="n">
        <x:v>0.61774</x:v>
      </x:c>
      <x:c r="M125" t="n">
        <x:v>25.47</x:v>
      </x:c>
      <x:c r="N125" t="n">
        <x:v>224.99703</x:v>
      </x:c>
      <x:c r="O125" t="n">
        <x:v>0.6393</x:v>
      </x:c>
      <x:c r="P125" t="n">
        <x:v>30.37</x:v>
      </x:c>
      <x:c r="Q125" t="n">
        <x:v>233.59375</x:v>
      </x:c>
      <x:c r="R125" t="n">
        <x:v>0.1724</x:v>
      </x:c>
      <x:c r="S125" t="n">
        <x:v>225.00136</x:v>
      </x:c>
      <x:c r="T125" t="n">
        <x:v>0.61774</x:v>
      </x:c>
      <x:c r="U125" t="n">
        <x:v>224.99703</x:v>
      </x:c>
      <x:c r="V125" t="n">
        <x:v>0.6393</x:v>
      </x:c>
      <x:c r="W125" t="n">
        <x:v>224.99854</x:v>
      </x:c>
      <x:c r="X125" t="n">
        <x:v>-0.00146</x:v>
      </x:c>
      <x:c r="Y125" t="n">
        <x:v>0.05748</x:v>
      </x:c>
      <x:c r="Z125" t="n">
        <x:v>0.61774</x:v>
      </x:c>
      <x:c r="AA125" t="n">
        <x:v>0.6393</x:v>
      </x:c>
      <x:c r="AB125" t="n">
        <x:v>0.89085</x:v>
      </x:c>
      <x:c r="AC125" t="n">
        <x:v>20.55</x:v>
      </x:c>
      <x:c r="AD125" t="str">
        <x:v>Z</x:v>
      </x:c>
      <x:c r="AE125" t="n">
        <x:v>0.06809</x:v>
      </x:c>
      <x:c r="AF125" t="n">
        <x:v>22.97</x:v>
      </x:c>
      <x:c r="AG125" t="n">
        <x:v>0.089</x:v>
      </x:c>
      <x:c r="AH125" t="n">
        <x:v>16.12</x:v>
      </x:c>
      <x:c r="AI125" t="n">
        <x:v>0.62062</x:v>
      </x:c>
      <x:c r="AJ125" t="n">
        <x:v>18.28</x:v>
      </x:c>
      <x:c r="AK125" t="n">
        <x:v>0.572</x:v>
      </x:c>
      <x:c r="AL125" t="n">
        <x:v>1.06</x:v>
      </x:c>
      <x:c r="AM125" t="n">
        <x:v>0.64721</x:v>
      </x:c>
      <x:c r="AN125" t="n">
        <x:v>24.23</x:v>
      </x:c>
      <x:c r="AO125" t="n">
        <x:v>0.817</x:v>
      </x:c>
      <x:c r="AP125" t="n">
        <x:v>3.23</x:v>
      </x:c>
      <x:c r="AQ125" t="n">
        <x:v>0.89941</x:v>
      </x:c>
      <x:c r="AR125" t="n">
        <x:v>1.93</x:v>
      </x:c>
      <x:c r="AS125" t="n">
        <x:v>0.0757</x:v>
      </x:c>
      <x:c r="AT125" t="n">
        <x:v>0.69</x:v>
      </x:c>
      <x:c r="AU125" t="n">
        <x:v>0.7196</x:v>
      </x:c>
      <x:c r="AV125" t="n">
        <x:v>1</x:v>
      </x:c>
      <x:c r="AW125" t="n">
        <x:v>0.958915962361521</x:v>
      </x:c>
      <x:c r="AX125" t="n">
        <x:v>0.005731274961669726</x:v>
      </x:c>
      <x:c r="AY125" t="n">
        <x:v>0.47614158149959</x:v>
      </x:c>
      <x:c r="AZ125" t="n">
        <x:v>0.5178154615661988</x:v>
      </x:c>
    </x:row>
    <x:row r="126">
      <x:c r="A126" t="str">
        <x:v>225Hz-2</x:v>
      </x:c>
      <x:c r="B126" t="n">
        <x:v>225</x:v>
      </x:c>
      <x:c r="C126" t="n">
        <x:v>2</x:v>
      </x:c>
      <x:c r="D126" t="n">
        <x:v>5</x:v>
      </x:c>
      <x:c r="E126" t="n">
        <x:v>1</x:v>
      </x:c>
      <x:c r="F126" t="n">
        <x:v>225</x:v>
      </x:c>
      <x:c r="G126" t="n">
        <x:v>15</x:v>
      </x:c>
      <x:c r="H126" t="n">
        <x:v>333.95538</x:v>
      </x:c>
      <x:c r="I126" t="n">
        <x:v>0.26422</x:v>
      </x:c>
      <x:c r="J126" t="n">
        <x:v>20.4</x:v>
      </x:c>
      <x:c r="K126" t="n">
        <x:v>225.00027</x:v>
      </x:c>
      <x:c r="L126" t="n">
        <x:v>0.65282</x:v>
      </x:c>
      <x:c r="M126" t="n">
        <x:v>25.5</x:v>
      </x:c>
      <x:c r="N126" t="n">
        <x:v>224.99302</x:v>
      </x:c>
      <x:c r="O126" t="n">
        <x:v>0.70029</x:v>
      </x:c>
      <x:c r="P126" t="n">
        <x:v>31.18</x:v>
      </x:c>
      <x:c r="Q126" t="n">
        <x:v>233.59375</x:v>
      </x:c>
      <x:c r="R126" t="n">
        <x:v>0.20262</x:v>
      </x:c>
      <x:c r="S126" t="n">
        <x:v>225.00027</x:v>
      </x:c>
      <x:c r="T126" t="n">
        <x:v>0.65282</x:v>
      </x:c>
      <x:c r="U126" t="n">
        <x:v>224.99302</x:v>
      </x:c>
      <x:c r="V126" t="n">
        <x:v>0.70029</x:v>
      </x:c>
      <x:c r="W126" t="n">
        <x:v>224.99623</x:v>
      </x:c>
      <x:c r="X126" t="n">
        <x:v>-0.00377</x:v>
      </x:c>
      <x:c r="Y126" t="n">
        <x:v>0.05755</x:v>
      </x:c>
      <x:c r="Z126" t="n">
        <x:v>0.65282</x:v>
      </x:c>
      <x:c r="AA126" t="n">
        <x:v>0.70029</x:v>
      </x:c>
      <x:c r="AB126" t="n">
        <x:v>0.95911</x:v>
      </x:c>
      <x:c r="AC126" t="n">
        <x:v>19.47</x:v>
      </x:c>
      <x:c r="AD126" t="str">
        <x:v>Z</x:v>
      </x:c>
      <x:c r="AE126" t="n">
        <x:v>0.06403</x:v>
      </x:c>
      <x:c r="AF126" t="n">
        <x:v>9.28</x:v>
      </x:c>
      <x:c r="AG126" t="n">
        <x:v>0.082</x:v>
      </x:c>
      <x:c r="AH126" t="n">
        <x:v>27.94</x:v>
      </x:c>
      <x:c r="AI126" t="n">
        <x:v>0.66622</x:v>
      </x:c>
      <x:c r="AJ126" t="n">
        <x:v>18.18</x:v>
      </x:c>
      <x:c r="AK126" t="n">
        <x:v>0.586</x:v>
      </x:c>
      <x:c r="AL126" t="n">
        <x:v>4.37</x:v>
      </x:c>
      <x:c r="AM126" t="n">
        <x:v>0.69821</x:v>
      </x:c>
      <x:c r="AN126" t="n">
        <x:v>23.94</x:v>
      </x:c>
      <x:c r="AO126" t="n">
        <x:v>0.828</x:v>
      </x:c>
      <x:c r="AP126" t="n">
        <x:v>1.66</x:v>
      </x:c>
      <x:c r="AQ126" t="n">
        <x:v>0.96743</x:v>
      </x:c>
      <x:c r="AR126" t="n">
        <x:v>2.71</x:v>
      </x:c>
      <x:c r="AS126" t="n">
        <x:v>0.0662</x:v>
      </x:c>
      <x:c r="AT126" t="n">
        <x:v>0.6886</x:v>
      </x:c>
      <x:c r="AU126" t="n">
        <x:v>0.7217</x:v>
      </x:c>
      <x:c r="AV126" t="n">
        <x:v>1</x:v>
      </x:c>
      <x:c r="AW126" t="n">
        <x:v>0.9541828389739477</x:v>
      </x:c>
      <x:c r="AX126" t="n">
        <x:v>0.0043805425400689265</x:v>
      </x:c>
      <x:c r="AY126" t="n">
        <x:v>0.4742378693541531</x:v>
      </x:c>
      <x:c r="AZ126" t="n">
        <x:v>0.5208744175230589</x:v>
      </x:c>
    </x:row>
    <x:row r="127">
      <x:c r="A127" t="str">
        <x:v>225Hz-2</x:v>
      </x:c>
      <x:c r="B127" t="n">
        <x:v>225</x:v>
      </x:c>
      <x:c r="C127" t="n">
        <x:v>2</x:v>
      </x:c>
      <x:c r="D127" t="n">
        <x:v>6</x:v>
      </x:c>
      <x:c r="E127" t="n">
        <x:v>1</x:v>
      </x:c>
      <x:c r="F127" t="n">
        <x:v>225</x:v>
      </x:c>
      <x:c r="G127" t="n">
        <x:v>16</x:v>
      </x:c>
      <x:c r="H127" t="n">
        <x:v>233.94586</x:v>
      </x:c>
      <x:c r="I127" t="n">
        <x:v>0.23264</x:v>
      </x:c>
      <x:c r="J127" t="n">
        <x:v>19.39</x:v>
      </x:c>
      <x:c r="K127" t="n">
        <x:v>225.01267</x:v>
      </x:c>
      <x:c r="L127" t="n">
        <x:v>0.70778</x:v>
      </x:c>
      <x:c r="M127" t="n">
        <x:v>26.2</x:v>
      </x:c>
      <x:c r="N127" t="n">
        <x:v>224.99645</x:v>
      </x:c>
      <x:c r="O127" t="n">
        <x:v>0.7482</x:v>
      </x:c>
      <x:c r="P127" t="n">
        <x:v>31.85</x:v>
      </x:c>
      <x:c r="Q127" t="n">
        <x:v>233.59375</x:v>
      </x:c>
      <x:c r="R127" t="n">
        <x:v>0.17797</x:v>
      </x:c>
      <x:c r="S127" t="n">
        <x:v>225.01267</x:v>
      </x:c>
      <x:c r="T127" t="n">
        <x:v>0.70778</x:v>
      </x:c>
      <x:c r="U127" t="n">
        <x:v>224.99645</x:v>
      </x:c>
      <x:c r="V127" t="n">
        <x:v>0.7482</x:v>
      </x:c>
      <x:c r="W127" t="n">
        <x:v>225.00412</x:v>
      </x:c>
      <x:c r="X127" t="n">
        <x:v>0.00412</x:v>
      </x:c>
      <x:c r="Y127" t="n">
        <x:v>0.06961</x:v>
      </x:c>
      <x:c r="Z127" t="n">
        <x:v>0.70778</x:v>
      </x:c>
      <x:c r="AA127" t="n">
        <x:v>0.7482</x:v>
      </x:c>
      <x:c r="AB127" t="n">
        <x:v>1.03228</x:v>
      </x:c>
      <x:c r="AC127" t="n">
        <x:v>22.25</x:v>
      </x:c>
      <x:c r="AD127" t="str">
        <x:v>Z</x:v>
      </x:c>
      <x:c r="AE127" t="n">
        <x:v>0.07815</x:v>
      </x:c>
      <x:c r="AF127" t="n">
        <x:v>29</x:v>
      </x:c>
      <x:c r="AG127" t="n">
        <x:v>0.106</x:v>
      </x:c>
      <x:c r="AH127" t="n">
        <x:v>18.82</x:v>
      </x:c>
      <x:c r="AI127" t="n">
        <x:v>0.70314</x:v>
      </x:c>
      <x:c r="AJ127" t="n">
        <x:v>19.21</x:v>
      </x:c>
      <x:c r="AK127" t="n">
        <x:v>0.61</x:v>
      </x:c>
      <x:c r="AL127" t="n">
        <x:v>1.8</x:v>
      </x:c>
      <x:c r="AM127" t="n">
        <x:v>0.75357</x:v>
      </x:c>
      <x:c r="AN127" t="n">
        <x:v>25.85</x:v>
      </x:c>
      <x:c r="AO127" t="n">
        <x:v>0.847</x:v>
      </x:c>
      <x:c r="AP127" t="n">
        <x:v>1.75</x:v>
      </x:c>
      <x:c r="AQ127" t="n">
        <x:v>1.03373</x:v>
      </x:c>
      <x:c r="AR127" t="n">
        <x:v>1.61</x:v>
      </x:c>
      <x:c r="AS127" t="n">
        <x:v>0.0756</x:v>
      </x:c>
      <x:c r="AT127" t="n">
        <x:v>0.6802</x:v>
      </x:c>
      <x:c r="AU127" t="n">
        <x:v>0.729</x:v>
      </x:c>
      <x:c r="AV127" t="n">
        <x:v>1</x:v>
      </x:c>
      <x:c r="AW127" t="n">
        <x:v>0.9330785461204666</x:v>
      </x:c>
      <x:c r="AX127" t="n">
        <x:v>0.005715361755197331</x:v>
      </x:c>
      <x:c r="AY127" t="n">
        <x:v>0.4626678998388112</x:v>
      </x:c>
      <x:c r="AZ127" t="n">
        <x:v>0.5314139624713395</x:v>
      </x:c>
    </x:row>
    <x:row r="128">
      <x:c r="A128" t="str">
        <x:v>225Hz-2</x:v>
      </x:c>
      <x:c r="B128" t="n">
        <x:v>225</x:v>
      </x:c>
      <x:c r="C128" t="n">
        <x:v>2</x:v>
      </x:c>
      <x:c r="D128" t="n">
        <x:v>7</x:v>
      </x:c>
      <x:c r="E128" t="n">
        <x:v>1</x:v>
      </x:c>
      <x:c r="F128" t="n">
        <x:v>225</x:v>
      </x:c>
      <x:c r="G128" t="n">
        <x:v>17</x:v>
      </x:c>
      <x:c r="H128" t="n">
        <x:v>235.06278</x:v>
      </x:c>
      <x:c r="I128" t="n">
        <x:v>0.38889</x:v>
      </x:c>
      <x:c r="J128" t="n">
        <x:v>24.07</x:v>
      </x:c>
      <x:c r="K128" t="n">
        <x:v>225.00875</x:v>
      </x:c>
      <x:c r="L128" t="n">
        <x:v>0.74578</x:v>
      </x:c>
      <x:c r="M128" t="n">
        <x:v>27.02</x:v>
      </x:c>
      <x:c r="N128" t="n">
        <x:v>224.99776</x:v>
      </x:c>
      <x:c r="O128" t="n">
        <x:v>0.81433</x:v>
      </x:c>
      <x:c r="P128" t="n">
        <x:v>32.69</x:v>
      </x:c>
      <x:c r="Q128" t="n">
        <x:v>220.0701</x:v>
      </x:c>
      <x:c r="R128" t="n">
        <x:v>0.08919</x:v>
      </x:c>
      <x:c r="S128" t="n">
        <x:v>225.00875</x:v>
      </x:c>
      <x:c r="T128" t="n">
        <x:v>0.74578</x:v>
      </x:c>
      <x:c r="U128" t="n">
        <x:v>224.99776</x:v>
      </x:c>
      <x:c r="V128" t="n">
        <x:v>0.81433</x:v>
      </x:c>
      <x:c r="W128" t="n">
        <x:v>225.00254</x:v>
      </x:c>
      <x:c r="X128" t="n">
        <x:v>0.00254</x:v>
      </x:c>
      <x:c r="Y128" t="n">
        <x:v>0.08648</x:v>
      </x:c>
      <x:c r="Z128" t="n">
        <x:v>0.74578</x:v>
      </x:c>
      <x:c r="AA128" t="n">
        <x:v>0.81433</x:v>
      </x:c>
      <x:c r="AB128" t="n">
        <x:v>1.10761</x:v>
      </x:c>
      <x:c r="AC128" t="n">
        <x:v>26.85</x:v>
      </x:c>
      <x:c r="AD128" t="str">
        <x:v>Z</x:v>
      </x:c>
      <x:c r="AE128" t="n">
        <x:v>0.06954</x:v>
      </x:c>
      <x:c r="AF128" t="n">
        <x:v>14.47</x:v>
      </x:c>
      <x:c r="AG128" t="n">
        <x:v>0.085</x:v>
      </x:c>
      <x:c r="AH128" t="n">
        <x:v>19.54</x:v>
      </x:c>
      <x:c r="AI128" t="n">
        <x:v>0.73137</x:v>
      </x:c>
      <x:c r="AJ128" t="n">
        <x:v>18.8</x:v>
      </x:c>
      <x:c r="AK128" t="n">
        <x:v>0.615</x:v>
      </x:c>
      <x:c r="AL128" t="n">
        <x:v>2.14</x:v>
      </x:c>
      <x:c r="AM128" t="n">
        <x:v>0.79487</x:v>
      </x:c>
      <x:c r="AN128" t="n">
        <x:v>24.2</x:v>
      </x:c>
      <x:c r="AO128" t="n">
        <x:v>0.84</x:v>
      </x:c>
      <x:c r="AP128" t="n">
        <x:v>2.16</x:v>
      </x:c>
      <x:c r="AQ128" t="n">
        <x:v>1.08253</x:v>
      </x:c>
      <x:c r="AR128" t="n">
        <x:v>1.75</x:v>
      </x:c>
      <x:c r="AS128" t="n">
        <x:v>0.0642</x:v>
      </x:c>
      <x:c r="AT128" t="n">
        <x:v>0.6756</x:v>
      </x:c>
      <x:c r="AU128" t="n">
        <x:v>0.7343</x:v>
      </x:c>
      <x:c r="AV128" t="n">
        <x:v>1</x:v>
      </x:c>
      <x:c r="AW128" t="n">
        <x:v>0.9201127228351806</x:v>
      </x:c>
      <x:c r="AX128" t="n">
        <x:v>0.004126572609930243</x:v>
      </x:c>
      <x:c r="AY128" t="n">
        <x:v>0.45645125205670534</x:v>
      </x:c>
      <x:c r="AZ128" t="n">
        <x:v>0.5391533783019514</x:v>
      </x:c>
    </x:row>
    <x:row r="129">
      <x:c r="A129" t="str">
        <x:v>225Hz-2</x:v>
      </x:c>
      <x:c r="B129" t="n">
        <x:v>225</x:v>
      </x:c>
      <x:c r="C129" t="n">
        <x:v>2</x:v>
      </x:c>
      <x:c r="D129" t="n">
        <x:v>8</x:v>
      </x:c>
      <x:c r="E129" t="n">
        <x:v>1</x:v>
      </x:c>
      <x:c r="F129" t="n">
        <x:v>225</x:v>
      </x:c>
      <x:c r="G129" t="n">
        <x:v>18</x:v>
      </x:c>
      <x:c r="H129" t="n">
        <x:v>234.17338</x:v>
      </x:c>
      <x:c r="I129" t="n">
        <x:v>0.25624</x:v>
      </x:c>
      <x:c r="J129" t="n">
        <x:v>20.11</x:v>
      </x:c>
      <x:c r="K129" t="n">
        <x:v>225.00771</x:v>
      </x:c>
      <x:c r="L129" t="n">
        <x:v>0.77612</x:v>
      </x:c>
      <x:c r="M129" t="n">
        <x:v>26.57</x:v>
      </x:c>
      <x:c r="N129" t="n">
        <x:v>225.00504</x:v>
      </x:c>
      <x:c r="O129" t="n">
        <x:v>0.85332</x:v>
      </x:c>
      <x:c r="P129" t="n">
        <x:v>32.76</x:v>
      </x:c>
      <x:c r="Q129" t="n">
        <x:v>233.59375</x:v>
      </x:c>
      <x:c r="R129" t="n">
        <x:v>0.14968</x:v>
      </x:c>
      <x:c r="S129" t="n">
        <x:v>225.00771</x:v>
      </x:c>
      <x:c r="T129" t="n">
        <x:v>0.77612</x:v>
      </x:c>
      <x:c r="U129" t="n">
        <x:v>225.00504</x:v>
      </x:c>
      <x:c r="V129" t="n">
        <x:v>0.85332</x:v>
      </x:c>
      <x:c r="W129" t="n">
        <x:v>225.00591</x:v>
      </x:c>
      <x:c r="X129" t="n">
        <x:v>0.00591</x:v>
      </x:c>
      <x:c r="Y129" t="n">
        <x:v>0.08283</x:v>
      </x:c>
      <x:c r="Z129" t="n">
        <x:v>0.77612</x:v>
      </x:c>
      <x:c r="AA129" t="n">
        <x:v>0.85332</x:v>
      </x:c>
      <x:c r="AB129" t="n">
        <x:v>1.15645</x:v>
      </x:c>
      <x:c r="AC129" t="n">
        <x:v>23.67</x:v>
      </x:c>
      <x:c r="AD129" t="str">
        <x:v>Z</x:v>
      </x:c>
      <x:c r="AE129" t="n">
        <x:v>0.08561</x:v>
      </x:c>
      <x:c r="AF129" t="n">
        <x:v>24.77</x:v>
      </x:c>
      <x:c r="AG129" t="n">
        <x:v>0.113</x:v>
      </x:c>
      <x:c r="AH129" t="n">
        <x:v>9.11</x:v>
      </x:c>
      <x:c r="AI129" t="n">
        <x:v>0.77576</x:v>
      </x:c>
      <x:c r="AJ129" t="n">
        <x:v>18.51</x:v>
      </x:c>
      <x:c r="AK129" t="n">
        <x:v>0.63</x:v>
      </x:c>
      <x:c r="AL129" t="n">
        <x:v>2.67</x:v>
      </x:c>
      <x:c r="AM129" t="n">
        <x:v>0.85749</x:v>
      </x:c>
      <x:c r="AN129" t="n">
        <x:v>23.86</x:v>
      </x:c>
      <x:c r="AO129" t="n">
        <x:v>0.857</x:v>
      </x:c>
      <x:c r="AP129" t="n">
        <x:v>1.97</x:v>
      </x:c>
      <x:c r="AQ129" t="n">
        <x:v>1.15958</x:v>
      </x:c>
      <x:c r="AR129" t="n">
        <x:v>1.94</x:v>
      </x:c>
      <x:c r="AS129" t="n">
        <x:v>0.0738</x:v>
      </x:c>
      <x:c r="AT129" t="n">
        <x:v>0.669</x:v>
      </x:c>
      <x:c r="AU129" t="n">
        <x:v>0.7395</x:v>
      </x:c>
      <x:c r="AV129" t="n">
        <x:v>1</x:v>
      </x:c>
      <x:c r="AW129" t="n">
        <x:v>0.9046869351246078</x:v>
      </x:c>
      <x:c r="AX129" t="n">
        <x:v>0.0054506407869275774</x:v>
      </x:c>
      <x:c r="AY129" t="n">
        <x:v>0.4475621307894481</x:v>
      </x:c>
      <x:c r="AZ129" t="n">
        <x:v>0.5468354935665503</x:v>
      </x:c>
    </x:row>
    <x:row r="130">
      <x:c r="A130" t="str">
        <x:v>225Hz-2</x:v>
      </x:c>
      <x:c r="B130" t="n">
        <x:v>225</x:v>
      </x:c>
      <x:c r="C130" t="n">
        <x:v>2</x:v>
      </x:c>
      <x:c r="D130" t="n">
        <x:v>9</x:v>
      </x:c>
      <x:c r="E130" t="n">
        <x:v>1</x:v>
      </x:c>
      <x:c r="F130" t="n">
        <x:v>225</x:v>
      </x:c>
      <x:c r="G130" t="n">
        <x:v>19</x:v>
      </x:c>
      <x:c r="H130" t="n">
        <x:v>234.27198</x:v>
      </x:c>
      <x:c r="I130" t="n">
        <x:v>0.33368</x:v>
      </x:c>
      <x:c r="J130" t="n">
        <x:v>22.81</x:v>
      </x:c>
      <x:c r="K130" t="n">
        <x:v>224.98952</x:v>
      </x:c>
      <x:c r="L130" t="n">
        <x:v>0.82441</x:v>
      </x:c>
      <x:c r="M130" t="n">
        <x:v>26.62</x:v>
      </x:c>
      <x:c r="N130" t="n">
        <x:v>225.00069</x:v>
      </x:c>
      <x:c r="O130" t="n">
        <x:v>0.921</x:v>
      </x:c>
      <x:c r="P130" t="n">
        <x:v>33.28</x:v>
      </x:c>
      <x:c r="Q130" t="n">
        <x:v>232.03125</x:v>
      </x:c>
      <x:c r="R130" t="n">
        <x:v>0.17077</x:v>
      </x:c>
      <x:c r="S130" t="n">
        <x:v>224.98952</x:v>
      </x:c>
      <x:c r="T130" t="n">
        <x:v>0.82441</x:v>
      </x:c>
      <x:c r="U130" t="n">
        <x:v>225.00069</x:v>
      </x:c>
      <x:c r="V130" t="n">
        <x:v>0.921</x:v>
      </x:c>
      <x:c r="W130" t="n">
        <x:v>224.99592</x:v>
      </x:c>
      <x:c r="X130" t="n">
        <x:v>-0.00408</x:v>
      </x:c>
      <x:c r="Y130" t="n">
        <x:v>0.08362</x:v>
      </x:c>
      <x:c r="Z130" t="n">
        <x:v>0.82441</x:v>
      </x:c>
      <x:c r="AA130" t="n">
        <x:v>0.921</x:v>
      </x:c>
      <x:c r="AB130" t="n">
        <x:v>1.2389</x:v>
      </x:c>
      <x:c r="AC130" t="n">
        <x:v>23.71</x:v>
      </x:c>
      <x:c r="AD130" t="str">
        <x:v>Z</x:v>
      </x:c>
      <x:c r="AE130" t="n">
        <x:v>0.07838</x:v>
      </x:c>
      <x:c r="AF130" t="n">
        <x:v>22.11</x:v>
      </x:c>
      <x:c r="AG130" t="n">
        <x:v>0.108</x:v>
      </x:c>
      <x:c r="AH130" t="n">
        <x:v>24.42</x:v>
      </x:c>
      <x:c r="AI130" t="n">
        <x:v>0.80547</x:v>
      </x:c>
      <x:c r="AJ130" t="n">
        <x:v>18.69</x:v>
      </x:c>
      <x:c r="AK130" t="n">
        <x:v>0.62</x:v>
      </x:c>
      <x:c r="AL130" t="n">
        <x:v>2.42</x:v>
      </x:c>
      <x:c r="AM130" t="n">
        <x:v>0.89703</x:v>
      </x:c>
      <x:c r="AN130" t="n">
        <x:v>25.4</x:v>
      </x:c>
      <x:c r="AO130" t="n">
        <x:v>0.876</x:v>
      </x:c>
      <x:c r="AP130" t="n">
        <x:v>2.66</x:v>
      </x:c>
      <x:c r="AQ130" t="n">
        <x:v>1.20831</x:v>
      </x:c>
      <x:c r="AR130" t="n">
        <x:v>2.34</x:v>
      </x:c>
      <x:c r="AS130" t="n">
        <x:v>0.0649</x:v>
      </x:c>
      <x:c r="AT130" t="n">
        <x:v>0.6666</x:v>
      </x:c>
      <x:c r="AU130" t="n">
        <x:v>0.7424</x:v>
      </x:c>
      <x:c r="AV130" t="n">
        <x:v>1</x:v>
      </x:c>
      <x:c r="AW130" t="n">
        <x:v>0.8979298351225712</x:v>
      </x:c>
      <x:c r="AX130" t="n">
        <x:v>0.004207787303224788</x:v>
      </x:c>
      <x:c r="AY130" t="n">
        <x:v>0.44436720492968207</x:v>
      </x:c>
      <x:c r="AZ130" t="n">
        <x:v>0.5511339898900784</x:v>
      </x:c>
    </x:row>
    <x:row r="131">
      <x:c r="A131" t="str">
        <x:v>225Hz-2</x:v>
      </x:c>
      <x:c r="B131" t="n">
        <x:v>225</x:v>
      </x:c>
      <x:c r="C131" t="n">
        <x:v>2</x:v>
      </x:c>
      <x:c r="D131" t="n">
        <x:v>10</x:v>
      </x:c>
      <x:c r="E131" t="n">
        <x:v>1</x:v>
      </x:c>
      <x:c r="F131" t="n">
        <x:v>225</x:v>
      </x:c>
      <x:c r="G131" t="n">
        <x:v>20</x:v>
      </x:c>
      <x:c r="H131" t="n">
        <x:v>234.01111</x:v>
      </x:c>
      <x:c r="I131" t="n">
        <x:v>0.35445</x:v>
      </x:c>
      <x:c r="J131" t="n">
        <x:v>22.5</x:v>
      </x:c>
      <x:c r="K131" t="n">
        <x:v>224.99734</x:v>
      </x:c>
      <x:c r="L131" t="n">
        <x:v>0.86276</x:v>
      </x:c>
      <x:c r="M131" t="n">
        <x:v>27.88</x:v>
      </x:c>
      <x:c r="N131" t="n">
        <x:v>225.00304</x:v>
      </x:c>
      <x:c r="O131" t="n">
        <x:v>0.96352</x:v>
      </x:c>
      <x:c r="P131" t="n">
        <x:v>33.45</x:v>
      </x:c>
      <x:c r="Q131" t="n">
        <x:v>233.59375</x:v>
      </x:c>
      <x:c r="R131" t="n">
        <x:v>0.25387</x:v>
      </x:c>
      <x:c r="S131" t="n">
        <x:v>224.99734</x:v>
      </x:c>
      <x:c r="T131" t="n">
        <x:v>0.86276</x:v>
      </x:c>
      <x:c r="U131" t="n">
        <x:v>225.00304</x:v>
      </x:c>
      <x:c r="V131" t="n">
        <x:v>0.96352</x:v>
      </x:c>
      <x:c r="W131" t="n">
        <x:v>225.00036</x:v>
      </x:c>
      <x:c r="X131" t="n">
        <x:v>0.00036</x:v>
      </x:c>
      <x:c r="Y131" t="n">
        <x:v>0.09363</x:v>
      </x:c>
      <x:c r="Z131" t="n">
        <x:v>0.86276</x:v>
      </x:c>
      <x:c r="AA131" t="n">
        <x:v>0.96352</x:v>
      </x:c>
      <x:c r="AB131" t="n">
        <x:v>1.29673</x:v>
      </x:c>
      <x:c r="AC131" t="n">
        <x:v>20.83</x:v>
      </x:c>
      <x:c r="AD131" t="str">
        <x:v>Z</x:v>
      </x:c>
      <x:c r="AE131" t="n">
        <x:v>0.099</x:v>
      </x:c>
      <x:c r="AF131" t="n">
        <x:v>23.24</x:v>
      </x:c>
      <x:c r="AG131" t="n">
        <x:v>0.114</x:v>
      </x:c>
      <x:c r="AH131" t="n">
        <x:v>9.86</x:v>
      </x:c>
      <x:c r="AI131" t="n">
        <x:v>0.85695</x:v>
      </x:c>
      <x:c r="AJ131" t="n">
        <x:v>20.58</x:v>
      </x:c>
      <x:c r="AK131" t="n">
        <x:v>0.66</x:v>
      </x:c>
      <x:c r="AL131" t="n">
        <x:v>1.59</x:v>
      </x:c>
      <x:c r="AM131" t="n">
        <x:v>0.96383</x:v>
      </x:c>
      <x:c r="AN131" t="n">
        <x:v>25.34</x:v>
      </x:c>
      <x:c r="AO131" t="n">
        <x:v>0.877</x:v>
      </x:c>
      <x:c r="AP131" t="n">
        <x:v>2.76</x:v>
      </x:c>
      <x:c r="AQ131" t="n">
        <x:v>1.29371</x:v>
      </x:c>
      <x:c r="AR131" t="n">
        <x:v>1.32</x:v>
      </x:c>
      <x:c r="AS131" t="n">
        <x:v>0.0765</x:v>
      </x:c>
      <x:c r="AT131" t="n">
        <x:v>0.6624</x:v>
      </x:c>
      <x:c r="AU131" t="n">
        <x:v>0.745</x:v>
      </x:c>
      <x:c r="AV131" t="n">
        <x:v>1</x:v>
      </x:c>
      <x:c r="AW131" t="n">
        <x:v>0.8891090752518598</x:v>
      </x:c>
      <x:c r="AX131" t="n">
        <x:v>0.005855938660300477</x:v>
      </x:c>
      <x:c r="AY131" t="n">
        <x:v>0.4387701718003963</x:v>
      </x:c>
      <x:c r="AZ131" t="n">
        <x:v>0.5550434853631179</x:v>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s="91" t="str">
        <x:v>Sweep_ID</x:v>
      </x:c>
      <x:c r="B1" s="91" t="str">
        <x:v>Freq Hz</x:v>
      </x:c>
      <x:c r="C1" s="91" t="str">
        <x:v>X A15</x:v>
      </x:c>
      <x:c r="D1" s="91" t="str">
        <x:v>Y A15</x:v>
      </x:c>
      <x:c r="E1" s="91" t="str">
        <x:v>Z A15</x:v>
      </x:c>
      <x:c r="F1" s="91" t="str">
        <x:v>Total A15</x:v>
      </x:c>
      <x:c r="G1" s="91" t="str">
        <x:v>X A20</x:v>
      </x:c>
      <x:c r="H1" s="91" t="str">
        <x:v>Y A20</x:v>
      </x:c>
      <x:c r="I1" s="91" t="str">
        <x:v>Z A20</x:v>
      </x:c>
      <x:c r="J1" s="91" t="str">
        <x:v>Total A20</x:v>
      </x:c>
      <x:c r="K1" s="91" t="str">
        <x:v>X sync</x:v>
      </x:c>
      <x:c r="L1" s="91" t="str">
        <x:v>Y sync</x:v>
      </x:c>
      <x:c r="M1" s="91" t="str">
        <x:v>Z sync</x:v>
      </x:c>
      <x:c r="N1" s="91" t="str">
        <x:v>X CV %</x:v>
      </x:c>
      <x:c r="O1" s="91" t="str">
        <x:v>Y CV %</x:v>
      </x:c>
      <x:c r="P1" s="91" t="str">
        <x:v>Z CV %</x:v>
      </x:c>
      <x:c r="Q1" s="91" t="str">
        <x:v>X monotonic</x:v>
      </x:c>
      <x:c r="R1" s="91" t="str">
        <x:v>Y monotonic</x:v>
      </x:c>
      <x:c r="S1" s="91" t="str">
        <x:v>Z monotonic</x:v>
      </x:c>
      <x:c r="T1" s="91" t="str">
        <x:v>X R²</x:v>
      </x:c>
      <x:c r="U1" s="91" t="str">
        <x:v>Y R²</x:v>
      </x:c>
      <x:c r="V1" s="91" t="str">
        <x:v>Z R²</x:v>
      </x:c>
      <x:c r="W1" s="91" t="str">
        <x:v>Total R²</x:v>
      </x:c>
      <x:c r="X1" s="91" t="str">
        <x:v>Max freq err Hz</x:v>
      </x:c>
      <x:c r="Y1" s="91" t="str">
        <x:v>Y-Z phase diff @15</x:v>
      </x:c>
      <x:c r="Z1" s="91" t="str">
        <x:v>Dominance</x:v>
      </x:c>
      <x:c r="AA1" s="91" t="str">
        <x:v>X control</x:v>
      </x:c>
      <x:c r="AB1" s="91" t="str">
        <x:v>Y control</x:v>
      </x:c>
      <x:c r="AC1" s="91" t="str">
        <x:v>Z control</x:v>
      </x:c>
      <x:c r="AD1" s="91" t="str">
        <x:v>Preferred</x:v>
      </x:c>
    </x:row>
    <x:row r="2">
      <x:c r="A2" t="str">
        <x:v>100Hz-1</x:v>
      </x:c>
      <x:c r="B2" t="n">
        <x:v>100</x:v>
      </x:c>
      <x:c r="C2" t="n">
        <x:v>0.05338</x:v>
      </x:c>
      <x:c r="D2" t="n">
        <x:v>0.02795</x:v>
      </x:c>
      <x:c r="E2" t="n">
        <x:v>0.24307</x:v>
      </x:c>
      <x:c r="F2" t="n">
        <x:v>0.25082</x:v>
      </x:c>
      <x:c r="G2" t="n">
        <x:v>0.08723</x:v>
      </x:c>
      <x:c r="H2" t="n">
        <x:v>0.04333</x:v>
      </x:c>
      <x:c r="I2" t="n">
        <x:v>0.50888</x:v>
      </x:c>
      <x:c r="J2" t="n">
        <x:v>0.5183</x:v>
      </x:c>
      <x:c r="K2" t="n">
        <x:v>0.10300000000000001</x:v>
      </x:c>
      <x:c r="L2" t="n">
        <x:v>0.03716666666666667</x:v>
      </x:c>
      <x:c r="M2" t="n">
        <x:v>0.5026666666666667</x:v>
      </x:c>
      <x:c r="N2" t="n">
        <x:v>19.06</x:v>
      </x:c>
      <x:c r="O2" t="n">
        <x:v>42.615</x:v>
      </x:c>
      <x:c r="P2" t="n">
        <x:v>4.348333333333334</x:v>
      </x:c>
      <x:c r="Q2" t="n">
        <x:v>0.7777777777777778</x:v>
      </x:c>
      <x:c r="R2" t="n">
        <x:v>0.5555555555555556</x:v>
      </x:c>
      <x:c r="S2" t="n">
        <x:v>1</x:v>
      </x:c>
      <x:c r="T2" t="n">
        <x:v>0.9404756353138772</x:v>
      </x:c>
      <x:c r="U2" t="n">
        <x:v>0.15300766820518807</x:v>
      </x:c>
      <x:c r="V2" t="n">
        <x:v>0.9888303480887135</x:v>
      </x:c>
      <x:c r="W2" t="n">
        <x:v>0.9870205476732842</x:v>
      </x:c>
      <x:c r="X2" t="n">
        <x:v>0.07725</x:v>
      </x:c>
      <x:c r="Y2" t="n">
        <x:v>119.51</x:v>
      </x:c>
      <x:c r="Z2" t="str">
        <x:v>Z:10</x:v>
      </x:c>
      <x:c r="AA2" t="str">
        <x:v>Poor</x:v>
      </x:c>
      <x:c r="AB2" t="str">
        <x:v>Poor</x:v>
      </x:c>
      <x:c r="AC2" t="str">
        <x:v>Conditional</x:v>
      </x:c>
      <x:c r="AD2" t="str">
        <x:v>Z</x:v>
      </x:c>
    </x:row>
    <x:row r="3">
      <x:c r="A3" t="str">
        <x:v>125Hz-1</x:v>
      </x:c>
      <x:c r="B3" t="n">
        <x:v>125</x:v>
      </x:c>
      <x:c r="C3" t="n">
        <x:v>0.03971</x:v>
      </x:c>
      <x:c r="D3" t="n">
        <x:v>0.06011</x:v>
      </x:c>
      <x:c r="E3" t="n">
        <x:v>0.20952</x:v>
      </x:c>
      <x:c r="F3" t="n">
        <x:v>0.22192</x:v>
      </x:c>
      <x:c r="G3" t="n">
        <x:v>0.08957</x:v>
      </x:c>
      <x:c r="H3" t="n">
        <x:v>0.03514</x:v>
      </x:c>
      <x:c r="I3" t="n">
        <x:v>0.44424</x:v>
      </x:c>
      <x:c r="J3" t="n">
        <x:v>0.45484</x:v>
      </x:c>
      <x:c r="K3" t="n">
        <x:v>0.10616666666666667</x:v>
      </x:c>
      <x:c r="L3" t="n">
        <x:v>0.05733333333333333</x:v>
      </x:c>
      <x:c r="M3" t="n">
        <x:v>0.5205</x:v>
      </x:c>
      <x:c r="N3" t="n">
        <x:v>17.105</x:v>
      </x:c>
      <x:c r="O3" t="n">
        <x:v>23.39666666666667</x:v>
      </x:c>
      <x:c r="P3" t="n">
        <x:v>5.366666666666666</x:v>
      </x:c>
      <x:c r="Q3" t="n">
        <x:v>0.6666666666666666</x:v>
      </x:c>
      <x:c r="R3" t="n">
        <x:v>0.3333333333333333</x:v>
      </x:c>
      <x:c r="S3" t="n">
        <x:v>1</x:v>
      </x:c>
      <x:c r="T3" t="n">
        <x:v>0.8921687587286198</x:v>
      </x:c>
      <x:c r="U3" t="n">
        <x:v>0.177968920778235</x:v>
      </x:c>
      <x:c r="V3" t="n">
        <x:v>0.9567361395814901</x:v>
      </x:c>
      <x:c r="W3" t="n">
        <x:v>0.9548418274979592</x:v>
      </x:c>
      <x:c r="X3" t="n">
        <x:v>0.0617</x:v>
      </x:c>
      <x:c r="Y3" t="n">
        <x:v>0.6599999999999966</x:v>
      </x:c>
      <x:c r="Z3" t="str">
        <x:v>Z:10</x:v>
      </x:c>
      <x:c r="AA3" t="str">
        <x:v>Poor</x:v>
      </x:c>
      <x:c r="AB3" t="str">
        <x:v>Poor</x:v>
      </x:c>
      <x:c r="AC3" t="str">
        <x:v>Conditional</x:v>
      </x:c>
      <x:c r="AD3" t="str">
        <x:v>Z</x:v>
      </x:c>
    </x:row>
    <x:row r="4">
      <x:c r="A4" t="str">
        <x:v>150Hz-1</x:v>
      </x:c>
      <x:c r="B4" t="n">
        <x:v>150</x:v>
      </x:c>
      <x:c r="C4" t="n">
        <x:v>0.05076</x:v>
      </x:c>
      <x:c r="D4" t="n">
        <x:v>0.10497</x:v>
      </x:c>
      <x:c r="E4" t="n">
        <x:v>0.3536</x:v>
      </x:c>
      <x:c r="F4" t="n">
        <x:v>0.37255</x:v>
      </x:c>
      <x:c r="G4" t="n">
        <x:v>0.08873</x:v>
      </x:c>
      <x:c r="H4" t="n">
        <x:v>0.10404</x:v>
      </x:c>
      <x:c r="I4" t="n">
        <x:v>0.64303</x:v>
      </x:c>
      <x:c r="J4" t="n">
        <x:v>0.65758</x:v>
      </x:c>
      <x:c r="K4" t="n">
        <x:v>0.1005</x:v>
      </x:c>
      <x:c r="L4" t="n">
        <x:v>0.12566666666666668</x:v>
      </x:c>
      <x:c r="M4" t="n">
        <x:v>0.6236666666666667</x:v>
      </x:c>
      <x:c r="N4" t="n">
        <x:v>19.841666666666665</x:v>
      </x:c>
      <x:c r="O4" t="n">
        <x:v>13.53</x:v>
      </x:c>
      <x:c r="P4" t="n">
        <x:v>3.27</x:v>
      </x:c>
      <x:c r="Q4" t="n">
        <x:v>0.7777777777777778</x:v>
      </x:c>
      <x:c r="R4" t="n">
        <x:v>0.6666666666666666</x:v>
      </x:c>
      <x:c r="S4" t="n">
        <x:v>1</x:v>
      </x:c>
      <x:c r="T4" t="n">
        <x:v>0.9421966790404079</x:v>
      </x:c>
      <x:c r="U4" t="n">
        <x:v>0.040146876250629626</x:v>
      </x:c>
      <x:c r="V4" t="n">
        <x:v>0.9519976943160562</x:v>
      </x:c>
      <x:c r="W4" t="n">
        <x:v>0.9526301966416699</x:v>
      </x:c>
      <x:c r="X4" t="n">
        <x:v>0.03207</x:v>
      </x:c>
      <x:c r="Y4" t="n">
        <x:v>3.069999999999993</x:v>
      </x:c>
      <x:c r="Z4" t="str">
        <x:v>Z:10</x:v>
      </x:c>
      <x:c r="AA4" t="str">
        <x:v>Poor</x:v>
      </x:c>
      <x:c r="AB4" t="str">
        <x:v>Poor</x:v>
      </x:c>
      <x:c r="AC4" t="str">
        <x:v>Conditional</x:v>
      </x:c>
      <x:c r="AD4" t="str">
        <x:v>Z</x:v>
      </x:c>
    </x:row>
    <x:row r="5">
      <x:c r="A5" t="str">
        <x:v>175Hz-1</x:v>
      </x:c>
      <x:c r="B5" t="n">
        <x:v>175</x:v>
      </x:c>
      <x:c r="C5" t="n">
        <x:v>0.07024</x:v>
      </x:c>
      <x:c r="D5" t="n">
        <x:v>0.18806</x:v>
      </x:c>
      <x:c r="E5" t="n">
        <x:v>0.36519</x:v>
      </x:c>
      <x:c r="F5" t="n">
        <x:v>0.41712</x:v>
      </x:c>
      <x:c r="G5" t="n">
        <x:v>0.11027</x:v>
      </x:c>
      <x:c r="H5" t="n">
        <x:v>0.19574</x:v>
      </x:c>
      <x:c r="I5" t="n">
        <x:v>0.89936</x:v>
      </x:c>
      <x:c r="J5" t="n">
        <x:v>0.92739</x:v>
      </x:c>
      <x:c r="K5" t="n">
        <x:v>0.12166666666666667</x:v>
      </x:c>
      <x:c r="L5" t="n">
        <x:v>0.2405</x:v>
      </x:c>
      <x:c r="M5" t="n">
        <x:v>0.6963333333333334</x:v>
      </x:c>
      <x:c r="N5" t="n">
        <x:v>18.561666666666667</x:v>
      </x:c>
      <x:c r="O5" t="n">
        <x:v>7.278333333333333</x:v>
      </x:c>
      <x:c r="P5" t="n">
        <x:v>4.2283333333333335</x:v>
      </x:c>
      <x:c r="Q5" t="n">
        <x:v>0.7777777777777778</x:v>
      </x:c>
      <x:c r="R5" t="n">
        <x:v>0.7777777777777778</x:v>
      </x:c>
      <x:c r="S5" t="n">
        <x:v>1</x:v>
      </x:c>
      <x:c r="T5" t="n">
        <x:v>0.8756371893871394</x:v>
      </x:c>
      <x:c r="U5" t="n">
        <x:v>0.7639212817256539</x:v>
      </x:c>
      <x:c r="V5" t="n">
        <x:v>0.7876465846186547</x:v>
      </x:c>
      <x:c r="W5" t="n">
        <x:v>0.8074423711603715</x:v>
      </x:c>
      <x:c r="X5" t="n">
        <x:v>0.05206</x:v>
      </x:c>
      <x:c r="Y5" t="n">
        <x:v>4.6699999999999875</x:v>
      </x:c>
      <x:c r="Z5" t="str">
        <x:v>Z:10</x:v>
      </x:c>
      <x:c r="AA5" t="str">
        <x:v>Poor</x:v>
      </x:c>
      <x:c r="AB5" t="str">
        <x:v>Poor</x:v>
      </x:c>
      <x:c r="AC5" t="str">
        <x:v>Good</x:v>
      </x:c>
      <x:c r="AD5" t="str">
        <x:v>Z</x:v>
      </x:c>
    </x:row>
    <x:row r="6">
      <x:c r="A6" t="str">
        <x:v>200Hz-1</x:v>
      </x:c>
      <x:c r="B6" t="n">
        <x:v>200</x:v>
      </x:c>
      <x:c r="C6" t="n">
        <x:v>0.05981</x:v>
      </x:c>
      <x:c r="D6" t="n">
        <x:v>0.26353</x:v>
      </x:c>
      <x:c r="E6" t="n">
        <x:v>0.4591</x:v>
      </x:c>
      <x:c r="F6" t="n">
        <x:v>0.53364</x:v>
      </x:c>
      <x:c r="G6" t="n">
        <x:v>0.1149</x:v>
      </x:c>
      <x:c r="H6" t="n">
        <x:v>0.36147</x:v>
      </x:c>
      <x:c r="I6" t="n">
        <x:v>0.96775</x:v>
      </x:c>
      <x:c r="J6" t="n">
        <x:v>1.0405</x:v>
      </x:c>
      <x:c r="K6" t="n">
        <x:v>0.128</x:v>
      </x:c>
      <x:c r="L6" t="n">
        <x:v>0.379</x:v>
      </x:c>
      <x:c r="M6" t="n">
        <x:v>0.7985</x:v>
      </x:c>
      <x:c r="N6" t="n">
        <x:v>41.49166666666667</x:v>
      </x:c>
      <x:c r="O6" t="n">
        <x:v>7.9783333333333335</x:v>
      </x:c>
      <x:c r="P6" t="n">
        <x:v>3.283333333333333</x:v>
      </x:c>
      <x:c r="Q6" t="n">
        <x:v>0.8888888888888888</x:v>
      </x:c>
      <x:c r="R6" t="n">
        <x:v>0.8888888888888888</x:v>
      </x:c>
      <x:c r="S6" t="n">
        <x:v>1</x:v>
      </x:c>
      <x:c r="T6" t="n">
        <x:v>0.8231103253501242</x:v>
      </x:c>
      <x:c r="U6" t="n">
        <x:v>0.9399814236717372</x:v>
      </x:c>
      <x:c r="V6" t="n">
        <x:v>0.9780119047961631</x:v>
      </x:c>
      <x:c r="W6" t="n">
        <x:v>0.983986009522758</x:v>
      </x:c>
      <x:c r="X6" t="n">
        <x:v>0.01315</x:v>
      </x:c>
      <x:c r="Y6" t="n">
        <x:v>3.3400000000000034</x:v>
      </x:c>
      <x:c r="Z6" t="str">
        <x:v>Z:10</x:v>
      </x:c>
      <x:c r="AA6" t="str">
        <x:v>Poor</x:v>
      </x:c>
      <x:c r="AB6" t="str">
        <x:v>Poor</x:v>
      </x:c>
      <x:c r="AC6" t="str">
        <x:v>Good</x:v>
      </x:c>
      <x:c r="AD6" t="str">
        <x:v>Z</x:v>
      </x:c>
    </x:row>
    <x:row r="7">
      <x:c r="A7" t="str">
        <x:v>225Hz-1</x:v>
      </x:c>
      <x:c r="B7" t="n">
        <x:v>225</x:v>
      </x:c>
      <x:c r="C7" t="n">
        <x:v>0.10997</x:v>
      </x:c>
      <x:c r="D7" t="n">
        <x:v>0.58928</x:v>
      </x:c>
      <x:c r="E7" t="n">
        <x:v>0.82178</x:v>
      </x:c>
      <x:c r="F7" t="n">
        <x:v>1.01729</x:v>
      </x:c>
      <x:c r="G7" t="n">
        <x:v>0.13645</x:v>
      </x:c>
      <x:c r="H7" t="n">
        <x:v>0.70249</x:v>
      </x:c>
      <x:c r="I7" t="n">
        <x:v>1.16183</x:v>
      </x:c>
      <x:c r="J7" t="n">
        <x:v>1.36471</x:v>
      </x:c>
      <x:c r="K7" t="n">
        <x:v>0.157</x:v>
      </x:c>
      <x:c r="L7" t="n">
        <x:v>0.5735</x:v>
      </x:c>
      <x:c r="M7" t="n">
        <x:v>0.871</x:v>
      </x:c>
      <x:c r="N7" t="n">
        <x:v>13.358333333333333</x:v>
      </x:c>
      <x:c r="O7" t="n">
        <x:v>2.3583333333333334</x:v>
      </x:c>
      <x:c r="P7" t="n">
        <x:v>1.6833333333333333</x:v>
      </x:c>
      <x:c r="Q7" t="n">
        <x:v>0.6666666666666666</x:v>
      </x:c>
      <x:c r="R7" t="n">
        <x:v>1</x:v>
      </x:c>
      <x:c r="S7" t="n">
        <x:v>1</x:v>
      </x:c>
      <x:c r="T7" t="n">
        <x:v>0.8962620097356968</x:v>
      </x:c>
      <x:c r="U7" t="n">
        <x:v>0.9900096355796928</x:v>
      </x:c>
      <x:c r="V7" t="n">
        <x:v>0.998614805967727</x:v>
      </x:c>
      <x:c r="W7" t="n">
        <x:v>0.9995994878124492</x:v>
      </x:c>
      <x:c r="X7" t="n">
        <x:v>0.00868</x:v>
      </x:c>
      <x:c r="Y7" t="n">
        <x:v>8.629999999999995</x:v>
      </x:c>
      <x:c r="Z7" t="str">
        <x:v>Z:10</x:v>
      </x:c>
      <x:c r="AA7" t="str">
        <x:v>Poor</x:v>
      </x:c>
      <x:c r="AB7" t="str">
        <x:v>Conditional</x:v>
      </x:c>
      <x:c r="AC7" t="str">
        <x:v>Strong</x:v>
      </x:c>
      <x:c r="AD7" t="str">
        <x:v>Z</x:v>
      </x:c>
    </x:row>
    <x:row r="8">
      <x:c r="A8" t="str">
        <x:v>250Hz-1</x:v>
      </x:c>
      <x:c r="B8" t="n">
        <x:v>250</x:v>
      </x:c>
      <x:c r="C8" t="n">
        <x:v>0.132</x:v>
      </x:c>
      <x:c r="D8" t="n">
        <x:v>1.03026</x:v>
      </x:c>
      <x:c r="E8" t="n">
        <x:v>1.10499</x:v>
      </x:c>
      <x:c r="F8" t="n">
        <x:v>1.51671</x:v>
      </x:c>
      <x:c r="G8" t="n">
        <x:v>0.172</x:v>
      </x:c>
      <x:c r="H8" t="n">
        <x:v>1.31856</x:v>
      </x:c>
      <x:c r="I8" t="n">
        <x:v>1.5451</x:v>
      </x:c>
      <x:c r="J8" t="n">
        <x:v>2.03859</x:v>
      </x:c>
      <x:c r="K8" t="n">
        <x:v>0.17966666666666667</x:v>
      </x:c>
      <x:c r="L8" t="n">
        <x:v>0.8036666666666666</x:v>
      </x:c>
      <x:c r="M8" t="n">
        <x:v>0.9063333333333333</x:v>
      </x:c>
      <x:c r="N8" t="n">
        <x:v>9.996666666666666</x:v>
      </x:c>
      <x:c r="O8" t="n">
        <x:v>1.1366666666666667</x:v>
      </x:c>
      <x:c r="P8" t="n">
        <x:v>1.4733333333333334</x:v>
      </x:c>
      <x:c r="Q8" t="n">
        <x:v>0.8888888888888888</x:v>
      </x:c>
      <x:c r="R8" t="n">
        <x:v>1</x:v>
      </x:c>
      <x:c r="S8" t="n">
        <x:v>1</x:v>
      </x:c>
      <x:c r="T8" t="n">
        <x:v>0.9794683580025982</x:v>
      </x:c>
      <x:c r="U8" t="n">
        <x:v>0.9968357304610247</x:v>
      </x:c>
      <x:c r="V8" t="n">
        <x:v>0.9981724588133687</x:v>
      </x:c>
      <x:c r="W8" t="n">
        <x:v>0.9991456495197185</x:v>
      </x:c>
      <x:c r="X8" t="n">
        <x:v>0.00704</x:v>
      </x:c>
      <x:c r="Y8" t="n">
        <x:v>12.919999999999987</x:v>
      </x:c>
      <x:c r="Z8" t="str">
        <x:v>Z:10</x:v>
      </x:c>
      <x:c r="AA8" t="str">
        <x:v>Poor</x:v>
      </x:c>
      <x:c r="AB8" t="str">
        <x:v>Strong</x:v>
      </x:c>
      <x:c r="AC8" t="str">
        <x:v>Strong</x:v>
      </x:c>
      <x:c r="AD8" t="str">
        <x:v>Z</x:v>
      </x:c>
    </x:row>
    <x:row r="9">
      <x:c r="A9" t="str">
        <x:v>268Hz-1</x:v>
      </x:c>
      <x:c r="B9" t="n">
        <x:v>268</x:v>
      </x:c>
      <x:c r="C9" t="n">
        <x:v>0.14019</x:v>
      </x:c>
      <x:c r="D9" t="n">
        <x:v>1.58098</x:v>
      </x:c>
      <x:c r="E9" t="n">
        <x:v>1.43423</x:v>
      </x:c>
      <x:c r="F9" t="n">
        <x:v>2.13993</x:v>
      </x:c>
      <x:c r="G9" t="n">
        <x:v>0.21777</x:v>
      </x:c>
      <x:c r="H9" t="n">
        <x:v>1.99015</x:v>
      </x:c>
      <x:c r="I9" t="n">
        <x:v>2.15499</x:v>
      </x:c>
      <x:c r="J9" t="n">
        <x:v>2.94172</x:v>
      </x:c>
      <x:c r="K9" t="n">
        <x:v>0.1985</x:v>
      </x:c>
      <x:c r="L9" t="n">
        <x:v>0.8443333333333333</x:v>
      </x:c>
      <x:c r="M9" t="n">
        <x:v>0.9068333333333334</x:v>
      </x:c>
      <x:c r="N9" t="n">
        <x:v>7.858333333333333</x:v>
      </x:c>
      <x:c r="O9" t="n">
        <x:v>2.9333333333333336</x:v>
      </x:c>
      <x:c r="P9" t="n">
        <x:v>2.0816666666666666</x:v>
      </x:c>
      <x:c r="Q9" t="n">
        <x:v>0.8888888888888888</x:v>
      </x:c>
      <x:c r="R9" t="n">
        <x:v>1</x:v>
      </x:c>
      <x:c r="S9" t="n">
        <x:v>1</x:v>
      </x:c>
      <x:c r="T9" t="n">
        <x:v>0.9558805248438661</x:v>
      </x:c>
      <x:c r="U9" t="n">
        <x:v>0.9967392609308523</x:v>
      </x:c>
      <x:c r="V9" t="n">
        <x:v>0.9869660431161758</x:v>
      </x:c>
      <x:c r="W9" t="n">
        <x:v>0.9976391719686252</x:v>
      </x:c>
      <x:c r="X9" t="n">
        <x:v>0.03503</x:v>
      </x:c>
      <x:c r="Y9" t="n">
        <x:v>19.180000000000007</x:v>
      </x:c>
      <x:c r="Z9" t="str">
        <x:v>Y:8 / Z:2</x:v>
      </x:c>
      <x:c r="AA9" t="str">
        <x:v>Poor</x:v>
      </x:c>
      <x:c r="AB9" t="str">
        <x:v>Strong</x:v>
      </x:c>
      <x:c r="AC9" t="str">
        <x:v>Strong</x:v>
      </x:c>
      <x:c r="AD9" t="str">
        <x:v>Z</x:v>
      </x:c>
    </x:row>
    <x:row r="10">
      <x:c r="A10" t="str">
        <x:v>270Hz-1</x:v>
      </x:c>
      <x:c r="B10" t="n">
        <x:v>270</x:v>
      </x:c>
      <x:c r="C10" t="n">
        <x:v>0.14364</x:v>
      </x:c>
      <x:c r="D10" t="n">
        <x:v>1.6695</x:v>
      </x:c>
      <x:c r="E10" t="n">
        <x:v>1.47208</x:v>
      </x:c>
      <x:c r="F10" t="n">
        <x:v>2.23076</x:v>
      </x:c>
      <x:c r="G10" t="n">
        <x:v>0.24334</x:v>
      </x:c>
      <x:c r="H10" t="n">
        <x:v>2.06291</x:v>
      </x:c>
      <x:c r="I10" t="n">
        <x:v>2.18618</x:v>
      </x:c>
      <x:c r="J10" t="n">
        <x:v>3.01612</x:v>
      </x:c>
      <x:c r="K10" t="n">
        <x:v>0.207</x:v>
      </x:c>
      <x:c r="L10" t="n">
        <x:v>0.8491666666666666</x:v>
      </x:c>
      <x:c r="M10" t="n">
        <x:v>0.9011666666666667</x:v>
      </x:c>
      <x:c r="N10" t="n">
        <x:v>30.578333333333333</x:v>
      </x:c>
      <x:c r="O10" t="n">
        <x:v>1.435</x:v>
      </x:c>
      <x:c r="P10" t="n">
        <x:v>1.4166666666666665</x:v>
      </x:c>
      <x:c r="Q10" t="n">
        <x:v>0.6666666666666666</x:v>
      </x:c>
      <x:c r="R10" t="n">
        <x:v>1</x:v>
      </x:c>
      <x:c r="S10" t="n">
        <x:v>1</x:v>
      </x:c>
      <x:c r="T10" t="n">
        <x:v>0.8373927212607277</x:v>
      </x:c>
      <x:c r="U10" t="n">
        <x:v>0.9918708875656111</x:v>
      </x:c>
      <x:c r="V10" t="n">
        <x:v>0.9877580889442441</x:v>
      </x:c>
      <x:c r="W10" t="n">
        <x:v>0.9967885777647911</x:v>
      </x:c>
      <x:c r="X10" t="n">
        <x:v>0.1009</x:v>
      </x:c>
      <x:c r="Y10" t="n">
        <x:v>18.72</x:v>
      </x:c>
      <x:c r="Z10" t="str">
        <x:v>Y:8 / Z:2</x:v>
      </x:c>
      <x:c r="AA10" t="str">
        <x:v>Poor</x:v>
      </x:c>
      <x:c r="AB10" t="str">
        <x:v>Strong</x:v>
      </x:c>
      <x:c r="AC10" t="str">
        <x:v>Strong</x:v>
      </x:c>
      <x:c r="AD10" t="str">
        <x:v>Z</x:v>
      </x:c>
    </x:row>
    <x:row r="11">
      <x:c r="A11" t="str">
        <x:v>275Hz-1</x:v>
      </x:c>
      <x:c r="B11" t="n">
        <x:v>275</x:v>
      </x:c>
      <x:c r="C11" t="n">
        <x:v>0.17726</x:v>
      </x:c>
      <x:c r="D11" t="n">
        <x:v>1.5062</x:v>
      </x:c>
      <x:c r="E11" t="n">
        <x:v>1.92496</x:v>
      </x:c>
      <x:c r="F11" t="n">
        <x:v>2.45679</x:v>
      </x:c>
      <x:c r="G11" t="n">
        <x:v>0.22619</x:v>
      </x:c>
      <x:c r="H11" t="n">
        <x:v>2.21536</x:v>
      </x:c>
      <x:c r="I11" t="n">
        <x:v>2.38177</x:v>
      </x:c>
      <x:c r="J11" t="n">
        <x:v>3.26083</x:v>
      </x:c>
      <x:c r="K11" t="n">
        <x:v>0.21266666666666667</x:v>
      </x:c>
      <x:c r="L11" t="n">
        <x:v>0.8525</x:v>
      </x:c>
      <x:c r="M11" t="n">
        <x:v>0.8996666666666667</x:v>
      </x:c>
      <x:c r="N11" t="n">
        <x:v>10.856666666666666</x:v>
      </x:c>
      <x:c r="O11" t="n">
        <x:v>2.3833333333333333</x:v>
      </x:c>
      <x:c r="P11" t="n">
        <x:v>1.845</x:v>
      </x:c>
      <x:c r="Q11" t="n">
        <x:v>0.8888888888888888</x:v>
      </x:c>
      <x:c r="R11" t="n">
        <x:v>0.8888888888888888</x:v>
      </x:c>
      <x:c r="S11" t="n">
        <x:v>0.8888888888888888</x:v>
      </x:c>
      <x:c r="T11" t="n">
        <x:v>0.955830203210617</x:v>
      </x:c>
      <x:c r="U11" t="n">
        <x:v>0.854478376941748</x:v>
      </x:c>
      <x:c r="V11" t="n">
        <x:v>0.9486563310664808</x:v>
      </x:c>
      <x:c r="W11" t="n">
        <x:v>0.9985494318128987</x:v>
      </x:c>
      <x:c r="X11" t="n">
        <x:v>0.0053</x:v>
      </x:c>
      <x:c r="Y11" t="n">
        <x:v>35.860000000000014</x:v>
      </x:c>
      <x:c r="Z11" t="str">
        <x:v>Y:7 / Z:3</x:v>
      </x:c>
      <x:c r="AA11" t="str">
        <x:v>Poor</x:v>
      </x:c>
      <x:c r="AB11" t="str">
        <x:v>Good</x:v>
      </x:c>
      <x:c r="AC11" t="str">
        <x:v>Good</x:v>
      </x:c>
      <x:c r="AD11" t="str">
        <x:v>Z</x:v>
      </x:c>
    </x:row>
    <x:row r="12">
      <x:c r="A12" t="str">
        <x:v>300Hz-1</x:v>
      </x:c>
      <x:c r="B12" t="n">
        <x:v>300</x:v>
      </x:c>
      <x:c r="C12" t="n">
        <x:v>0.29125</x:v>
      </x:c>
      <x:c r="D12" t="n">
        <x:v>2.34385</x:v>
      </x:c>
      <x:c r="E12" t="n">
        <x:v>2.93343</x:v>
      </x:c>
      <x:c r="F12" t="n">
        <x:v>3.76649</x:v>
      </x:c>
      <x:c r="G12" t="n">
        <x:v>0.44699</x:v>
      </x:c>
      <x:c r="H12" t="n">
        <x:v>2.60589</x:v>
      </x:c>
      <x:c r="I12" t="n">
        <x:v>5.00963</x:v>
      </x:c>
      <x:c r="J12" t="n">
        <x:v>5.66488</x:v>
      </x:c>
      <x:c r="K12" t="n">
        <x:v>0.37016666666666664</x:v>
      </x:c>
      <x:c r="L12" t="n">
        <x:v>0.8816666666666667</x:v>
      </x:c>
      <x:c r="M12" t="n">
        <x:v>0.9135</x:v>
      </x:c>
      <x:c r="N12" t="n">
        <x:v>9.266666666666667</x:v>
      </x:c>
      <x:c r="O12" t="n">
        <x:v>1.3</x:v>
      </x:c>
      <x:c r="P12" t="n">
        <x:v>1.9016666666666666</x:v>
      </x:c>
      <x:c r="Q12" t="n">
        <x:v>0.8888888888888888</x:v>
      </x:c>
      <x:c r="R12" t="n">
        <x:v>0.8888888888888888</x:v>
      </x:c>
      <x:c r="S12" t="n">
        <x:v>1</x:v>
      </x:c>
      <x:c r="T12" t="n">
        <x:v>0.9356602832355916</x:v>
      </x:c>
      <x:c r="U12" t="n">
        <x:v>0.9595013398869986</x:v>
      </x:c>
      <x:c r="V12" t="n">
        <x:v>0.9399392798019192</x:v>
      </x:c>
      <x:c r="W12" t="n">
        <x:v>0.9436455590314381</x:v>
      </x:c>
      <x:c r="X12" t="n">
        <x:v>0.00245</x:v>
      </x:c>
      <x:c r="Y12" t="n">
        <x:v>50.150000000000006</x:v>
      </x:c>
      <x:c r="Z12" t="str">
        <x:v>Y:2 / Z:8</x:v>
      </x:c>
      <x:c r="AA12" t="str">
        <x:v>Poor</x:v>
      </x:c>
      <x:c r="AB12" t="str">
        <x:v>Good</x:v>
      </x:c>
      <x:c r="AC12" t="str">
        <x:v>Strong</x:v>
      </x:c>
      <x:c r="AD12" t="str">
        <x:v>Z</x:v>
      </x:c>
    </x:row>
    <x:row r="13">
      <x:c r="A13" t="str">
        <x:v>325Hz-1</x:v>
      </x:c>
      <x:c r="B13" t="n">
        <x:v>325</x:v>
      </x:c>
      <x:c r="C13" t="n">
        <x:v>0.4734</x:v>
      </x:c>
      <x:c r="D13" t="n">
        <x:v>2.47814</x:v>
      </x:c>
      <x:c r="E13" t="n">
        <x:v>4.45633</x:v>
      </x:c>
      <x:c r="F13" t="n">
        <x:v>5.12114</x:v>
      </x:c>
      <x:c r="G13" t="n">
        <x:v>0.68272</x:v>
      </x:c>
      <x:c r="H13" t="n">
        <x:v>2.15969</x:v>
      </x:c>
      <x:c r="I13" t="n">
        <x:v>8.09895</x:v>
      </x:c>
      <x:c r="J13" t="n">
        <x:v>8.40979</x:v>
      </x:c>
      <x:c r="K13" t="n">
        <x:v>0.4615</x:v>
      </x:c>
      <x:c r="L13" t="n">
        <x:v>0.8105</x:v>
      </x:c>
      <x:c r="M13" t="n">
        <x:v>0.9236666666666667</x:v>
      </x:c>
      <x:c r="N13" t="n">
        <x:v>4.233333333333333</x:v>
      </x:c>
      <x:c r="O13" t="n">
        <x:v>1.0883333333333334</x:v>
      </x:c>
      <x:c r="P13" t="n">
        <x:v>0.5716666666666667</x:v>
      </x:c>
      <x:c r="Q13" t="n">
        <x:v>1</x:v>
      </x:c>
      <x:c r="R13" t="n">
        <x:v>0.4444444444444444</x:v>
      </x:c>
      <x:c r="S13" t="n">
        <x:v>1</x:v>
      </x:c>
      <x:c r="T13" t="n">
        <x:v>0.996249521716551</x:v>
      </x:c>
      <x:c r="U13" t="n">
        <x:v>0.5297795243738375</x:v>
      </x:c>
      <x:c r="V13" t="n">
        <x:v>0.9893702481944067</x:v>
      </x:c>
      <x:c r="W13" t="n">
        <x:v>0.9843619989235164</x:v>
      </x:c>
      <x:c r="X13" t="n">
        <x:v>0.00176</x:v>
      </x:c>
      <x:c r="Y13" t="n">
        <x:v>63.47</x:v>
      </x:c>
      <x:c r="Z13" t="str">
        <x:v>Z:10</x:v>
      </x:c>
      <x:c r="AA13" t="str">
        <x:v>Poor</x:v>
      </x:c>
      <x:c r="AB13" t="str">
        <x:v>Poor</x:v>
      </x:c>
      <x:c r="AC13" t="str">
        <x:v>Strong</x:v>
      </x:c>
      <x:c r="AD13" t="str">
        <x:v>Z</x:v>
      </x:c>
    </x:row>
    <x:row r="14">
      <x:c r="A14" t="str">
        <x:v>225Hz-2</x:v>
      </x:c>
      <x:c r="B14" t="n">
        <x:v>225</x:v>
      </x:c>
      <x:c r="C14" t="n">
        <x:v>0.06403</x:v>
      </x:c>
      <x:c r="D14" t="n">
        <x:v>0.66622</x:v>
      </x:c>
      <x:c r="E14" t="n">
        <x:v>0.69821</x:v>
      </x:c>
      <x:c r="F14" t="n">
        <x:v>0.96743</x:v>
      </x:c>
      <x:c r="G14" t="n">
        <x:v>0.099</x:v>
      </x:c>
      <x:c r="H14" t="n">
        <x:v>0.85695</x:v>
      </x:c>
      <x:c r="I14" t="n">
        <x:v>0.96383</x:v>
      </x:c>
      <x:c r="J14" t="n">
        <x:v>1.29371</x:v>
      </x:c>
      <x:c r="K14" t="n">
        <x:v>0.10133333333333333</x:v>
      </x:c>
      <x:c r="L14" t="n">
        <x:v>0.6201666666666666</x:v>
      </x:c>
      <x:c r="M14" t="n">
        <x:v>0.8541666666666666</x:v>
      </x:c>
      <x:c r="N14" t="n">
        <x:v>18.281666666666666</x:v>
      </x:c>
      <x:c r="O14" t="n">
        <x:v>2.4983333333333335</x:v>
      </x:c>
      <x:c r="P14" t="n">
        <x:v>2.16</x:v>
      </x:c>
      <x:c r="Q14" t="n">
        <x:v>0.5555555555555556</x:v>
      </x:c>
      <x:c r="R14" t="n">
        <x:v>1</x:v>
      </x:c>
      <x:c r="S14" t="n">
        <x:v>1</x:v>
      </x:c>
      <x:c r="T14" t="n">
        <x:v>0.8662205776588503</x:v>
      </x:c>
      <x:c r="U14" t="n">
        <x:v>0.9944051717040487</x:v>
      </x:c>
      <x:c r="V14" t="n">
        <x:v>0.9987422498117211</x:v>
      </x:c>
      <x:c r="W14" t="n">
        <x:v>0.9977640492685464</x:v>
      </x:c>
      <x:c r="X14" t="n">
        <x:v>0.0087</x:v>
      </x:c>
      <x:c r="Y14" t="n">
        <x:v>5.759999999999991</x:v>
      </x:c>
      <x:c r="Z14" t="str">
        <x:v>Z:10</x:v>
      </x:c>
      <x:c r="AA14" t="str">
        <x:v>Poor</x:v>
      </x:c>
      <x:c r="AB14" t="str">
        <x:v>Conditional</x:v>
      </x:c>
      <x:c r="AC14" t="str">
        <x:v>Strong</x:v>
      </x:c>
      <x:c r="AD14" t="str">
        <x:v>Z</x:v>
      </x:c>
    </x:row>
  </x:sheetData>
  <x:pageMargins left="0.7" right="0.7" top="0.75" bottom="0.75" header="0.3" footer="0.3"/>
</x:worksheet>
</file>

<file path=xl/worksheets/sheet13.xml><?xml version="1.0" encoding="utf-8"?>
<x:worksheet xmlns:x="http://schemas.openxmlformats.org/spreadsheetml/2006/main">
  <x:sheetFormatPr defaultRowHeight="15"/>
  <x:cols>
    <x:col min="10" max="10" width="56" hidden="0" customWidth="1"/>
  </x:cols>
  <x:sheetData>
    <x:row r="1">
      <x:c r="A1" s="83" t="str">
        <x:v>Frequency-dependent control-axis map</x:v>
      </x:c>
      <x:c r="B1" s="83"/>
      <x:c r="C1" s="83"/>
      <x:c r="D1" s="83"/>
      <x:c r="E1" s="83"/>
      <x:c r="F1" s="83"/>
      <x:c r="G1" s="83"/>
      <x:c r="H1" s="83"/>
      <x:c r="I1" s="83"/>
      <x:c r="J1" s="83"/>
    </x:row>
    <x:row r="2">
      <x:c r="A2" s="86" t="str">
        <x:v>Engineering screening only: final phase sweep still requires tool-only baseline in the same frozen worn geometry.</x:v>
      </x:c>
      <x:c r="B2" s="86"/>
      <x:c r="C2" s="86"/>
      <x:c r="D2" s="86"/>
      <x:c r="E2" s="86"/>
      <x:c r="F2" s="86"/>
      <x:c r="G2" s="86"/>
      <x:c r="H2" s="86"/>
      <x:c r="I2" s="86"/>
      <x:c r="J2" s="86"/>
    </x:row>
    <x:row r="4">
      <x:c r="A4" s="91" t="str">
        <x:v>Freq Hz</x:v>
      </x:c>
      <x:c r="B4" s="91" t="str">
        <x:v>X control</x:v>
      </x:c>
      <x:c r="C4" s="91" t="str">
        <x:v>Y control</x:v>
      </x:c>
      <x:c r="D4" s="91" t="str">
        <x:v>Z control</x:v>
      </x:c>
      <x:c r="E4" s="91" t="str">
        <x:v>Preferred</x:v>
      </x:c>
      <x:c r="F4" s="91" t="str">
        <x:v>X A20</x:v>
      </x:c>
      <x:c r="G4" s="91" t="str">
        <x:v>Y A20</x:v>
      </x:c>
      <x:c r="H4" s="91" t="str">
        <x:v>Z A20</x:v>
      </x:c>
      <x:c r="I4" s="91" t="str">
        <x:v>Max freq error</x:v>
      </x:c>
      <x:c r="J4" s="91" t="str">
        <x:v>Interpretation</x:v>
      </x:c>
    </x:row>
    <x:row r="5">
      <x:c r="A5" t="n">
        <x:v>100</x:v>
      </x:c>
      <x:c r="B5" t="str">
        <x:v>Poor</x:v>
      </x:c>
      <x:c r="C5" t="str">
        <x:v>Poor</x:v>
      </x:c>
      <x:c r="D5" t="str">
        <x:v>Conditional</x:v>
      </x:c>
      <x:c r="E5" t="str">
        <x:v>Z</x:v>
      </x:c>
      <x:c r="F5" t="n">
        <x:v>0.08723</x:v>
      </x:c>
      <x:c r="G5" t="n">
        <x:v>0.04333</x:v>
      </x:c>
      <x:c r="H5" t="n">
        <x:v>0.50888</x:v>
      </x:c>
      <x:c r="I5" t="n">
        <x:v>0.07725</x:v>
      </x:c>
      <x:c r="J5" s="29" t="str">
        <x:v>Z dominates, but low/moderate sync makes precision phase control conditional.</x:v>
      </x:c>
    </x:row>
    <x:row r="6">
      <x:c r="A6" t="n">
        <x:v>125</x:v>
      </x:c>
      <x:c r="B6" t="str">
        <x:v>Poor</x:v>
      </x:c>
      <x:c r="C6" t="str">
        <x:v>Poor</x:v>
      </x:c>
      <x:c r="D6" t="str">
        <x:v>Conditional</x:v>
      </x:c>
      <x:c r="E6" t="str">
        <x:v>Z</x:v>
      </x:c>
      <x:c r="F6" t="n">
        <x:v>0.08957</x:v>
      </x:c>
      <x:c r="G6" t="n">
        <x:v>0.03514</x:v>
      </x:c>
      <x:c r="H6" t="n">
        <x:v>0.44424</x:v>
      </x:c>
      <x:c r="I6" t="n">
        <x:v>0.0617</x:v>
      </x:c>
      <x:c r="J6" s="29" t="str">
        <x:v>Z dominates, but low/moderate sync makes precision phase control conditional.</x:v>
      </x:c>
    </x:row>
    <x:row r="7">
      <x:c r="A7" t="n">
        <x:v>150</x:v>
      </x:c>
      <x:c r="B7" t="str">
        <x:v>Poor</x:v>
      </x:c>
      <x:c r="C7" t="str">
        <x:v>Poor</x:v>
      </x:c>
      <x:c r="D7" t="str">
        <x:v>Conditional</x:v>
      </x:c>
      <x:c r="E7" t="str">
        <x:v>Z</x:v>
      </x:c>
      <x:c r="F7" t="n">
        <x:v>0.08873</x:v>
      </x:c>
      <x:c r="G7" t="n">
        <x:v>0.10404</x:v>
      </x:c>
      <x:c r="H7" t="n">
        <x:v>0.64303</x:v>
      </x:c>
      <x:c r="I7" t="n">
        <x:v>0.03207</x:v>
      </x:c>
      <x:c r="J7" s="29" t="str">
        <x:v>Z dominates, but low/moderate sync makes precision phase control conditional.</x:v>
      </x:c>
    </x:row>
    <x:row r="8">
      <x:c r="A8" t="n">
        <x:v>175</x:v>
      </x:c>
      <x:c r="B8" t="str">
        <x:v>Poor</x:v>
      </x:c>
      <x:c r="C8" t="str">
        <x:v>Poor</x:v>
      </x:c>
      <x:c r="D8" t="str">
        <x:v>Good</x:v>
      </x:c>
      <x:c r="E8" t="str">
        <x:v>Z</x:v>
      </x:c>
      <x:c r="F8" t="n">
        <x:v>0.11027</x:v>
      </x:c>
      <x:c r="G8" t="n">
        <x:v>0.19574</x:v>
      </x:c>
      <x:c r="H8" t="n">
        <x:v>0.89936</x:v>
      </x:c>
      <x:c r="I8" t="n">
        <x:v>0.05206</x:v>
      </x:c>
      <x:c r="J8" s="29" t="str">
        <x:v>Z preferred; coherence improving.</x:v>
      </x:c>
    </x:row>
    <x:row r="9">
      <x:c r="A9" t="n">
        <x:v>200</x:v>
      </x:c>
      <x:c r="B9" t="str">
        <x:v>Poor</x:v>
      </x:c>
      <x:c r="C9" t="str">
        <x:v>Poor</x:v>
      </x:c>
      <x:c r="D9" t="str">
        <x:v>Good</x:v>
      </x:c>
      <x:c r="E9" t="str">
        <x:v>Z</x:v>
      </x:c>
      <x:c r="F9" t="n">
        <x:v>0.1149</x:v>
      </x:c>
      <x:c r="G9" t="n">
        <x:v>0.36147</x:v>
      </x:c>
      <x:c r="H9" t="n">
        <x:v>0.96775</x:v>
      </x:c>
      <x:c r="I9" t="n">
        <x:v>0.01315</x:v>
      </x:c>
      <x:c r="J9" s="29" t="str">
        <x:v>Good Z-control region.</x:v>
      </x:c>
    </x:row>
    <x:row r="10">
      <x:c r="A10" t="n">
        <x:v>225</x:v>
      </x:c>
      <x:c r="B10" t="str">
        <x:v>Poor</x:v>
      </x:c>
      <x:c r="C10" t="str">
        <x:v>Conditional</x:v>
      </x:c>
      <x:c r="D10" t="str">
        <x:v>Strong</x:v>
      </x:c>
      <x:c r="E10" t="str">
        <x:v>Z</x:v>
      </x:c>
      <x:c r="F10" t="n">
        <x:v>0.13645</x:v>
      </x:c>
      <x:c r="G10" t="n">
        <x:v>0.70249</x:v>
      </x:c>
      <x:c r="H10" t="n">
        <x:v>1.16183</x:v>
      </x:c>
      <x:c r="I10" t="n">
        <x:v>0.00868</x:v>
      </x:c>
      <x:c r="J10" s="29" t="str">
        <x:v>Strong Z-control; Y becomes useful toward 250 Hz.</x:v>
      </x:c>
    </x:row>
    <x:row r="11">
      <x:c r="A11" t="n">
        <x:v>250</x:v>
      </x:c>
      <x:c r="B11" t="str">
        <x:v>Poor</x:v>
      </x:c>
      <x:c r="C11" t="str">
        <x:v>Strong</x:v>
      </x:c>
      <x:c r="D11" t="str">
        <x:v>Strong</x:v>
      </x:c>
      <x:c r="E11" t="str">
        <x:v>Z</x:v>
      </x:c>
      <x:c r="F11" t="n">
        <x:v>0.172</x:v>
      </x:c>
      <x:c r="G11" t="n">
        <x:v>1.31856</x:v>
      </x:c>
      <x:c r="H11" t="n">
        <x:v>1.5451</x:v>
      </x:c>
      <x:c r="I11" t="n">
        <x:v>0.00704</x:v>
      </x:c>
      <x:c r="J11" s="29" t="str">
        <x:v>Strong Z-control; Y becomes useful toward 250 Hz.</x:v>
      </x:c>
    </x:row>
    <x:row r="12">
      <x:c r="A12" t="n">
        <x:v>268</x:v>
      </x:c>
      <x:c r="B12" t="str">
        <x:v>Poor</x:v>
      </x:c>
      <x:c r="C12" t="str">
        <x:v>Strong</x:v>
      </x:c>
      <x:c r="D12" t="str">
        <x:v>Strong</x:v>
      </x:c>
      <x:c r="E12" t="str">
        <x:v>Z</x:v>
      </x:c>
      <x:c r="F12" t="n">
        <x:v>0.21777</x:v>
      </x:c>
      <x:c r="G12" t="n">
        <x:v>1.99015</x:v>
      </x:c>
      <x:c r="H12" t="n">
        <x:v>2.15499</x:v>
      </x:c>
      <x:c r="I12" t="n">
        <x:v>0.03503</x:v>
      </x:c>
      <x:c r="J12" s="29" t="str">
        <x:v>Y–Z coupled region; Z preferred because its synchronization is consistently higher.</x:v>
      </x:c>
    </x:row>
    <x:row r="13">
      <x:c r="A13" t="n">
        <x:v>270</x:v>
      </x:c>
      <x:c r="B13" t="str">
        <x:v>Poor</x:v>
      </x:c>
      <x:c r="C13" t="str">
        <x:v>Strong</x:v>
      </x:c>
      <x:c r="D13" t="str">
        <x:v>Strong</x:v>
      </x:c>
      <x:c r="E13" t="str">
        <x:v>Z</x:v>
      </x:c>
      <x:c r="F13" t="n">
        <x:v>0.24334</x:v>
      </x:c>
      <x:c r="G13" t="n">
        <x:v>2.06291</x:v>
      </x:c>
      <x:c r="H13" t="n">
        <x:v>2.18618</x:v>
      </x:c>
      <x:c r="I13" t="n">
        <x:v>0.1009</x:v>
      </x:c>
      <x:c r="J13" s="29" t="str">
        <x:v>Y–Z coupled region; Z preferred because its synchronization is consistently higher.</x:v>
      </x:c>
    </x:row>
    <x:row r="14">
      <x:c r="A14" t="n">
        <x:v>275</x:v>
      </x:c>
      <x:c r="B14" t="str">
        <x:v>Poor</x:v>
      </x:c>
      <x:c r="C14" t="str">
        <x:v>Good</x:v>
      </x:c>
      <x:c r="D14" t="str">
        <x:v>Good</x:v>
      </x:c>
      <x:c r="E14" t="str">
        <x:v>Z</x:v>
      </x:c>
      <x:c r="F14" t="n">
        <x:v>0.22619</x:v>
      </x:c>
      <x:c r="G14" t="n">
        <x:v>2.21536</x:v>
      </x:c>
      <x:c r="H14" t="n">
        <x:v>2.38177</x:v>
      </x:c>
      <x:c r="I14" t="n">
        <x:v>0.0053</x:v>
      </x:c>
      <x:c r="J14" s="29" t="str">
        <x:v>Y–Z coupled region; Z preferred because its synchronization is consistently higher.</x:v>
      </x:c>
    </x:row>
    <x:row r="15">
      <x:c r="A15" t="n">
        <x:v>300</x:v>
      </x:c>
      <x:c r="B15" t="str">
        <x:v>Poor</x:v>
      </x:c>
      <x:c r="C15" t="str">
        <x:v>Good</x:v>
      </x:c>
      <x:c r="D15" t="str">
        <x:v>Strong</x:v>
      </x:c>
      <x:c r="E15" t="str">
        <x:v>Z</x:v>
      </x:c>
      <x:c r="F15" t="n">
        <x:v>0.44699</x:v>
      </x:c>
      <x:c r="G15" t="n">
        <x:v>2.60589</x:v>
      </x:c>
      <x:c r="H15" t="n">
        <x:v>5.00963</x:v>
      </x:c>
      <x:c r="I15" t="n">
        <x:v>0.00245</x:v>
      </x:c>
      <x:c r="J15" s="29" t="str">
        <x:v>Strong Z control, but rising gain requires conservative DAC bounds.</x:v>
      </x:c>
    </x:row>
    <x:row r="16">
      <x:c r="A16" t="n">
        <x:v>325</x:v>
      </x:c>
      <x:c r="B16" t="str">
        <x:v>Poor</x:v>
      </x:c>
      <x:c r="C16" t="str">
        <x:v>Poor</x:v>
      </x:c>
      <x:c r="D16" t="str">
        <x:v>Strong</x:v>
      </x:c>
      <x:c r="E16" t="str">
        <x:v>Z</x:v>
      </x:c>
      <x:c r="F16" t="n">
        <x:v>0.68272</x:v>
      </x:c>
      <x:c r="G16" t="n">
        <x:v>2.15969</x:v>
      </x:c>
      <x:c r="H16" t="n">
        <x:v>8.09895</x:v>
      </x:c>
      <x:c r="I16" t="n">
        <x:v>0.00176</x:v>
      </x:c>
      <x:c r="J16" s="29" t="str">
        <x:v>Strong Z control, but rising gain requires conservative DAC bounds.</x:v>
      </x:c>
    </x:row>
    <x:row r="17">
      <x:c r="J17" s="29"/>
    </x:row>
    <x:row r="18">
      <x:c r="J18" s="29"/>
    </x:row>
    <x:row r="19">
      <x:c r="J19" s="29"/>
    </x:row>
    <x:row r="20">
      <x:c r="J20" s="29"/>
    </x:row>
  </x:sheetData>
  <x:mergeCells>
    <x:mergeCell ref="A1:J1"/>
    <x:mergeCell ref="A2:J2"/>
  </x:mergeCells>
  <x:pageMargins left="0.7" right="0.7" top="0.75" bottom="0.75" header="0.3" footer="0.3"/>
</x:worksheet>
</file>

<file path=xl/worksheets/sheet14.xml><?xml version="1.0" encoding="utf-8"?>
<x:worksheet xmlns:x="http://schemas.openxmlformats.org/spreadsheetml/2006/main">
  <x:sheetFormatPr defaultRowHeight="15"/>
  <x:sheetData>
    <x:row r="1">
      <x:c r="A1" s="83" t="str">
        <x:v>Horizontal vs inclined response at DAC 15</x:v>
      </x:c>
      <x:c r="B1" s="83"/>
      <x:c r="C1" s="83"/>
      <x:c r="D1" s="83"/>
      <x:c r="E1" s="83"/>
      <x:c r="F1" s="83"/>
      <x:c r="G1" s="83"/>
      <x:c r="H1" s="83"/>
      <x:c r="I1" s="83"/>
      <x:c r="J1" s="83"/>
      <x:c r="K1" s="83"/>
      <x:c r="L1" s="83"/>
      <x:c r="M1" s="83"/>
      <x:c r="N1" s="83"/>
      <x:c r="O1" s="83"/>
    </x:row>
    <x:row r="2">
      <x:c r="A2" s="86" t="str">
        <x:v>Same DAC comparison shows how installation geometry changes the complete actuator–mount transfer response.</x:v>
      </x:c>
      <x:c r="B2" s="86"/>
      <x:c r="C2" s="86"/>
      <x:c r="D2" s="86"/>
      <x:c r="E2" s="86"/>
      <x:c r="F2" s="86"/>
      <x:c r="G2" s="86"/>
      <x:c r="H2" s="86"/>
      <x:c r="I2" s="86"/>
      <x:c r="J2" s="86"/>
      <x:c r="K2" s="86"/>
      <x:c r="L2" s="86"/>
      <x:c r="M2" s="86"/>
      <x:c r="N2" s="86"/>
      <x:c r="O2" s="86"/>
    </x:row>
    <x:row r="4">
      <x:c r="A4" s="91" t="str">
        <x:v>Freq</x:v>
      </x:c>
      <x:c r="B4" s="91" t="str">
        <x:v>H dom</x:v>
      </x:c>
      <x:c r="C4" s="91" t="str">
        <x:v>I dom</x:v>
      </x:c>
      <x:c r="D4" s="91" t="str">
        <x:v>H X</x:v>
      </x:c>
      <x:c r="E4" s="91" t="str">
        <x:v>I X</x:v>
      </x:c>
      <x:c r="F4" s="91" t="str">
        <x:v>H Y</x:v>
      </x:c>
      <x:c r="G4" s="91" t="str">
        <x:v>I Y</x:v>
      </x:c>
      <x:c r="H4" s="91" t="str">
        <x:v>H Z</x:v>
      </x:c>
      <x:c r="I4" s="91" t="str">
        <x:v>I Z</x:v>
      </x:c>
      <x:c r="J4" s="91" t="str">
        <x:v>H Total</x:v>
      </x:c>
      <x:c r="K4" s="91" t="str">
        <x:v>I Total</x:v>
      </x:c>
      <x:c r="L4" s="91" t="str">
        <x:v>I/H Total</x:v>
      </x:c>
      <x:c r="M4" s="91" t="str">
        <x:v>I X sync</x:v>
      </x:c>
      <x:c r="N4" s="91" t="str">
        <x:v>I Y sync</x:v>
      </x:c>
      <x:c r="O4" s="91" t="str">
        <x:v>I Z sync</x:v>
      </x:c>
    </x:row>
    <x:row r="5">
      <x:c r="A5" t="n">
        <x:v>100</x:v>
      </x:c>
      <x:c r="B5" t="str">
        <x:v>X</x:v>
      </x:c>
      <x:c r="C5" t="str">
        <x:v>Z</x:v>
      </x:c>
      <x:c r="D5" t="n">
        <x:v>2.31402</x:v>
      </x:c>
      <x:c r="E5" t="n">
        <x:v>0.05338</x:v>
      </x:c>
      <x:c r="F5" t="n">
        <x:v>2.05378</x:v>
      </x:c>
      <x:c r="G5" t="n">
        <x:v>0.02795</x:v>
      </x:c>
      <x:c r="H5" t="n">
        <x:v>1.57215</x:v>
      </x:c>
      <x:c r="I5" t="n">
        <x:v>0.24307</x:v>
      </x:c>
      <x:c r="J5" t="n">
        <x:v>3.47061</x:v>
      </x:c>
      <x:c r="K5" t="n">
        <x:v>0.25082</x:v>
      </x:c>
      <x:c r="L5" t="n">
        <x:v>0.07226971627466064</x:v>
      </x:c>
      <x:c r="M5" t="n">
        <x:v>0.077</x:v>
      </x:c>
      <x:c r="N5" t="n">
        <x:v>0.037</x:v>
      </x:c>
      <x:c r="O5" t="n">
        <x:v>0.435</x:v>
      </x:c>
    </x:row>
    <x:row r="6">
      <x:c r="A6" t="n">
        <x:v>125</x:v>
      </x:c>
      <x:c r="B6" t="str">
        <x:v>Y</x:v>
      </x:c>
      <x:c r="C6" t="str">
        <x:v>Z</x:v>
      </x:c>
      <x:c r="D6" t="n">
        <x:v>0.79395</x:v>
      </x:c>
      <x:c r="E6" t="n">
        <x:v>0.03971</x:v>
      </x:c>
      <x:c r="F6" t="n">
        <x:v>2.26703</x:v>
      </x:c>
      <x:c r="G6" t="n">
        <x:v>0.06011</x:v>
      </x:c>
      <x:c r="H6" t="n">
        <x:v>0.70313</x:v>
      </x:c>
      <x:c r="I6" t="n">
        <x:v>0.20952</x:v>
      </x:c>
      <x:c r="J6" t="n">
        <x:v>2.50293</x:v>
      </x:c>
      <x:c r="K6" t="n">
        <x:v>0.22192</x:v>
      </x:c>
      <x:c r="L6" t="n">
        <x:v>0.08866408569156949</x:v>
      </x:c>
      <x:c r="M6" t="n">
        <x:v>0.062</x:v>
      </x:c>
      <x:c r="N6" t="n">
        <x:v>0.078</x:v>
      </x:c>
      <x:c r="O6" t="n">
        <x:v>0.394</x:v>
      </x:c>
    </x:row>
    <x:row r="7">
      <x:c r="A7" t="n">
        <x:v>150</x:v>
      </x:c>
      <x:c r="B7" t="str">
        <x:v>Y</x:v>
      </x:c>
      <x:c r="C7" t="str">
        <x:v>Z</x:v>
      </x:c>
      <x:c r="D7" t="n">
        <x:v>0.30715</x:v>
      </x:c>
      <x:c r="E7" t="n">
        <x:v>0.05076</x:v>
      </x:c>
      <x:c r="F7" t="n">
        <x:v>0.92824</x:v>
      </x:c>
      <x:c r="G7" t="n">
        <x:v>0.10497</x:v>
      </x:c>
      <x:c r="H7" t="n">
        <x:v>0.80842</x:v>
      </x:c>
      <x:c r="I7" t="n">
        <x:v>0.3536</x:v>
      </x:c>
      <x:c r="J7" t="n">
        <x:v>1.26878</x:v>
      </x:c>
      <x:c r="K7" t="n">
        <x:v>0.37255</x:v>
      </x:c>
      <x:c r="L7" t="n">
        <x:v>0.293628525039802</x:v>
      </x:c>
      <x:c r="M7" t="n">
        <x:v>0.082</x:v>
      </x:c>
      <x:c r="N7" t="n">
        <x:v>0.121</x:v>
      </x:c>
      <x:c r="O7" t="n">
        <x:v>0.589</x:v>
      </x:c>
    </x:row>
    <x:row r="8">
      <x:c r="A8" t="n">
        <x:v>175</x:v>
      </x:c>
      <x:c r="B8" t="str">
        <x:v>Z</x:v>
      </x:c>
      <x:c r="C8" t="str">
        <x:v>Z</x:v>
      </x:c>
      <x:c r="D8" t="n">
        <x:v>0.02367</x:v>
      </x:c>
      <x:c r="E8" t="n">
        <x:v>0.07024</x:v>
      </x:c>
      <x:c r="F8" t="n">
        <x:v>0.19369</x:v>
      </x:c>
      <x:c r="G8" t="n">
        <x:v>0.18806</x:v>
      </x:c>
      <x:c r="H8" t="n">
        <x:v>0.48801</x:v>
      </x:c>
      <x:c r="I8" t="n">
        <x:v>0.36519</x:v>
      </x:c>
      <x:c r="J8" t="n">
        <x:v>0.52734</x:v>
      </x:c>
      <x:c r="K8" t="n">
        <x:v>0.41712</x:v>
      </x:c>
      <x:c r="L8" t="n">
        <x:v>0.7909887359198998</x:v>
      </x:c>
      <x:c r="M8" t="n">
        <x:v>0.118</x:v>
      </x:c>
      <x:c r="N8" t="n">
        <x:v>0.216</x:v>
      </x:c>
      <x:c r="O8" t="n">
        <x:v>0.647</x:v>
      </x:c>
    </x:row>
    <x:row r="9">
      <x:c r="A9" t="n">
        <x:v>200</x:v>
      </x:c>
      <x:c r="B9" t="str">
        <x:v>Z</x:v>
      </x:c>
      <x:c r="C9" t="str">
        <x:v>Z</x:v>
      </x:c>
      <x:c r="D9" t="n">
        <x:v>0.02327</x:v>
      </x:c>
      <x:c r="E9" t="n">
        <x:v>0.05981</x:v>
      </x:c>
      <x:c r="F9" t="n">
        <x:v>0.20091</x:v>
      </x:c>
      <x:c r="G9" t="n">
        <x:v>0.26353</x:v>
      </x:c>
      <x:c r="H9" t="n">
        <x:v>0.58172</x:v>
      </x:c>
      <x:c r="I9" t="n">
        <x:v>0.4591</x:v>
      </x:c>
      <x:c r="J9" t="n">
        <x:v>0.61603</x:v>
      </x:c>
      <x:c r="K9" t="n">
        <x:v>0.53364</x:v>
      </x:c>
      <x:c r="L9" t="n">
        <x:v>0.8662565134814864</x:v>
      </x:c>
      <x:c r="M9" t="n">
        <x:v>0.097</x:v>
      </x:c>
      <x:c r="N9" t="n">
        <x:v>0.29</x:v>
      </x:c>
      <x:c r="O9" t="n">
        <x:v>0.726</x:v>
      </x:c>
    </x:row>
    <x:row r="10">
      <x:c r="A10" t="n">
        <x:v>225</x:v>
      </x:c>
      <x:c r="B10" t="str">
        <x:v>Z</x:v>
      </x:c>
      <x:c r="C10" t="str">
        <x:v>Z</x:v>
      </x:c>
      <x:c r="D10" t="n">
        <x:v>0.03635</x:v>
      </x:c>
      <x:c r="E10" t="n">
        <x:v>0.10997</x:v>
      </x:c>
      <x:c r="F10" t="n">
        <x:v>0.28218</x:v>
      </x:c>
      <x:c r="G10" t="n">
        <x:v>0.58928</x:v>
      </x:c>
      <x:c r="H10" t="n">
        <x:v>0.43474</x:v>
      </x:c>
      <x:c r="I10" t="n">
        <x:v>0.82178</x:v>
      </x:c>
      <x:c r="J10" t="n">
        <x:v>0.51993</x:v>
      </x:c>
      <x:c r="K10" t="n">
        <x:v>1.01729</x:v>
      </x:c>
      <x:c r="L10" t="n">
        <x:v>1.95659031023407</x:v>
      </x:c>
      <x:c r="M10" t="n">
        <x:v>0.139</x:v>
      </x:c>
      <x:c r="N10" t="n">
        <x:v>0.546</x:v>
      </x:c>
      <x:c r="O10" t="n">
        <x:v>0.858</x:v>
      </x:c>
    </x:row>
    <x:row r="11">
      <x:c r="A11" t="n">
        <x:v>250</x:v>
      </x:c>
      <x:c r="B11" t="str">
        <x:v>Z</x:v>
      </x:c>
      <x:c r="C11" t="str">
        <x:v>Z</x:v>
      </x:c>
      <x:c r="D11" t="n">
        <x:v>0.0975</x:v>
      </x:c>
      <x:c r="E11" t="n">
        <x:v>0.132</x:v>
      </x:c>
      <x:c r="F11" t="n">
        <x:v>0.40939</x:v>
      </x:c>
      <x:c r="G11" t="n">
        <x:v>1.03026</x:v>
      </x:c>
      <x:c r="H11" t="n">
        <x:v>0.7997</x:v>
      </x:c>
      <x:c r="I11" t="n">
        <x:v>1.10499</x:v>
      </x:c>
      <x:c r="J11" t="n">
        <x:v>0.90656</x:v>
      </x:c>
      <x:c r="K11" t="n">
        <x:v>1.51671</x:v>
      </x:c>
      <x:c r="L11" t="n">
        <x:v>1.6730387398517472</x:v>
      </x:c>
      <x:c r="M11" t="n">
        <x:v>0.147</x:v>
      </x:c>
      <x:c r="N11" t="n">
        <x:v>0.772</x:v>
      </x:c>
      <x:c r="O11" t="n">
        <x:v>0.896</x:v>
      </x:c>
    </x:row>
    <x:row r="12">
      <x:c r="A12" t="n">
        <x:v>275</x:v>
      </x:c>
      <x:c r="B12" t="str">
        <x:v>Z</x:v>
      </x:c>
      <x:c r="C12" t="str">
        <x:v>Z</x:v>
      </x:c>
      <x:c r="D12" t="n">
        <x:v>0.1935</x:v>
      </x:c>
      <x:c r="E12" t="n">
        <x:v>0.17726</x:v>
      </x:c>
      <x:c r="F12" t="n">
        <x:v>0.50459</x:v>
      </x:c>
      <x:c r="G12" t="n">
        <x:v>1.5062</x:v>
      </x:c>
      <x:c r="H12" t="n">
        <x:v>1.0661</x:v>
      </x:c>
      <x:c r="I12" t="n">
        <x:v>1.92496</x:v>
      </x:c>
      <x:c r="J12" t="n">
        <x:v>1.19635</x:v>
      </x:c>
      <x:c r="K12" t="n">
        <x:v>2.45679</x:v>
      </x:c>
      <x:c r="L12" t="n">
        <x:v>2.053571279307895</x:v>
      </x:c>
      <x:c r="M12" t="n">
        <x:v>0.212</x:v>
      </x:c>
      <x:c r="N12" t="n">
        <x:v>0.797</x:v>
      </x:c>
      <x:c r="O12" t="n">
        <x:v>0.881</x:v>
      </x:c>
    </x:row>
    <x:row r="13">
      <x:c r="A13" t="n">
        <x:v>300</x:v>
      </x:c>
      <x:c r="B13" t="str">
        <x:v>Z</x:v>
      </x:c>
      <x:c r="C13" t="str">
        <x:v>Z</x:v>
      </x:c>
      <x:c r="D13" t="n">
        <x:v>0.37804</x:v>
      </x:c>
      <x:c r="E13" t="n">
        <x:v>0.29125</x:v>
      </x:c>
      <x:c r="F13" t="n">
        <x:v>0.63158</x:v>
      </x:c>
      <x:c r="G13" t="n">
        <x:v>2.34385</x:v>
      </x:c>
      <x:c r="H13" t="n">
        <x:v>0.87515</x:v>
      </x:c>
      <x:c r="I13" t="n">
        <x:v>2.93343</x:v>
      </x:c>
      <x:c r="J13" t="n">
        <x:v>1.1439</x:v>
      </x:c>
      <x:c r="K13" t="n">
        <x:v>3.76649</x:v>
      </x:c>
      <x:c r="L13" t="n">
        <x:v>3.2926741848063643</x:v>
      </x:c>
      <x:c r="M13" t="n">
        <x:v>0.3</x:v>
      </x:c>
      <x:c r="N13" t="n">
        <x:v>0.885</x:v>
      </x:c>
      <x:c r="O13" t="n">
        <x:v>0.907</x:v>
      </x:c>
    </x:row>
    <x:row r="14">
      <x:c r="A14" t="n">
        <x:v>325</x:v>
      </x:c>
      <x:c r="B14" t="str">
        <x:v>Y</x:v>
      </x:c>
      <x:c r="C14" t="str">
        <x:v>Z</x:v>
      </x:c>
      <x:c r="D14" t="n">
        <x:v>0.4409</x:v>
      </x:c>
      <x:c r="E14" t="n">
        <x:v>0.4734</x:v>
      </x:c>
      <x:c r="F14" t="n">
        <x:v>0.7119</x:v>
      </x:c>
      <x:c r="G14" t="n">
        <x:v>2.47814</x:v>
      </x:c>
      <x:c r="H14" t="n">
        <x:v>0.21045</x:v>
      </x:c>
      <x:c r="I14" t="n">
        <x:v>4.45633</x:v>
      </x:c>
      <x:c r="J14" t="n">
        <x:v>0.86391</x:v>
      </x:c>
      <x:c r="K14" t="n">
        <x:v>5.12114</x:v>
      </x:c>
      <x:c r="L14" t="n">
        <x:v>5.927862856084546</x:v>
      </x:c>
      <x:c r="M14" t="n">
        <x:v>0.434</x:v>
      </x:c>
      <x:c r="N14" t="n">
        <x:v>0.833</x:v>
      </x:c>
      <x:c r="O14" t="n">
        <x:v>0.921</x:v>
      </x:c>
    </x:row>
  </x:sheetData>
  <x:mergeCells>
    <x:mergeCell ref="A1:O1"/>
    <x:mergeCell ref="A2:O2"/>
  </x:mergeCells>
  <x:pageMargins left="0.7" right="0.7" top="0.75" bottom="0.75" header="0.3" footer="0.3"/>
</x:worksheet>
</file>

<file path=xl/worksheets/sheet15.xml><?xml version="1.0" encoding="utf-8"?>
<x:worksheet xmlns:x="http://schemas.openxmlformats.org/spreadsheetml/2006/main">
  <x:sheetFormatPr defaultRowHeight="15"/>
  <x:cols>
    <x:col min="14" max="14" width="62" hidden="0" customWidth="1"/>
  </x:cols>
  <x:sheetData>
    <x:row r="1">
      <x:c r="A1" s="83" t="str">
        <x:v>Final phase-sweep decision table</x:v>
      </x:c>
      <x:c r="B1" s="83"/>
      <x:c r="C1" s="83"/>
      <x:c r="D1" s="83"/>
      <x:c r="E1" s="83"/>
      <x:c r="F1" s="83"/>
      <x:c r="G1" s="83"/>
      <x:c r="H1" s="83"/>
      <x:c r="I1" s="83"/>
      <x:c r="J1" s="83"/>
      <x:c r="K1" s="83"/>
      <x:c r="L1" s="83"/>
      <x:c r="M1" s="83"/>
      <x:c r="N1" s="83"/>
    </x:row>
    <x:row r="2">
      <x:c r="A2" s="86" t="str">
        <x:v>Actuator-side evidence strongly favors Z around 268–270 Hz. Y is also strong; X is weak/low-coherence. Final selection must be checked against the tool-only disturbance in the same geometry.</x:v>
      </x:c>
      <x:c r="B2" s="86"/>
      <x:c r="C2" s="86"/>
      <x:c r="D2" s="86"/>
      <x:c r="E2" s="86"/>
      <x:c r="F2" s="86"/>
      <x:c r="G2" s="86"/>
      <x:c r="H2" s="86"/>
      <x:c r="I2" s="86"/>
      <x:c r="J2" s="86"/>
      <x:c r="K2" s="86"/>
      <x:c r="L2" s="86"/>
      <x:c r="M2" s="86"/>
      <x:c r="N2" s="86"/>
    </x:row>
    <x:row r="4">
      <x:c r="A4" s="91" t="str">
        <x:v>Freq</x:v>
      </x:c>
      <x:c r="B4" s="91" t="str">
        <x:v>DAC</x:v>
      </x:c>
      <x:c r="C4" s="91" t="str">
        <x:v>X A</x:v>
      </x:c>
      <x:c r="D4" s="91" t="str">
        <x:v>X sync</x:v>
      </x:c>
      <x:c r="E4" s="91" t="str">
        <x:v>X CV</x:v>
      </x:c>
      <x:c r="F4" s="91" t="str">
        <x:v>Y A</x:v>
      </x:c>
      <x:c r="G4" s="91" t="str">
        <x:v>Y sync</x:v>
      </x:c>
      <x:c r="H4" s="91" t="str">
        <x:v>Y CV</x:v>
      </x:c>
      <x:c r="I4" s="91" t="str">
        <x:v>Z A</x:v>
      </x:c>
      <x:c r="J4" s="91" t="str">
        <x:v>Z sync</x:v>
      </x:c>
      <x:c r="K4" s="91" t="str">
        <x:v>Z CV</x:v>
      </x:c>
      <x:c r="L4" s="91" t="str">
        <x:v>Dominant</x:v>
      </x:c>
      <x:c r="M4" s="91" t="str">
        <x:v>Preferred</x:v>
      </x:c>
      <x:c r="N4" s="91" t="str">
        <x:v>Interpretation</x:v>
      </x:c>
    </x:row>
    <x:row r="5">
      <x:c r="A5" t="n">
        <x:v>225</x:v>
      </x:c>
      <x:c r="B5" t="n">
        <x:v>15</x:v>
      </x:c>
      <x:c r="C5" t="n">
        <x:v>0.10997</x:v>
      </x:c>
      <x:c r="D5" t="n">
        <x:v>0.139</x:v>
      </x:c>
      <x:c r="E5" t="n">
        <x:v>13.3</x:v>
      </x:c>
      <x:c r="F5" t="n">
        <x:v>0.58928</x:v>
      </x:c>
      <x:c r="G5" t="n">
        <x:v>0.546</x:v>
      </x:c>
      <x:c r="H5" t="n">
        <x:v>3.51</x:v>
      </x:c>
      <x:c r="I5" t="n">
        <x:v>0.82178</x:v>
      </x:c>
      <x:c r="J5" t="n">
        <x:v>0.858</x:v>
      </x:c>
      <x:c r="K5" t="n">
        <x:v>2.44</x:v>
      </x:c>
      <x:c r="L5" t="str">
        <x:v>Z</x:v>
      </x:c>
      <x:c r="M5" t="str">
        <x:v>Z</x:v>
      </x:c>
      <x:c r="N5" s="29" t="str">
        <x:v>Z is the most robust actuator axis.</x:v>
      </x:c>
    </x:row>
    <x:row r="6">
      <x:c r="A6" t="n">
        <x:v>225</x:v>
      </x:c>
      <x:c r="B6" t="n">
        <x:v>20</x:v>
      </x:c>
      <x:c r="C6" t="n">
        <x:v>0.13645</x:v>
      </x:c>
      <x:c r="D6" t="n">
        <x:v>0.152</x:v>
      </x:c>
      <x:c r="E6" t="n">
        <x:v>10.2</x:v>
      </x:c>
      <x:c r="F6" t="n">
        <x:v>0.70249</x:v>
      </x:c>
      <x:c r="G6" t="n">
        <x:v>0.606</x:v>
      </x:c>
      <x:c r="H6" t="n">
        <x:v>2.98</x:v>
      </x:c>
      <x:c r="I6" t="n">
        <x:v>1.16183</x:v>
      </x:c>
      <x:c r="J6" t="n">
        <x:v>0.869</x:v>
      </x:c>
      <x:c r="K6" t="n">
        <x:v>0.91</x:v>
      </x:c>
      <x:c r="L6" t="str">
        <x:v>Z</x:v>
      </x:c>
      <x:c r="M6" t="str">
        <x:v>Z</x:v>
      </x:c>
      <x:c r="N6" s="29" t="str">
        <x:v>Z is the most robust actuator axis.</x:v>
      </x:c>
    </x:row>
    <x:row r="7">
      <x:c r="A7" t="n">
        <x:v>250</x:v>
      </x:c>
      <x:c r="B7" t="n">
        <x:v>15</x:v>
      </x:c>
      <x:c r="C7" t="n">
        <x:v>0.132</x:v>
      </x:c>
      <x:c r="D7" t="n">
        <x:v>0.147</x:v>
      </x:c>
      <x:c r="E7" t="n">
        <x:v>8.09</x:v>
      </x:c>
      <x:c r="F7" t="n">
        <x:v>1.03026</x:v>
      </x:c>
      <x:c r="G7" t="n">
        <x:v>0.772</x:v>
      </x:c>
      <x:c r="H7" t="n">
        <x:v>2.03</x:v>
      </x:c>
      <x:c r="I7" t="n">
        <x:v>1.10499</x:v>
      </x:c>
      <x:c r="J7" t="n">
        <x:v>0.896</x:v>
      </x:c>
      <x:c r="K7" t="n">
        <x:v>1.44</x:v>
      </x:c>
      <x:c r="L7" t="str">
        <x:v>Z</x:v>
      </x:c>
      <x:c r="M7" t="str">
        <x:v>Z</x:v>
      </x:c>
      <x:c r="N7" s="29" t="str">
        <x:v>Z is the most robust actuator axis.</x:v>
      </x:c>
    </x:row>
    <x:row r="8">
      <x:c r="A8" t="n">
        <x:v>250</x:v>
      </x:c>
      <x:c r="B8" t="n">
        <x:v>20</x:v>
      </x:c>
      <x:c r="C8" t="n">
        <x:v>0.172</x:v>
      </x:c>
      <x:c r="D8" t="n">
        <x:v>0.236</x:v>
      </x:c>
      <x:c r="E8" t="n">
        <x:v>7.17</x:v>
      </x:c>
      <x:c r="F8" t="n">
        <x:v>1.31856</x:v>
      </x:c>
      <x:c r="G8" t="n">
        <x:v>0.836</x:v>
      </x:c>
      <x:c r="H8" t="n">
        <x:v>0.79</x:v>
      </x:c>
      <x:c r="I8" t="n">
        <x:v>1.5451</x:v>
      </x:c>
      <x:c r="J8" t="n">
        <x:v>0.914</x:v>
      </x:c>
      <x:c r="K8" t="n">
        <x:v>1.28</x:v>
      </x:c>
      <x:c r="L8" t="str">
        <x:v>Z</x:v>
      </x:c>
      <x:c r="M8" t="str">
        <x:v>Z</x:v>
      </x:c>
      <x:c r="N8" s="29" t="str">
        <x:v>Z is the most robust actuator axis.</x:v>
      </x:c>
    </x:row>
    <x:row r="9">
      <x:c r="A9" t="n">
        <x:v>268</x:v>
      </x:c>
      <x:c r="B9" t="n">
        <x:v>15</x:v>
      </x:c>
      <x:c r="C9" t="n">
        <x:v>0.14019</x:v>
      </x:c>
      <x:c r="D9" t="n">
        <x:v>0.17</x:v>
      </x:c>
      <x:c r="E9" t="n">
        <x:v>12.86</x:v>
      </x:c>
      <x:c r="F9" t="n">
        <x:v>1.58098</x:v>
      </x:c>
      <x:c r="G9" t="n">
        <x:v>0.815</x:v>
      </x:c>
      <x:c r="H9" t="n">
        <x:v>3.36</x:v>
      </x:c>
      <x:c r="I9" t="n">
        <x:v>1.43423</x:v>
      </x:c>
      <x:c r="J9" t="n">
        <x:v>0.905</x:v>
      </x:c>
      <x:c r="K9" t="n">
        <x:v>2.55</x:v>
      </x:c>
      <x:c r="L9" t="str">
        <x:v>Y</x:v>
      </x:c>
      <x:c r="M9" t="str">
        <x:v>Z</x:v>
      </x:c>
      <x:c r="N9" s="29" t="str">
        <x:v>Primary tool-frequency candidate. Z has ~0.90 sync and comparable/high amplitude; use Z first.</x:v>
      </x:c>
    </x:row>
    <x:row r="10">
      <x:c r="A10" t="n">
        <x:v>268</x:v>
      </x:c>
      <x:c r="B10" t="n">
        <x:v>20</x:v>
      </x:c>
      <x:c r="C10" t="n">
        <x:v>0.21777</x:v>
      </x:c>
      <x:c r="D10" t="n">
        <x:v>0.204</x:v>
      </x:c>
      <x:c r="E10" t="n">
        <x:v>8.32</x:v>
      </x:c>
      <x:c r="F10" t="n">
        <x:v>1.99015</x:v>
      </x:c>
      <x:c r="G10" t="n">
        <x:v>0.86</x:v>
      </x:c>
      <x:c r="H10" t="n">
        <x:v>2.7</x:v>
      </x:c>
      <x:c r="I10" t="n">
        <x:v>2.15499</x:v>
      </x:c>
      <x:c r="J10" t="n">
        <x:v>0.9</x:v>
      </x:c>
      <x:c r="K10" t="n">
        <x:v>0.92</x:v>
      </x:c>
      <x:c r="L10" t="str">
        <x:v>Z</x:v>
      </x:c>
      <x:c r="M10" t="str">
        <x:v>Z</x:v>
      </x:c>
      <x:c r="N10" s="29" t="str">
        <x:v>Primary tool-frequency candidate. Z has ~0.90 sync and comparable/high amplitude; use Z first.</x:v>
      </x:c>
    </x:row>
    <x:row r="11">
      <x:c r="A11" t="n">
        <x:v>270</x:v>
      </x:c>
      <x:c r="B11" t="n">
        <x:v>15</x:v>
      </x:c>
      <x:c r="C11" t="n">
        <x:v>0.14364</x:v>
      </x:c>
      <x:c r="D11" t="n">
        <x:v>0.172</x:v>
      </x:c>
      <x:c r="E11" t="n">
        <x:v>27.14</x:v>
      </x:c>
      <x:c r="F11" t="n">
        <x:v>1.6695</x:v>
      </x:c>
      <x:c r="G11" t="n">
        <x:v>0.824</x:v>
      </x:c>
      <x:c r="H11" t="n">
        <x:v>1.47</x:v>
      </x:c>
      <x:c r="I11" t="n">
        <x:v>1.47208</x:v>
      </x:c>
      <x:c r="J11" t="n">
        <x:v>0.901</x:v>
      </x:c>
      <x:c r="K11" t="n">
        <x:v>1.16</x:v>
      </x:c>
      <x:c r="L11" t="str">
        <x:v>Y</x:v>
      </x:c>
      <x:c r="M11" t="str">
        <x:v>Z</x:v>
      </x:c>
      <x:c r="N11" s="29" t="str">
        <x:v>Primary tool-frequency candidate. Z has ~0.90 sync and comparable/high amplitude; use Z first.</x:v>
      </x:c>
    </x:row>
    <x:row r="12">
      <x:c r="A12" t="n">
        <x:v>270</x:v>
      </x:c>
      <x:c r="B12" t="n">
        <x:v>20</x:v>
      </x:c>
      <x:c r="C12" t="n">
        <x:v>0.24334</x:v>
      </x:c>
      <x:c r="D12" t="n">
        <x:v>0.222</x:v>
      </x:c>
      <x:c r="E12" t="n">
        <x:v>17.35</x:v>
      </x:c>
      <x:c r="F12" t="n">
        <x:v>2.06291</x:v>
      </x:c>
      <x:c r="G12" t="n">
        <x:v>0.865</x:v>
      </x:c>
      <x:c r="H12" t="n">
        <x:v>1.4</x:v>
      </x:c>
      <x:c r="I12" t="n">
        <x:v>2.18618</x:v>
      </x:c>
      <x:c r="J12" t="n">
        <x:v>0.905</x:v>
      </x:c>
      <x:c r="K12" t="n">
        <x:v>1.95</x:v>
      </x:c>
      <x:c r="L12" t="str">
        <x:v>Z</x:v>
      </x:c>
      <x:c r="M12" t="str">
        <x:v>Z</x:v>
      </x:c>
      <x:c r="N12" s="29" t="str">
        <x:v>Primary tool-frequency candidate. Z has ~0.90 sync and comparable/high amplitude; use Z first.</x:v>
      </x:c>
    </x:row>
    <x:row r="13">
      <x:c r="A13" t="n">
        <x:v>275</x:v>
      </x:c>
      <x:c r="B13" t="n">
        <x:v>15</x:v>
      </x:c>
      <x:c r="C13" t="n">
        <x:v>0.17726</x:v>
      </x:c>
      <x:c r="D13" t="n">
        <x:v>0.212</x:v>
      </x:c>
      <x:c r="E13" t="n">
        <x:v>9.12</x:v>
      </x:c>
      <x:c r="F13" t="n">
        <x:v>1.5062</x:v>
      </x:c>
      <x:c r="G13" t="n">
        <x:v>0.797</x:v>
      </x:c>
      <x:c r="H13" t="n">
        <x:v>9.44</x:v>
      </x:c>
      <x:c r="I13" t="n">
        <x:v>1.92496</x:v>
      </x:c>
      <x:c r="J13" t="n">
        <x:v>0.881</x:v>
      </x:c>
      <x:c r="K13" t="n">
        <x:v>7.1</x:v>
      </x:c>
      <x:c r="L13" t="str">
        <x:v>Z</x:v>
      </x:c>
      <x:c r="M13" t="str">
        <x:v>Z</x:v>
      </x:c>
      <x:c r="N13" s="29" t="str">
        <x:v>Repeat DAC14–16: one-point Y/Z redistribution occurs at DAC15.</x:v>
      </x:c>
    </x:row>
    <x:row r="14">
      <x:c r="A14" t="n">
        <x:v>275</x:v>
      </x:c>
      <x:c r="B14" t="n">
        <x:v>20</x:v>
      </x:c>
      <x:c r="C14" t="n">
        <x:v>0.22619</x:v>
      </x:c>
      <x:c r="D14" t="n">
        <x:v>0.216</x:v>
      </x:c>
      <x:c r="E14" t="n">
        <x:v>14.79</x:v>
      </x:c>
      <x:c r="F14" t="n">
        <x:v>2.21536</x:v>
      </x:c>
      <x:c r="G14" t="n">
        <x:v>0.871</x:v>
      </x:c>
      <x:c r="H14" t="n">
        <x:v>1.15</x:v>
      </x:c>
      <x:c r="I14" t="n">
        <x:v>2.38177</x:v>
      </x:c>
      <x:c r="J14" t="n">
        <x:v>0.895</x:v>
      </x:c>
      <x:c r="K14" t="n">
        <x:v>0.32</x:v>
      </x:c>
      <x:c r="L14" t="str">
        <x:v>Z</x:v>
      </x:c>
      <x:c r="M14" t="str">
        <x:v>Z</x:v>
      </x:c>
      <x:c r="N14" s="29" t="str">
        <x:v>Repeat DAC14–16: one-point Y/Z redistribution occurs at DAC15.</x:v>
      </x:c>
    </x:row>
    <x:row r="15">
      <x:c r="A15" t="n">
        <x:v>300</x:v>
      </x:c>
      <x:c r="B15" t="n">
        <x:v>15</x:v>
      </x:c>
      <x:c r="C15" t="n">
        <x:v>0.29125</x:v>
      </x:c>
      <x:c r="D15" t="n">
        <x:v>0.3</x:v>
      </x:c>
      <x:c r="E15" t="n">
        <x:v>16</x:v>
      </x:c>
      <x:c r="F15" t="n">
        <x:v>2.34385</x:v>
      </x:c>
      <x:c r="G15" t="n">
        <x:v>0.885</x:v>
      </x:c>
      <x:c r="H15" t="n">
        <x:v>1.54</x:v>
      </x:c>
      <x:c r="I15" t="n">
        <x:v>2.93343</x:v>
      </x:c>
      <x:c r="J15" t="n">
        <x:v>0.907</x:v>
      </x:c>
      <x:c r="K15" t="n">
        <x:v>0.76</x:v>
      </x:c>
      <x:c r="L15" t="str">
        <x:v>Z</x:v>
      </x:c>
      <x:c r="M15" t="str">
        <x:v>Z</x:v>
      </x:c>
      <x:c r="N15" s="29" t="str">
        <x:v>Very strong Z authority; high gain means smaller DAC changes produce large amplitude changes.</x:v>
      </x:c>
    </x:row>
    <x:row r="16">
      <x:c r="A16" t="n">
        <x:v>300</x:v>
      </x:c>
      <x:c r="B16" t="n">
        <x:v>20</x:v>
      </x:c>
      <x:c r="C16" t="n">
        <x:v>0.44699</x:v>
      </x:c>
      <x:c r="D16" t="n">
        <x:v>0.384</x:v>
      </x:c>
      <x:c r="E16" t="n">
        <x:v>8.81</x:v>
      </x:c>
      <x:c r="F16" t="n">
        <x:v>2.60589</x:v>
      </x:c>
      <x:c r="G16" t="n">
        <x:v>0.852</x:v>
      </x:c>
      <x:c r="H16" t="n">
        <x:v>2.11</x:v>
      </x:c>
      <x:c r="I16" t="n">
        <x:v>5.00963</x:v>
      </x:c>
      <x:c r="J16" t="n">
        <x:v>0.919</x:v>
      </x:c>
      <x:c r="K16" t="n">
        <x:v>1.17</x:v>
      </x:c>
      <x:c r="L16" t="str">
        <x:v>Z</x:v>
      </x:c>
      <x:c r="M16" t="str">
        <x:v>Z</x:v>
      </x:c>
      <x:c r="N16" s="29" t="str">
        <x:v>Very strong Z authority; high gain means smaller DAC changes produce large amplitude changes.</x:v>
      </x:c>
    </x:row>
    <x:row r="17">
      <x:c r="N17" s="29"/>
    </x:row>
    <x:row r="18">
      <x:c r="N18" s="29"/>
    </x:row>
    <x:row r="19">
      <x:c r="N19" s="29"/>
    </x:row>
    <x:row r="20">
      <x:c r="N20" s="29"/>
    </x:row>
    <x:row r="21">
      <x:c r="N21" s="29"/>
    </x:row>
    <x:row r="22">
      <x:c r="N22" s="29"/>
    </x:row>
    <x:row r="23">
      <x:c r="N23" s="29"/>
    </x:row>
    <x:row r="24">
      <x:c r="N24" s="29"/>
    </x:row>
    <x:row r="25">
      <x:c r="N25" s="29"/>
    </x:row>
  </x:sheetData>
  <x:mergeCells>
    <x:mergeCell ref="A1:N1"/>
    <x:mergeCell ref="A2:N2"/>
  </x:mergeCells>
  <x:pageMargins left="0.7" right="0.7" top="0.75" bottom="0.75" header="0.3" footer="0.3"/>
</x:worksheet>
</file>

<file path=xl/worksheets/sheet16.xml><?xml version="1.0" encoding="utf-8"?>
<x:worksheet xmlns:x="http://schemas.openxmlformats.org/spreadsheetml/2006/main">
  <x:sheetFormatPr defaultRowHeight="15"/>
  <x:cols>
    <x:col min="1" max="1" width="27" hidden="0" customWidth="1"/>
    <x:col min="2" max="2" width="86" hidden="0" customWidth="1"/>
    <x:col min="4" max="4" width="34" hidden="0" customWidth="1"/>
    <x:col min="5" max="5" width="30" hidden="0" customWidth="1"/>
  </x:cols>
  <x:sheetData>
    <x:row r="1">
      <x:c r="A1" s="99" t="str">
        <x:v>Visaton EX 45 S — Final Full-DAC Characterization</x:v>
      </x:c>
      <x:c r="B1" s="99"/>
      <x:c r="C1" s="99"/>
      <x:c r="D1" s="99"/>
      <x:c r="E1" s="99"/>
      <x:c r="F1" s="99"/>
      <x:c r="G1" s="99"/>
      <x:c r="H1" s="99"/>
      <x:c r="I1" s="99"/>
      <x:c r="J1" s="99"/>
    </x:row>
    <x:row r="2">
      <x:c r="A2" s="102" t="str">
        <x:v>Inclined wearable-like installation; tool OFF; ADXL2 rigidly attached to actuator/final plate. 12 frequencies × 15 DAC levels (1,3,…,29) = 180 records. Purpose: verify full-range consistency before the final phase sweep.</x:v>
      </x:c>
      <x:c r="B2" s="102"/>
      <x:c r="C2" s="102"/>
      <x:c r="D2" s="102"/>
      <x:c r="E2" s="102"/>
      <x:c r="F2" s="102"/>
      <x:c r="G2" s="102"/>
      <x:c r="H2" s="102"/>
      <x:c r="I2" s="102"/>
      <x:c r="J2" s="102"/>
    </x:row>
    <x:row r="4">
      <x:c r="A4" s="107" t="str">
        <x:v>Question</x:v>
      </x:c>
      <x:c r="B4" s="107" t="str">
        <x:v>Evidence-based conclusion</x:v>
      </x:c>
      <x:c r="D4" s="107" t="str">
        <x:v>KPI</x:v>
      </x:c>
      <x:c r="E4" s="107" t="str">
        <x:v>Result</x:v>
      </x:c>
    </x:row>
    <x:row r="5">
      <x:c r="A5" s="110" t="str">
        <x:v>Does the actuator remain consistent over the full DAC range?</x:v>
      </x:c>
      <x:c r="B5" s="29" t="str">
        <x:v>Yes for the resultant response and especially Z once above the low-SNR onset. From DAC 11–29, resultant and Z amplitude are monotonic at every tested frequency.</x:v>
      </x:c>
      <x:c r="D5" s="110" t="str">
        <x:v>Frequencies</x:v>
      </x:c>
      <x:c r="E5" s="29" t="str">
        <x:v>12 (100–325 Hz, including 268/270/275 Hz)</x:v>
      </x:c>
    </x:row>
    <x:row r="6">
      <x:c r="A6" s="110" t="str">
        <x:v>Is Z globally controllable?</x:v>
      </x:c>
      <x:c r="B6" s="29" t="str">
        <x:v>Yes. Z monotonicity is 100% at every frequency from DAC 11–29. Z linear-fit R² remains approximately 0.959–0.999 despite some nonlinear gain changes.</x:v>
      </x:c>
      <x:c r="D6" s="110" t="str">
        <x:v>Full-sweep records</x:v>
      </x:c>
      <x:c r="E6" s="29" t="str">
        <x:v>180</x:v>
      </x:c>
    </x:row>
    <x:row r="7">
      <x:c r="A7" s="110" t="str">
        <x:v>Is Y globally controllable?</x:v>
      </x:c>
      <x:c r="B7" s="29" t="str">
        <x:v>Not over the entire range. Y is smooth at lower frequencies but becomes non-monotonic around 250–325 Hz, especially 268, 270 and 275 Hz, because vibration is redistributed from Y toward Z as drive increases.</x:v>
      </x:c>
      <x:c r="D7" s="110" t="str">
        <x:v>DAC range</x:v>
      </x:c>
      <x:c r="E7" s="29" t="str">
        <x:v>1–29, step 2</x:v>
      </x:c>
    </x:row>
    <x:row r="8">
      <x:c r="A8" s="110" t="str">
        <x:v>What happens to total actuator output during Y/Z redistribution?</x:v>
      </x:c>
      <x:c r="B8" s="29" t="str">
        <x:v>It continues increasing monotonically. Therefore the Y reduction at some DAC values is not actuator collapse; it is a change in three-dimensional response direction.</x:v>
      </x:c>
      <x:c r="D8" s="110" t="str">
        <x:v>Resultant monotonicity DAC11–29</x:v>
      </x:c>
      <x:c r="E8" s="29" t="str">
        <x:v>12 / 12 frequencies</x:v>
      </x:c>
    </x:row>
    <x:row r="9">
      <x:c r="A9" s="110" t="str">
        <x:v>What happens at low DAC?</x:v>
      </x:c>
      <x:c r="B9" s="29" t="str">
        <x:v>Several frequencies are below the usable signal floor. The program-valid onset varies from DAC3 to DAC13. Phase and axis fractions below the control-quality onset should not be interpreted physically.</x:v>
      </x:c>
      <x:c r="D9" s="110" t="str">
        <x:v>Z monotonicity DAC11–29</x:v>
      </x:c>
      <x:c r="E9" s="29" t="str">
        <x:v>12 / 12 frequencies</x:v>
      </x:c>
    </x:row>
    <x:row r="10">
      <x:c r="A10" s="110" t="str">
        <x:v>Does the earlier DAC11–20 trend agree?</x:v>
      </x:c>
      <x:c r="B10" s="29" t="str">
        <x:v>The curve shape agrees strongly: total-amplitude correlation at the five common DAC points is &gt;0.96 for every frequency. However, absolute magnitude differs substantially between sessions at 100–250 Hz, so absolute gain should not be merged across sessions without frozen setup metadata.</x:v>
      </x:c>
      <x:c r="D10" s="110" t="str">
        <x:v>Minimum Z R² DAC11–29</x:v>
      </x:c>
      <x:c r="E10" s="29" t="str">
        <x:v>0.959</x:v>
      </x:c>
    </x:row>
    <x:row r="11">
      <x:c r="A11" s="110" t="str">
        <x:v>Most important phase-sweep implication</x:v>
      </x:c>
      <x:c r="B11" s="29" t="str">
        <x:v>Use Z as the actuator-control axis. At 268–275 Hz it remains monotonic while Y develops plateaus/decreases. Calibrate phase at the final matched DAC because phase changes smoothly with DAC.</x:v>
      </x:c>
      <x:c r="D11" s="110" t="str">
        <x:v>Maximum vector-frequency error DAC11–29</x:v>
      </x:c>
      <x:c r="E11" s="29" t="str">
        <x:v>0.091 Hz</x:v>
      </x:c>
    </x:row>
    <x:row r="12">
      <x:c r="A12" s="110" t="str">
        <x:v>Final experimental status</x:v>
      </x:c>
      <x:c r="B12" s="29" t="str">
        <x:v>The actuator-side characterization is now sufficient for axis selection. Only targeted n≥3–5 repeats at the final tool frequency / final matched DAC are needed before freezing the cancellation phase.</x:v>
      </x:c>
      <x:c r="D12" s="110" t="str">
        <x:v>Recommended phase-sweep axis</x:v>
      </x:c>
      <x:c r="E12" s="29" t="str">
        <x:v>Z</x:v>
      </x:c>
    </x:row>
    <x:row r="15">
      <x:c r="A15" s="107" t="str">
        <x:v>DAC</x:v>
      </x:c>
      <x:c r="B15" s="107" t="str">
        <x:v>X 268</x:v>
      </x:c>
      <x:c r="C15" s="107" t="str">
        <x:v>Y 268</x:v>
      </x:c>
      <x:c r="D15" s="107" t="str">
        <x:v>Z 268</x:v>
      </x:c>
      <x:c r="E15" s="107" t="str">
        <x:v>X 270</x:v>
      </x:c>
      <x:c r="F15" s="107" t="str">
        <x:v>Y 270</x:v>
      </x:c>
      <x:c r="G15" s="107" t="str">
        <x:v>Z 270</x:v>
      </x:c>
    </x:row>
    <x:row r="16">
      <x:c r="A16" t="n">
        <x:v>1</x:v>
      </x:c>
      <x:c r="B16" s="61" t="n">
        <x:v>0.02339</x:v>
      </x:c>
      <x:c r="C16" s="61" t="n">
        <x:v>0.02974</x:v>
      </x:c>
      <x:c r="D16" s="61" t="n">
        <x:v>0.0237</x:v>
      </x:c>
      <x:c r="E16" s="61" t="n">
        <x:v>0.01631</x:v>
      </x:c>
      <x:c r="F16" s="61" t="n">
        <x:v>0.01999</x:v>
      </x:c>
      <x:c r="G16" s="61" t="n">
        <x:v>0.03403</x:v>
      </x:c>
    </x:row>
    <x:row r="17">
      <x:c r="A17" t="n">
        <x:v>3</x:v>
      </x:c>
      <x:c r="B17" s="61" t="n">
        <x:v>0.01632</x:v>
      </x:c>
      <x:c r="C17" s="61" t="n">
        <x:v>0.17202</x:v>
      </x:c>
      <x:c r="D17" s="61" t="n">
        <x:v>0.15749</x:v>
      </x:c>
      <x:c r="E17" s="61" t="n">
        <x:v>0.02342</x:v>
      </x:c>
      <x:c r="F17" s="61" t="n">
        <x:v>0.17539</x:v>
      </x:c>
      <x:c r="G17" s="61" t="n">
        <x:v>0.17614</x:v>
      </x:c>
    </x:row>
    <x:row r="18">
      <x:c r="A18" t="n">
        <x:v>5</x:v>
      </x:c>
      <x:c r="B18" s="61" t="n">
        <x:v>0.03035</x:v>
      </x:c>
      <x:c r="C18" s="61" t="n">
        <x:v>0.37565</x:v>
      </x:c>
      <x:c r="D18" s="61" t="n">
        <x:v>0.32284</x:v>
      </x:c>
      <x:c r="E18" s="61" t="n">
        <x:v>0.03456</x:v>
      </x:c>
      <x:c r="F18" s="61" t="n">
        <x:v>0.42319</x:v>
      </x:c>
      <x:c r="G18" s="61" t="n">
        <x:v>0.37833</x:v>
      </x:c>
    </x:row>
    <x:row r="19">
      <x:c r="A19" t="n">
        <x:v>7</x:v>
      </x:c>
      <x:c r="B19" s="61" t="n">
        <x:v>0.02911</x:v>
      </x:c>
      <x:c r="C19" s="61" t="n">
        <x:v>0.61072</x:v>
      </x:c>
      <x:c r="D19" s="61" t="n">
        <x:v>0.52941</x:v>
      </x:c>
      <x:c r="E19" s="61" t="n">
        <x:v>0.06715</x:v>
      </x:c>
      <x:c r="F19" s="61" t="n">
        <x:v>0.63433</x:v>
      </x:c>
      <x:c r="G19" s="61" t="n">
        <x:v>0.60403</x:v>
      </x:c>
    </x:row>
    <x:row r="20">
      <x:c r="A20" t="n">
        <x:v>9</x:v>
      </x:c>
      <x:c r="B20" s="61" t="n">
        <x:v>0.04186</x:v>
      </x:c>
      <x:c r="C20" s="61" t="n">
        <x:v>0.81573</x:v>
      </x:c>
      <x:c r="D20" s="61" t="n">
        <x:v>0.69985</x:v>
      </x:c>
      <x:c r="E20" s="61" t="n">
        <x:v>0.08289</x:v>
      </x:c>
      <x:c r="F20" s="61" t="n">
        <x:v>0.85015</x:v>
      </x:c>
      <x:c r="G20" s="61" t="n">
        <x:v>0.83413</x:v>
      </x:c>
    </x:row>
    <x:row r="21">
      <x:c r="A21" t="n">
        <x:v>11</x:v>
      </x:c>
      <x:c r="B21" s="61" t="n">
        <x:v>0.05258</x:v>
      </x:c>
      <x:c r="C21" s="61" t="n">
        <x:v>1.02902</x:v>
      </x:c>
      <x:c r="D21" s="61" t="n">
        <x:v>0.92507</x:v>
      </x:c>
      <x:c r="E21" s="61" t="n">
        <x:v>0.08926</x:v>
      </x:c>
      <x:c r="F21" s="61" t="n">
        <x:v>1.02982</x:v>
      </x:c>
      <x:c r="G21" s="61" t="n">
        <x:v>1.09421</x:v>
      </x:c>
    </x:row>
    <x:row r="22">
      <x:c r="A22" t="n">
        <x:v>13</x:v>
      </x:c>
      <x:c r="B22" s="61" t="n">
        <x:v>0.08629</x:v>
      </x:c>
      <x:c r="C22" s="61" t="n">
        <x:v>1.2222</x:v>
      </x:c>
      <x:c r="D22" s="61" t="n">
        <x:v>1.15724</x:v>
      </x:c>
      <x:c r="E22" s="61" t="n">
        <x:v>0.09631</x:v>
      </x:c>
      <x:c r="F22" s="61" t="n">
        <x:v>1.04764</x:v>
      </x:c>
      <x:c r="G22" s="61" t="n">
        <x:v>1.54509</x:v>
      </x:c>
    </x:row>
    <x:row r="23">
      <x:c r="A23" t="n">
        <x:v>15</x:v>
      </x:c>
      <x:c r="B23" s="61" t="n">
        <x:v>0.11563</x:v>
      </x:c>
      <x:c r="C23" s="61" t="n">
        <x:v>1.35978</x:v>
      </x:c>
      <x:c r="D23" s="61" t="n">
        <x:v>1.47123</x:v>
      </x:c>
      <x:c r="E23" s="61" t="n">
        <x:v>0.24639</x:v>
      </x:c>
      <x:c r="F23" s="61" t="n">
        <x:v>0.72443</x:v>
      </x:c>
      <x:c r="G23" s="61" t="n">
        <x:v>2.4024</x:v>
      </x:c>
    </x:row>
    <x:row r="24">
      <x:c r="A24" t="n">
        <x:v>17</x:v>
      </x:c>
      <x:c r="B24" s="61" t="n">
        <x:v>0.136</x:v>
      </x:c>
      <x:c r="C24" s="61" t="n">
        <x:v>1.45697</x:v>
      </x:c>
      <x:c r="D24" s="61" t="n">
        <x:v>1.78192</x:v>
      </x:c>
      <x:c r="E24" s="61" t="n">
        <x:v>0.27509</x:v>
      </x:c>
      <x:c r="F24" s="61" t="n">
        <x:v>0.67716</x:v>
      </x:c>
      <x:c r="G24" s="61" t="n">
        <x:v>3.25499</x:v>
      </x:c>
    </x:row>
    <x:row r="25">
      <x:c r="A25" t="n">
        <x:v>19</x:v>
      </x:c>
      <x:c r="B25" s="61" t="n">
        <x:v>0.13547</x:v>
      </x:c>
      <x:c r="C25" s="61" t="n">
        <x:v>1.54126</x:v>
      </x:c>
      <x:c r="D25" s="61" t="n">
        <x:v>2.1238</x:v>
      </x:c>
      <x:c r="E25" s="61" t="n">
        <x:v>0.36195</x:v>
      </x:c>
      <x:c r="F25" s="61" t="n">
        <x:v>0.87393</x:v>
      </x:c>
      <x:c r="G25" s="61" t="n">
        <x:v>3.8667</x:v>
      </x:c>
    </x:row>
    <x:row r="26">
      <x:c r="A26" t="n">
        <x:v>21</x:v>
      </x:c>
      <x:c r="B26" s="61" t="n">
        <x:v>0.15762</x:v>
      </x:c>
      <x:c r="C26" s="61" t="n">
        <x:v>1.56594</x:v>
      </x:c>
      <x:c r="D26" s="61" t="n">
        <x:v>2.49691</x:v>
      </x:c>
      <x:c r="E26" s="61" t="n">
        <x:v>0.39895</x:v>
      </x:c>
      <x:c r="F26" s="61" t="n">
        <x:v>1.12211</x:v>
      </x:c>
      <x:c r="G26" s="61" t="n">
        <x:v>4.49238</x:v>
      </x:c>
    </x:row>
    <x:row r="27">
      <x:c r="A27" t="n">
        <x:v>23</x:v>
      </x:c>
      <x:c r="B27" s="61" t="n">
        <x:v>0.18173</x:v>
      </x:c>
      <x:c r="C27" s="61" t="n">
        <x:v>1.56808</x:v>
      </x:c>
      <x:c r="D27" s="61" t="n">
        <x:v>2.9408</x:v>
      </x:c>
      <x:c r="E27" s="61" t="n">
        <x:v>0.47867</x:v>
      </x:c>
      <x:c r="F27" s="61" t="n">
        <x:v>1.31146</x:v>
      </x:c>
      <x:c r="G27" s="61" t="n">
        <x:v>5.06329</x:v>
      </x:c>
    </x:row>
    <x:row r="28">
      <x:c r="A28" t="n">
        <x:v>25</x:v>
      </x:c>
      <x:c r="B28" s="61" t="n">
        <x:v>0.24275</x:v>
      </x:c>
      <x:c r="C28" s="61" t="n">
        <x:v>1.34242</x:v>
      </x:c>
      <x:c r="D28" s="61" t="n">
        <x:v>3.72347</x:v>
      </x:c>
      <x:c r="E28" s="61" t="n">
        <x:v>0.54685</x:v>
      </x:c>
      <x:c r="F28" s="61" t="n">
        <x:v>1.58079</x:v>
      </x:c>
      <x:c r="G28" s="61" t="n">
        <x:v>5.63042</x:v>
      </x:c>
    </x:row>
    <x:row r="29">
      <x:c r="A29" t="n">
        <x:v>27</x:v>
      </x:c>
      <x:c r="B29" s="61" t="n">
        <x:v>0.289</x:v>
      </x:c>
      <x:c r="C29" s="61" t="n">
        <x:v>1.23524</x:v>
      </x:c>
      <x:c r="D29" s="61" t="n">
        <x:v>4.40504</x:v>
      </x:c>
      <x:c r="E29" s="61" t="n">
        <x:v>0.57536</x:v>
      </x:c>
      <x:c r="F29" s="61" t="n">
        <x:v>1.79004</x:v>
      </x:c>
      <x:c r="G29" s="61" t="n">
        <x:v>6.18114</x:v>
      </x:c>
    </x:row>
    <x:row r="30">
      <x:c r="A30" t="n">
        <x:v>29</x:v>
      </x:c>
      <x:c r="B30" s="61" t="n">
        <x:v>0.32707</x:v>
      </x:c>
      <x:c r="C30" s="61" t="n">
        <x:v>1.15971</x:v>
      </x:c>
      <x:c r="D30" s="61" t="n">
        <x:v>5.11903</x:v>
      </x:c>
      <x:c r="E30" s="61" t="n">
        <x:v>0.5961</x:v>
      </x:c>
      <x:c r="F30" s="61" t="n">
        <x:v>2.04135</x:v>
      </x:c>
      <x:c r="G30" s="61" t="n">
        <x:v>6.73012</x:v>
      </x:c>
    </x:row>
  </x:sheetData>
  <x:mergeCells>
    <x:mergeCell ref="A1:J1"/>
    <x:mergeCell ref="A2:J2"/>
  </x:mergeCells>
  <x:pageMargins left="0.7" right="0.7" top="0.75" bottom="0.75" header="0.3" footer="0.3"/>
  <x:drawing xmlns:r="http://schemas.openxmlformats.org/officeDocument/2006/relationships" r:id="R8570214cfeb9461e"/>
</x:worksheet>
</file>

<file path=xl/worksheets/sheet17.xml><?xml version="1.0" encoding="utf-8"?>
<x:worksheet xmlns:x="http://schemas.openxmlformats.org/spreadsheetml/2006/main">
  <x:sheetFormatPr defaultRowHeight="15"/>
  <x:cols>
    <x:col min="1" max="1" width="11" hidden="0" customWidth="1"/>
    <x:col min="2" max="2" width="11" hidden="0" customWidth="1"/>
  </x:cols>
  <x:sheetData>
    <x:row r="1">
      <x:c r="A1" s="107" t="str">
        <x:v>Frequency_Hz</x:v>
      </x:c>
      <x:c r="B1" s="107" t="str">
        <x:v>DAC</x:v>
      </x:c>
      <x:c r="C1" s="107" t="str">
        <x:v>FFT_X_Dom_Hz</x:v>
      </x:c>
      <x:c r="D1" s="107" t="str">
        <x:v>FFT_X_Dom_A</x:v>
      </x:c>
      <x:c r="E1" s="107" t="str">
        <x:v>FFT_X_Dom_SNR</x:v>
      </x:c>
      <x:c r="F1" s="107" t="str">
        <x:v>FFT_Y_Dom_Hz</x:v>
      </x:c>
      <x:c r="G1" s="107" t="str">
        <x:v>FFT_Y_Dom_A</x:v>
      </x:c>
      <x:c r="H1" s="107" t="str">
        <x:v>FFT_Y_Dom_SNR</x:v>
      </x:c>
      <x:c r="I1" s="107" t="str">
        <x:v>FFT_Z_Dom_Hz</x:v>
      </x:c>
      <x:c r="J1" s="107" t="str">
        <x:v>FFT_Z_Dom_A</x:v>
      </x:c>
      <x:c r="K1" s="107" t="str">
        <x:v>FFT_Z_Dom_SNR</x:v>
      </x:c>
      <x:c r="L1" s="107" t="str">
        <x:v>FFT_X_Local_Hz</x:v>
      </x:c>
      <x:c r="M1" s="107" t="str">
        <x:v>FFT_X_Local_A</x:v>
      </x:c>
      <x:c r="N1" s="107" t="str">
        <x:v>FFT_Y_Local_Hz</x:v>
      </x:c>
      <x:c r="O1" s="107" t="str">
        <x:v>FFT_Y_Local_A</x:v>
      </x:c>
      <x:c r="P1" s="107" t="str">
        <x:v>FFT_Z_Local_Hz</x:v>
      </x:c>
      <x:c r="Q1" s="107" t="str">
        <x:v>FFT_Z_Local_A</x:v>
      </x:c>
      <x:c r="R1" s="107" t="str">
        <x:v>FFT_Vector_Local_Hz</x:v>
      </x:c>
      <x:c r="S1" s="107" t="str">
        <x:v>FFT_Vector_FreqError_Hz</x:v>
      </x:c>
      <x:c r="T1" s="107" t="str">
        <x:v>FFT_Vector_X_A</x:v>
      </x:c>
      <x:c r="U1" s="107" t="str">
        <x:v>FFT_Vector_Y_A</x:v>
      </x:c>
      <x:c r="V1" s="107" t="str">
        <x:v>FFT_Vector_Z_A</x:v>
      </x:c>
      <x:c r="W1" s="107" t="str">
        <x:v>FFT_Vector_Total_A</x:v>
      </x:c>
      <x:c r="X1" s="107" t="str">
        <x:v>FFT_Vector_SNR</x:v>
      </x:c>
      <x:c r="Y1" s="107" t="str">
        <x:v>FFT_Vector_DomAxis</x:v>
      </x:c>
      <x:c r="Z1" s="107" t="str">
        <x:v>Quad_X_A</x:v>
      </x:c>
      <x:c r="AA1" s="107" t="str">
        <x:v>Quad_X_Phase_deg</x:v>
      </x:c>
      <x:c r="AB1" s="107" t="str">
        <x:v>Quad_X_SyncRatio</x:v>
      </x:c>
      <x:c r="AC1" s="107" t="str">
        <x:v>Quad_X_CV_pct</x:v>
      </x:c>
      <x:c r="AD1" s="107" t="str">
        <x:v>Quad_Y_A</x:v>
      </x:c>
      <x:c r="AE1" s="107" t="str">
        <x:v>Quad_Y_Phase_deg</x:v>
      </x:c>
      <x:c r="AF1" s="107" t="str">
        <x:v>Quad_Y_SyncRatio</x:v>
      </x:c>
      <x:c r="AG1" s="107" t="str">
        <x:v>Quad_Y_CV_pct</x:v>
      </x:c>
      <x:c r="AH1" s="107" t="str">
        <x:v>Quad_Z_A</x:v>
      </x:c>
      <x:c r="AI1" s="107" t="str">
        <x:v>Quad_Z_Phase_deg</x:v>
      </x:c>
      <x:c r="AJ1" s="107" t="str">
        <x:v>Quad_Z_SyncRatio</x:v>
      </x:c>
      <x:c r="AK1" s="107" t="str">
        <x:v>Quad_Z_CV_pct</x:v>
      </x:c>
      <x:c r="AL1" s="107" t="str">
        <x:v>Quad_Total_A</x:v>
      </x:c>
      <x:c r="AM1" s="107" t="str">
        <x:v>Quad_Total_CV_pct</x:v>
      </x:c>
      <x:c r="AN1" s="107" t="str">
        <x:v>X_Fraction</x:v>
      </x:c>
      <x:c r="AO1" s="107" t="str">
        <x:v>Y_Fraction</x:v>
      </x:c>
      <x:c r="AP1" s="107" t="str">
        <x:v>Z_Fraction</x:v>
      </x:c>
      <x:c r="AQ1" s="107" t="str">
        <x:v>Valid</x:v>
      </x:c>
      <x:c r="AR1" s="107" t="str">
        <x:v>Y_over_Z</x:v>
      </x:c>
      <x:c r="AS1" s="107" t="str">
        <x:v>X_energy_share</x:v>
      </x:c>
      <x:c r="AT1" s="107" t="str">
        <x:v>Y_energy_share</x:v>
      </x:c>
      <x:c r="AU1" s="107" t="str">
        <x:v>Z_energy_share</x:v>
      </x:c>
      <x:c r="AV1" s="107" t="str">
        <x:v>ControlQuality_Z</x:v>
      </x:c>
    </x:row>
    <x:row r="2">
      <x:c r="A2" t="n">
        <x:v>100</x:v>
      </x:c>
      <x:c r="B2" t="n">
        <x:v>1</x:v>
      </x:c>
      <x:c r="C2" t="n">
        <x:v>21.09375</x:v>
      </x:c>
      <x:c r="D2" t="n">
        <x:v>0.02503</x:v>
      </x:c>
      <x:c r="E2" t="n">
        <x:v>9.7</x:v>
      </x:c>
      <x:c r="F2" t="n">
        <x:v>38.79181</x:v>
      </x:c>
      <x:c r="G2" t="n">
        <x:v>0.02078</x:v>
      </x:c>
      <x:c r="H2" t="n">
        <x:v>8.17</x:v>
      </x:c>
      <x:c r="I2" t="n">
        <x:v>23.11978</x:v>
      </x:c>
      <x:c r="J2" t="n">
        <x:v>0.03072</x:v>
      </x:c>
      <x:c r="K2" t="n">
        <x:v>7.38</x:v>
      </x:c>
      <x:c r="L2" t="n">
        <x:v>104.39183</x:v>
      </x:c>
      <x:c r="M2" t="n">
        <x:v>0.01279</x:v>
      </x:c>
      <x:c r="N2" t="n">
        <x:v>104.84404</x:v>
      </x:c>
      <x:c r="O2" t="n">
        <x:v>0.00943</x:v>
      </x:c>
      <x:c r="P2" t="n">
        <x:v>95.14064</x:v>
      </x:c>
      <x:c r="Q2" t="n">
        <x:v>0.01904</x:v>
      </x:c>
      <x:c r="R2" t="n">
        <x:v>104.62621</x:v>
      </x:c>
      <x:c r="S2" t="n">
        <x:v>4.62621</x:v>
      </x:c>
      <x:c r="T2" t="n">
        <x:v>0.01279</x:v>
      </x:c>
      <x:c r="U2" t="n">
        <x:v>0.00943</x:v>
      </x:c>
      <x:c r="V2" t="n">
        <x:v>0.01774</x:v>
      </x:c>
      <x:c r="W2" t="n">
        <x:v>0.02382</x:v>
      </x:c>
      <x:c r="X2" t="n">
        <x:v>2.51</x:v>
      </x:c>
      <x:c r="Y2" t="str">
        <x:v>Z</x:v>
      </x:c>
      <x:c r="Z2" t="n">
        <x:v>0.0128</x:v>
      </x:c>
      <x:c r="AA2" t="n">
        <x:v>157.84</x:v>
      </x:c>
      <x:c r="AB2" t="n">
        <x:v>0.016</x:v>
      </x:c>
      <x:c r="AC2" t="n">
        <x:v>56.22</x:v>
      </x:c>
      <x:c r="AD2" t="n">
        <x:v>0.01089</x:v>
      </x:c>
      <x:c r="AE2" t="n">
        <x:v>17.64</x:v>
      </x:c>
      <x:c r="AF2" t="n">
        <x:v>0.02</x:v>
      </x:c>
      <x:c r="AG2" t="n">
        <x:v>24.99</x:v>
      </x:c>
      <x:c r="AH2" t="n">
        <x:v>0.03186</x:v>
      </x:c>
      <x:c r="AI2" t="n">
        <x:v>117.09</x:v>
      </x:c>
      <x:c r="AJ2" t="n">
        <x:v>0.011</x:v>
      </x:c>
      <x:c r="AK2" t="n">
        <x:v>143.6</x:v>
      </x:c>
      <x:c r="AL2" t="n">
        <x:v>0.04064</x:v>
      </x:c>
      <x:c r="AM2" t="n">
        <x:v>101.77</x:v>
      </x:c>
      <x:c r="AN2" t="n">
        <x:v>0.3151</x:v>
      </x:c>
      <x:c r="AO2" t="n">
        <x:v>0.2681</x:v>
      </x:c>
      <x:c r="AP2" t="n">
        <x:v>0.784</x:v>
      </x:c>
      <x:c r="AQ2" t="n">
        <x:v>0</x:v>
      </x:c>
      <x:c r="AR2" t="n">
        <x:v>0.3418079096045198</x:v>
      </x:c>
      <x:c r="AS2" t="n">
        <x:v>0.09920019840039679</x:v>
      </x:c>
      <x:c r="AT2" t="n">
        <x:v>0.0718039541547833</x:v>
      </x:c>
      <x:c r="AU2" t="n">
        <x:v>0.6145880963636926</x:v>
      </x:c>
      <x:c r="AV2" t="str">
        <x:v>NO</x:v>
      </x:c>
    </x:row>
    <x:row r="3">
      <x:c r="A3" t="n">
        <x:v>100</x:v>
      </x:c>
      <x:c r="B3" t="n">
        <x:v>3</x:v>
      </x:c>
      <x:c r="C3" t="n">
        <x:v>19.97838</x:v>
      </x:c>
      <x:c r="D3" t="n">
        <x:v>0.04504</x:v>
      </x:c>
      <x:c r="E3" t="n">
        <x:v>14.73</x:v>
      </x:c>
      <x:c r="F3" t="n">
        <x:v>20.78127</x:v>
      </x:c>
      <x:c r="G3" t="n">
        <x:v>0.03209</x:v>
      </x:c>
      <x:c r="H3" t="n">
        <x:v>10.92</x:v>
      </x:c>
      <x:c r="I3" t="n">
        <x:v>20.5456</x:v>
      </x:c>
      <x:c r="J3" t="n">
        <x:v>0.04119</x:v>
      </x:c>
      <x:c r="K3" t="n">
        <x:v>9.3</x:v>
      </x:c>
      <x:c r="L3" t="n">
        <x:v>106.43069</x:v>
      </x:c>
      <x:c r="M3" t="n">
        <x:v>0.01623</x:v>
      </x:c>
      <x:c r="N3" t="n">
        <x:v>104.99088</x:v>
      </x:c>
      <x:c r="O3" t="n">
        <x:v>0.01072</x:v>
      </x:c>
      <x:c r="P3" t="n">
        <x:v>104.72744</x:v>
      </x:c>
      <x:c r="Q3" t="n">
        <x:v>0.03036</x:v>
      </x:c>
      <x:c r="R3" t="n">
        <x:v>104.99245</x:v>
      </x:c>
      <x:c r="S3" t="n">
        <x:v>4.99245</x:v>
      </x:c>
      <x:c r="T3" t="n">
        <x:v>0.00883</x:v>
      </x:c>
      <x:c r="U3" t="n">
        <x:v>0.01072</x:v>
      </x:c>
      <x:c r="V3" t="n">
        <x:v>0.03036</x:v>
      </x:c>
      <x:c r="W3" t="n">
        <x:v>0.03338</x:v>
      </x:c>
      <x:c r="X3" t="n">
        <x:v>6.42</x:v>
      </x:c>
      <x:c r="Y3" t="str">
        <x:v>Z</x:v>
      </x:c>
      <x:c r="Z3" t="n">
        <x:v>0.01274</x:v>
      </x:c>
      <x:c r="AA3" t="n">
        <x:v>27.1</x:v>
      </x:c>
      <x:c r="AB3" t="n">
        <x:v>0.07</x:v>
      </x:c>
      <x:c r="AC3" t="n">
        <x:v>42.08</x:v>
      </x:c>
      <x:c r="AD3" t="n">
        <x:v>0.01387</x:v>
      </x:c>
      <x:c r="AE3" t="n">
        <x:v>113.1</x:v>
      </x:c>
      <x:c r="AF3" t="n">
        <x:v>0.065</x:v>
      </x:c>
      <x:c r="AG3" t="n">
        <x:v>21.2</x:v>
      </x:c>
      <x:c r="AH3" t="n">
        <x:v>0.01535</x:v>
      </x:c>
      <x:c r="AI3" t="n">
        <x:v>-157.3</x:v>
      </x:c>
      <x:c r="AJ3" t="n">
        <x:v>0.045</x:v>
      </x:c>
      <x:c r="AK3" t="n">
        <x:v>55.07</x:v>
      </x:c>
      <x:c r="AL3" t="n">
        <x:v>0.02585</x:v>
      </x:c>
      <x:c r="AM3" t="n">
        <x:v>13.12</x:v>
      </x:c>
      <x:c r="AN3" t="n">
        <x:v>0.4928</x:v>
      </x:c>
      <x:c r="AO3" t="n">
        <x:v>0.5365</x:v>
      </x:c>
      <x:c r="AP3" t="n">
        <x:v>0.5939</x:v>
      </x:c>
      <x:c r="AQ3" t="n">
        <x:v>0</x:v>
      </x:c>
      <x:c r="AR3" t="n">
        <x:v>0.9035830618892507</x:v>
      </x:c>
      <x:c r="AS3" t="n">
        <x:v>0.2428945448559424</x:v>
      </x:c>
      <x:c r="AT3" t="n">
        <x:v>0.28789347859433045</x:v>
      </x:c>
      <x:c r="AU3" t="n">
        <x:v>0.35261084444178403</x:v>
      </x:c>
      <x:c r="AV3" t="str">
        <x:v>NO</x:v>
      </x:c>
    </x:row>
    <x:row r="4">
      <x:c r="A4" t="n">
        <x:v>100</x:v>
      </x:c>
      <x:c r="B4" t="n">
        <x:v>5</x:v>
      </x:c>
      <x:c r="C4" t="n">
        <x:v>22.19006</x:v>
      </x:c>
      <x:c r="D4" t="n">
        <x:v>0.02358</x:v>
      </x:c>
      <x:c r="E4" t="n">
        <x:v>9.37</x:v>
      </x:c>
      <x:c r="F4" t="n">
        <x:v>60.71378</x:v>
      </x:c>
      <x:c r="G4" t="n">
        <x:v>0.03234</x:v>
      </x:c>
      <x:c r="H4" t="n">
        <x:v>11.03</x:v>
      </x:c>
      <x:c r="I4" t="n">
        <x:v>307.80122</x:v>
      </x:c>
      <x:c r="J4" t="n">
        <x:v>0.02779</x:v>
      </x:c>
      <x:c r="K4" t="n">
        <x:v>6.43</x:v>
      </x:c>
      <x:c r="L4" t="n">
        <x:v>103.34958</x:v>
      </x:c>
      <x:c r="M4" t="n">
        <x:v>0.011</x:v>
      </x:c>
      <x:c r="N4" t="n">
        <x:v>92.44466</x:v>
      </x:c>
      <x:c r="O4" t="n">
        <x:v>0.01419</x:v>
      </x:c>
      <x:c r="P4" t="n">
        <x:v>93.26219</x:v>
      </x:c>
      <x:c r="Q4" t="n">
        <x:v>0.01688</x:v>
      </x:c>
      <x:c r="R4" t="n">
        <x:v>92.1875</x:v>
      </x:c>
      <x:c r="S4" t="n">
        <x:v>-7.8125</x:v>
      </x:c>
      <x:c r="T4" t="n">
        <x:v>0.00575</x:v>
      </x:c>
      <x:c r="U4" t="n">
        <x:v>0.01419</x:v>
      </x:c>
      <x:c r="V4" t="n">
        <x:v>0.01492</x:v>
      </x:c>
      <x:c r="W4" t="n">
        <x:v>0.02137</x:v>
      </x:c>
      <x:c r="X4" t="n">
        <x:v>2.4</x:v>
      </x:c>
      <x:c r="Y4" t="str">
        <x:v>Z</x:v>
      </x:c>
      <x:c r="Z4" t="n">
        <x:v>0.01507</x:v>
      </x:c>
      <x:c r="AA4" t="n">
        <x:v>-110.8</x:v>
      </x:c>
      <x:c r="AB4" t="n">
        <x:v>0.062</x:v>
      </x:c>
      <x:c r="AC4" t="n">
        <x:v>34.62</x:v>
      </x:c>
      <x:c r="AD4" t="n">
        <x:v>0.01073</x:v>
      </x:c>
      <x:c r="AE4" t="n">
        <x:v>-78.63</x:v>
      </x:c>
      <x:c r="AF4" t="n">
        <x:v>0.049</x:v>
      </x:c>
      <x:c r="AG4" t="n">
        <x:v>91.54</x:v>
      </x:c>
      <x:c r="AH4" t="n">
        <x:v>0.01823</x:v>
      </x:c>
      <x:c r="AI4" t="n">
        <x:v>-58.01</x:v>
      </x:c>
      <x:c r="AJ4" t="n">
        <x:v>0.049</x:v>
      </x:c>
      <x:c r="AK4" t="n">
        <x:v>49.89</x:v>
      </x:c>
      <x:c r="AL4" t="n">
        <x:v>0.02764</x:v>
      </x:c>
      <x:c r="AM4" t="n">
        <x:v>35.1</x:v>
      </x:c>
      <x:c r="AN4" t="n">
        <x:v>0.5451</x:v>
      </x:c>
      <x:c r="AO4" t="n">
        <x:v>0.3882</x:v>
      </x:c>
      <x:c r="AP4" t="n">
        <x:v>0.6593</x:v>
      </x:c>
      <x:c r="AQ4" t="n">
        <x:v>0</x:v>
      </x:c>
      <x:c r="AR4" t="n">
        <x:v>0.5885902358749314</x:v>
      </x:c>
      <x:c r="AS4" t="n">
        <x:v>0.29726955103972724</x:v>
      </x:c>
      <x:c r="AT4" t="n">
        <x:v>0.15070350966844753</x:v>
      </x:c>
      <x:c r="AU4" t="n">
        <x:v>0.4350080160257685</x:v>
      </x:c>
      <x:c r="AV4" t="str">
        <x:v>NO</x:v>
      </x:c>
    </x:row>
    <x:row r="5">
      <x:c r="A5" t="n">
        <x:v>100</x:v>
      </x:c>
      <x:c r="B5" t="n">
        <x:v>7</x:v>
      </x:c>
      <x:c r="C5" t="n">
        <x:v>20.18388</x:v>
      </x:c>
      <x:c r="D5" t="n">
        <x:v>0.02838</x:v>
      </x:c>
      <x:c r="E5" t="n">
        <x:v>10.02</x:v>
      </x:c>
      <x:c r="F5" t="n">
        <x:v>40.04673</x:v>
      </x:c>
      <x:c r="G5" t="n">
        <x:v>0.02899</x:v>
      </x:c>
      <x:c r="H5" t="n">
        <x:v>9.91</x:v>
      </x:c>
      <x:c r="I5" t="n">
        <x:v>69.07227</x:v>
      </x:c>
      <x:c r="J5" t="n">
        <x:v>0.03442</x:v>
      </x:c>
      <x:c r="K5" t="n">
        <x:v>7.44</x:v>
      </x:c>
      <x:c r="L5" t="n">
        <x:v>97.47874</x:v>
      </x:c>
      <x:c r="M5" t="n">
        <x:v>0.01732</x:v>
      </x:c>
      <x:c r="N5" t="n">
        <x:v>97.06649</x:v>
      </x:c>
      <x:c r="O5" t="n">
        <x:v>0.0111</x:v>
      </x:c>
      <x:c r="P5" t="n">
        <x:v>104.05069</x:v>
      </x:c>
      <x:c r="Q5" t="n">
        <x:v>0.02149</x:v>
      </x:c>
      <x:c r="R5" t="n">
        <x:v>104.16438</x:v>
      </x:c>
      <x:c r="S5" t="n">
        <x:v>4.16438</x:v>
      </x:c>
      <x:c r="T5" t="n">
        <x:v>0.00706</x:v>
      </x:c>
      <x:c r="U5" t="n">
        <x:v>0.00865</x:v>
      </x:c>
      <x:c r="V5" t="n">
        <x:v>0.02149</x:v>
      </x:c>
      <x:c r="W5" t="n">
        <x:v>0.02422</x:v>
      </x:c>
      <x:c r="X5" t="n">
        <x:v>2.14</x:v>
      </x:c>
      <x:c r="Y5" t="str">
        <x:v>Z</x:v>
      </x:c>
      <x:c r="Z5" t="n">
        <x:v>0.015</x:v>
      </x:c>
      <x:c r="AA5" t="n">
        <x:v>97.14</x:v>
      </x:c>
      <x:c r="AB5" t="n">
        <x:v>0.064</x:v>
      </x:c>
      <x:c r="AC5" t="n">
        <x:v>74.21</x:v>
      </x:c>
      <x:c r="AD5" t="n">
        <x:v>0.01063</x:v>
      </x:c>
      <x:c r="AE5" t="n">
        <x:v>106.81</x:v>
      </x:c>
      <x:c r="AF5" t="n">
        <x:v>0.05</x:v>
      </x:c>
      <x:c r="AG5" t="n">
        <x:v>54.96</x:v>
      </x:c>
      <x:c r="AH5" t="n">
        <x:v>0.02039</x:v>
      </x:c>
      <x:c r="AI5" t="n">
        <x:v>-113.07</x:v>
      </x:c>
      <x:c r="AJ5" t="n">
        <x:v>0.06</x:v>
      </x:c>
      <x:c r="AK5" t="n">
        <x:v>23.34</x:v>
      </x:c>
      <x:c r="AL5" t="n">
        <x:v>0.02912</x:v>
      </x:c>
      <x:c r="AM5" t="n">
        <x:v>27.31</x:v>
      </x:c>
      <x:c r="AN5" t="n">
        <x:v>0.5152</x:v>
      </x:c>
      <x:c r="AO5" t="n">
        <x:v>0.3651</x:v>
      </x:c>
      <x:c r="AP5" t="n">
        <x:v>0.7003</x:v>
      </x:c>
      <x:c r="AQ5" t="n">
        <x:v>0</x:v>
      </x:c>
      <x:c r="AR5" t="n">
        <x:v>0.5213339872486513</x:v>
      </x:c>
      <x:c r="AS5" t="n">
        <x:v>0.26533819888902305</x:v>
      </x:c>
      <x:c r="AT5" t="n">
        <x:v>0.1332550841157469</x:v>
      </x:c>
      <x:c r="AU5" t="n">
        <x:v>0.49028850399257334</x:v>
      </x:c>
      <x:c r="AV5" t="str">
        <x:v>NO</x:v>
      </x:c>
    </x:row>
    <x:row r="6">
      <x:c r="A6" t="n">
        <x:v>100</x:v>
      </x:c>
      <x:c r="B6" t="n">
        <x:v>9</x:v>
      </x:c>
      <x:c r="C6" t="n">
        <x:v>19.53125</x:v>
      </x:c>
      <x:c r="D6" t="n">
        <x:v>0.02019</x:v>
      </x:c>
      <x:c r="E6" t="n">
        <x:v>7.46</x:v>
      </x:c>
      <x:c r="F6" t="n">
        <x:v>39.41478</x:v>
      </x:c>
      <x:c r="G6" t="n">
        <x:v>0.01722</x:v>
      </x:c>
      <x:c r="H6" t="n">
        <x:v>6.95</x:v>
      </x:c>
      <x:c r="I6" t="n">
        <x:v>22.60142</x:v>
      </x:c>
      <x:c r="J6" t="n">
        <x:v>0.02865</x:v>
      </x:c>
      <x:c r="K6" t="n">
        <x:v>5.81</x:v>
      </x:c>
      <x:c r="L6" t="n">
        <x:v>95.5943</x:v>
      </x:c>
      <x:c r="M6" t="n">
        <x:v>0.01275</x:v>
      </x:c>
      <x:c r="N6" t="n">
        <x:v>93.75473</x:v>
      </x:c>
      <x:c r="O6" t="n">
        <x:v>0.00868</x:v>
      </x:c>
      <x:c r="P6" t="n">
        <x:v>99.56264</x:v>
      </x:c>
      <x:c r="Q6" t="n">
        <x:v>0.01714</x:v>
      </x:c>
      <x:c r="R6" t="n">
        <x:v>95.29508</x:v>
      </x:c>
      <x:c r="S6" t="n">
        <x:v>-4.70492</x:v>
      </x:c>
      <x:c r="T6" t="n">
        <x:v>0.01275</x:v>
      </x:c>
      <x:c r="U6" t="n">
        <x:v>0.00739</x:v>
      </x:c>
      <x:c r="V6" t="n">
        <x:v>0.01624</x:v>
      </x:c>
      <x:c r="W6" t="n">
        <x:v>0.02193</x:v>
      </x:c>
      <x:c r="X6" t="n">
        <x:v>3.22</x:v>
      </x:c>
      <x:c r="Y6" t="str">
        <x:v>Z</x:v>
      </x:c>
      <x:c r="Z6" t="n">
        <x:v>0.01462</x:v>
      </x:c>
      <x:c r="AA6" t="n">
        <x:v>-164.55</x:v>
      </x:c>
      <x:c r="AB6" t="n">
        <x:v>0.061</x:v>
      </x:c>
      <x:c r="AC6" t="n">
        <x:v>85.46</x:v>
      </x:c>
      <x:c r="AD6" t="n">
        <x:v>0.01657</x:v>
      </x:c>
      <x:c r="AE6" t="n">
        <x:v>105.48</x:v>
      </x:c>
      <x:c r="AF6" t="n">
        <x:v>0.092</x:v>
      </x:c>
      <x:c r="AG6" t="n">
        <x:v>39.89</x:v>
      </x:c>
      <x:c r="AH6" t="n">
        <x:v>0.02268</x:v>
      </x:c>
      <x:c r="AI6" t="n">
        <x:v>-82.65</x:v>
      </x:c>
      <x:c r="AJ6" t="n">
        <x:v>0.06</x:v>
      </x:c>
      <x:c r="AK6" t="n">
        <x:v>63.51</x:v>
      </x:c>
      <x:c r="AL6" t="n">
        <x:v>0.03417</x:v>
      </x:c>
      <x:c r="AM6" t="n">
        <x:v>41.54</x:v>
      </x:c>
      <x:c r="AN6" t="n">
        <x:v>0.4279</x:v>
      </x:c>
      <x:c r="AO6" t="n">
        <x:v>0.485</x:v>
      </x:c>
      <x:c r="AP6" t="n">
        <x:v>0.6638</x:v>
      </x:c>
      <x:c r="AQ6" t="n">
        <x:v>0</x:v>
      </x:c>
      <x:c r="AR6" t="n">
        <x:v>0.730599647266314</x:v>
      </x:c>
      <x:c r="AS6" t="n">
        <x:v>0.18306477562436574</x:v>
      </x:c>
      <x:c r="AT6" t="n">
        <x:v>0.23515545582867403</x:v>
      </x:c>
      <x:c r="AU6" t="n">
        <x:v>0.44055095076700374</x:v>
      </x:c>
      <x:c r="AV6" t="str">
        <x:v>NO</x:v>
      </x:c>
    </x:row>
    <x:row r="7">
      <x:c r="A7" t="n">
        <x:v>100</x:v>
      </x:c>
      <x:c r="B7" t="n">
        <x:v>11</x:v>
      </x:c>
      <x:c r="C7" t="n">
        <x:v>21.37814</x:v>
      </x:c>
      <x:c r="D7" t="n">
        <x:v>0.02305</x:v>
      </x:c>
      <x:c r="E7" t="n">
        <x:v>8.09</x:v>
      </x:c>
      <x:c r="F7" t="n">
        <x:v>440.91282</x:v>
      </x:c>
      <x:c r="G7" t="n">
        <x:v>0.02091</x:v>
      </x:c>
      <x:c r="H7" t="n">
        <x:v>8.6</x:v>
      </x:c>
      <x:c r="I7" t="n">
        <x:v>686.89676</x:v>
      </x:c>
      <x:c r="J7" t="n">
        <x:v>0.02922</x:v>
      </x:c>
      <x:c r="K7" t="n">
        <x:v>6.19</x:v>
      </x:c>
      <x:c r="L7" t="n">
        <x:v>106.25124</x:v>
      </x:c>
      <x:c r="M7" t="n">
        <x:v>0.01312</x:v>
      </x:c>
      <x:c r="N7" t="n">
        <x:v>98.36692</x:v>
      </x:c>
      <x:c r="O7" t="n">
        <x:v>0.00938</x:v>
      </x:c>
      <x:c r="P7" t="n">
        <x:v>94.91525</x:v>
      </x:c>
      <x:c r="Q7" t="n">
        <x:v>0.01987</x:v>
      </x:c>
      <x:c r="R7" t="n">
        <x:v>94.77157</x:v>
      </x:c>
      <x:c r="S7" t="n">
        <x:v>-5.22843</x:v>
      </x:c>
      <x:c r="T7" t="n">
        <x:v>0.00999</x:v>
      </x:c>
      <x:c r="U7" t="n">
        <x:v>0.00697</x:v>
      </x:c>
      <x:c r="V7" t="n">
        <x:v>0.01987</x:v>
      </x:c>
      <x:c r="W7" t="n">
        <x:v>0.02331</x:v>
      </x:c>
      <x:c r="X7" t="n">
        <x:v>2.22</x:v>
      </x:c>
      <x:c r="Y7" t="str">
        <x:v>Z</x:v>
      </x:c>
      <x:c r="Z7" t="n">
        <x:v>0.01696</x:v>
      </x:c>
      <x:c r="AA7" t="n">
        <x:v>161.9</x:v>
      </x:c>
      <x:c r="AB7" t="n">
        <x:v>0.076</x:v>
      </x:c>
      <x:c r="AC7" t="n">
        <x:v>27.42</x:v>
      </x:c>
      <x:c r="AD7" t="n">
        <x:v>0.01235</x:v>
      </x:c>
      <x:c r="AE7" t="n">
        <x:v>-13.88</x:v>
      </x:c>
      <x:c r="AF7" t="n">
        <x:v>0.057</x:v>
      </x:c>
      <x:c r="AG7" t="n">
        <x:v>43.49</x:v>
      </x:c>
      <x:c r="AH7" t="n">
        <x:v>0.02653</x:v>
      </x:c>
      <x:c r="AI7" t="n">
        <x:v>141.09</x:v>
      </x:c>
      <x:c r="AJ7" t="n">
        <x:v>0.072</x:v>
      </x:c>
      <x:c r="AK7" t="n">
        <x:v>32.93</x:v>
      </x:c>
      <x:c r="AL7" t="n">
        <x:v>0.03466</x:v>
      </x:c>
      <x:c r="AM7" t="n">
        <x:v>21.46</x:v>
      </x:c>
      <x:c r="AN7" t="n">
        <x:v>0.4894</x:v>
      </x:c>
      <x:c r="AO7" t="n">
        <x:v>0.3562</x:v>
      </x:c>
      <x:c r="AP7" t="n">
        <x:v>0.7655</x:v>
      </x:c>
      <x:c r="AQ7" t="n">
        <x:v>0</x:v>
      </x:c>
      <x:c r="AR7" t="n">
        <x:v>0.4655107425555974</x:v>
      </x:c>
      <x:c r="AS7" t="n">
        <x:v>0.23943882856428395</x:v>
      </x:c>
      <x:c r="AT7" t="n">
        <x:v>0.126962889685275</x:v>
      </x:c>
      <x:c r="AU7" t="n">
        <x:v>0.5858917506773407</x:v>
      </x:c>
      <x:c r="AV7" t="str">
        <x:v>NO</x:v>
      </x:c>
    </x:row>
    <x:row r="8">
      <x:c r="A8" t="n">
        <x:v>100</x:v>
      </x:c>
      <x:c r="B8" t="n">
        <x:v>13</x:v>
      </x:c>
      <x:c r="C8" t="n">
        <x:v>60.74503</x:v>
      </x:c>
      <x:c r="D8" t="n">
        <x:v>0.21174</x:v>
      </x:c>
      <x:c r="E8" t="n">
        <x:v>23.42</x:v>
      </x:c>
      <x:c r="F8" t="n">
        <x:v>60.72486</x:v>
      </x:c>
      <x:c r="G8" t="n">
        <x:v>0.3487</x:v>
      </x:c>
      <x:c r="H8" t="n">
        <x:v>26.77</x:v>
      </x:c>
      <x:c r="I8" t="n">
        <x:v>100.05995</x:v>
      </x:c>
      <x:c r="J8" t="n">
        <x:v>0.19976</x:v>
      </x:c>
      <x:c r="K8" t="n">
        <x:v>20.92</x:v>
      </x:c>
      <x:c r="L8" t="n">
        <x:v>100.08935</x:v>
      </x:c>
      <x:c r="M8" t="n">
        <x:v>0.03278</x:v>
      </x:c>
      <x:c r="N8" t="n">
        <x:v>99.80935</x:v>
      </x:c>
      <x:c r="O8" t="n">
        <x:v>0.04996</x:v>
      </x:c>
      <x:c r="P8" t="n">
        <x:v>100.05995</x:v>
      </x:c>
      <x:c r="Q8" t="n">
        <x:v>0.19976</x:v>
      </x:c>
      <x:c r="R8" t="n">
        <x:v>100.0459</x:v>
      </x:c>
      <x:c r="S8" t="n">
        <x:v>0.0459</x:v>
      </x:c>
      <x:c r="T8" t="n">
        <x:v>0.03278</x:v>
      </x:c>
      <x:c r="U8" t="n">
        <x:v>0.04996</x:v>
      </x:c>
      <x:c r="V8" t="n">
        <x:v>0.19976</x:v>
      </x:c>
      <x:c r="W8" t="n">
        <x:v>0.20851</x:v>
      </x:c>
      <x:c r="X8" t="n">
        <x:v>17.44</x:v>
      </x:c>
      <x:c r="Y8" t="str">
        <x:v>Z</x:v>
      </x:c>
      <x:c r="Z8" t="n">
        <x:v>0.04559</x:v>
      </x:c>
      <x:c r="AA8" t="n">
        <x:v>-22.59</x:v>
      </x:c>
      <x:c r="AB8" t="n">
        <x:v>0.062</x:v>
      </x:c>
      <x:c r="AC8" t="n">
        <x:v>54.21</x:v>
      </x:c>
      <x:c r="AD8" t="n">
        <x:v>0.10233</x:v>
      </x:c>
      <x:c r="AE8" t="n">
        <x:v>-112.89</x:v>
      </x:c>
      <x:c r="AF8" t="n">
        <x:v>0.121</x:v>
      </x:c>
      <x:c r="AG8" t="n">
        <x:v>25.49</x:v>
      </x:c>
      <x:c r="AH8" t="n">
        <x:v>0.33036</x:v>
      </x:c>
      <x:c r="AI8" t="n">
        <x:v>67.88</x:v>
      </x:c>
      <x:c r="AJ8" t="n">
        <x:v>0.506</x:v>
      </x:c>
      <x:c r="AK8" t="n">
        <x:v>1.51</x:v>
      </x:c>
      <x:c r="AL8" t="n">
        <x:v>0.35021</x:v>
      </x:c>
      <x:c r="AM8" t="n">
        <x:v>3.09</x:v>
      </x:c>
      <x:c r="AN8" t="n">
        <x:v>0.1302</x:v>
      </x:c>
      <x:c r="AO8" t="n">
        <x:v>0.2922</x:v>
      </x:c>
      <x:c r="AP8" t="n">
        <x:v>0.9433</x:v>
      </x:c>
      <x:c r="AQ8" t="n">
        <x:v>1</x:v>
      </x:c>
      <x:c r="AR8" t="n">
        <x:v>0.3097529967308391</x:v>
      </x:c>
      <x:c r="AS8" t="n">
        <x:v>0.016946581267016442</x:v>
      </x:c>
      <x:c r="AT8" t="n">
        <x:v>0.08537856722794022</x:v>
      </x:c>
      <x:c r="AU8" t="n">
        <x:v>0.8898520987673765</x:v>
      </x:c>
      <x:c r="AV8" t="str">
        <x:v>NO</x:v>
      </x:c>
    </x:row>
    <x:row r="9">
      <x:c r="A9" t="n">
        <x:v>100</x:v>
      </x:c>
      <x:c r="B9" t="n">
        <x:v>15</x:v>
      </x:c>
      <x:c r="C9" t="n">
        <x:v>460.97224</x:v>
      </x:c>
      <x:c r="D9" t="n">
        <x:v>0.29898</x:v>
      </x:c>
      <x:c r="E9" t="n">
        <x:v>25.35</x:v>
      </x:c>
      <x:c r="F9" t="n">
        <x:v>461.04102</x:v>
      </x:c>
      <x:c r="G9" t="n">
        <x:v>0.16471</x:v>
      </x:c>
      <x:c r="H9" t="n">
        <x:v>19.66</x:v>
      </x:c>
      <x:c r="I9" t="n">
        <x:v>99.98393</x:v>
      </x:c>
      <x:c r="J9" t="n">
        <x:v>0.35177</x:v>
      </x:c>
      <x:c r="K9" t="n">
        <x:v>26.03</x:v>
      </x:c>
      <x:c r="L9" t="n">
        <x:v>99.8816</x:v>
      </x:c>
      <x:c r="M9" t="n">
        <x:v>0.04033</x:v>
      </x:c>
      <x:c r="N9" t="n">
        <x:v>100.04141</x:v>
      </x:c>
      <x:c r="O9" t="n">
        <x:v>0.0553</x:v>
      </x:c>
      <x:c r="P9" t="n">
        <x:v>99.98393</x:v>
      </x:c>
      <x:c r="Q9" t="n">
        <x:v>0.35177</x:v>
      </x:c>
      <x:c r="R9" t="n">
        <x:v>99.98396</x:v>
      </x:c>
      <x:c r="S9" t="n">
        <x:v>-0.01604</x:v>
      </x:c>
      <x:c r="T9" t="n">
        <x:v>0.04033</x:v>
      </x:c>
      <x:c r="U9" t="n">
        <x:v>0.0553</x:v>
      </x:c>
      <x:c r="V9" t="n">
        <x:v>0.35177</x:v>
      </x:c>
      <x:c r="W9" t="n">
        <x:v>0.35836</x:v>
      </x:c>
      <x:c r="X9" t="n">
        <x:v>26.11</x:v>
      </x:c>
      <x:c r="Y9" t="str">
        <x:v>Z</x:v>
      </x:c>
      <x:c r="Z9" t="n">
        <x:v>0.05946</x:v>
      </x:c>
      <x:c r="AA9" t="n">
        <x:v>29.84</x:v>
      </x:c>
      <x:c r="AB9" t="n">
        <x:v>0.101</x:v>
      </x:c>
      <x:c r="AC9" t="n">
        <x:v>29.43</x:v>
      </x:c>
      <x:c r="AD9" t="n">
        <x:v>0.06686</x:v>
      </x:c>
      <x:c r="AE9" t="n">
        <x:v>-124.84</x:v>
      </x:c>
      <x:c r="AF9" t="n">
        <x:v>0.117</x:v>
      </x:c>
      <x:c r="AG9" t="n">
        <x:v>10.68</x:v>
      </x:c>
      <x:c r="AH9" t="n">
        <x:v>0.3975</x:v>
      </x:c>
      <x:c r="AI9" t="n">
        <x:v>69.35</x:v>
      </x:c>
      <x:c r="AJ9" t="n">
        <x:v>0.687</x:v>
      </x:c>
      <x:c r="AK9" t="n">
        <x:v>6.71</x:v>
      </x:c>
      <x:c r="AL9" t="n">
        <x:v>0.4079</x:v>
      </x:c>
      <x:c r="AM9" t="n">
        <x:v>6.04</x:v>
      </x:c>
      <x:c r="AN9" t="n">
        <x:v>0.1458</x:v>
      </x:c>
      <x:c r="AO9" t="n">
        <x:v>0.1639</x:v>
      </x:c>
      <x:c r="AP9" t="n">
        <x:v>0.9745</x:v>
      </x:c>
      <x:c r="AQ9" t="n">
        <x:v>1</x:v>
      </x:c>
      <x:c r="AR9" t="n">
        <x:v>0.16820125786163523</x:v>
      </x:c>
      <x:c r="AS9" t="n">
        <x:v>0.02124919094512455</x:v>
      </x:c>
      <x:c r="AT9" t="n">
        <x:v>0.02686738099297877</x:v>
      </x:c>
      <x:c r="AU9" t="n">
        <x:v>0.9496571783038846</x:v>
      </x:c>
      <x:c r="AV9" t="str">
        <x:v>NO</x:v>
      </x:c>
    </x:row>
    <x:row r="10">
      <x:c r="A10" t="n">
        <x:v>100</x:v>
      </x:c>
      <x:c r="B10" t="n">
        <x:v>17</x:v>
      </x:c>
      <x:c r="C10" t="n">
        <x:v>360.8084</x:v>
      </x:c>
      <x:c r="D10" t="n">
        <x:v>0.15274</x:v>
      </x:c>
      <x:c r="E10" t="n">
        <x:v>19.14</x:v>
      </x:c>
      <x:c r="F10" t="n">
        <x:v>240.96481</x:v>
      </x:c>
      <x:c r="G10" t="n">
        <x:v>0.21426</x:v>
      </x:c>
      <x:c r="H10" t="n">
        <x:v>20.38</x:v>
      </x:c>
      <x:c r="I10" t="n">
        <x:v>100.00406</x:v>
      </x:c>
      <x:c r="J10" t="n">
        <x:v>0.50868</x:v>
      </x:c>
      <x:c r="K10" t="n">
        <x:v>28.73</x:v>
      </x:c>
      <x:c r="L10" t="n">
        <x:v>99.97543</x:v>
      </x:c>
      <x:c r="M10" t="n">
        <x:v>0.07134</x:v>
      </x:c>
      <x:c r="N10" t="n">
        <x:v>100.00089</x:v>
      </x:c>
      <x:c r="O10" t="n">
        <x:v>0.09036</x:v>
      </x:c>
      <x:c r="P10" t="n">
        <x:v>100.00406</x:v>
      </x:c>
      <x:c r="Q10" t="n">
        <x:v>0.50868</x:v>
      </x:c>
      <x:c r="R10" t="n">
        <x:v>100.00343</x:v>
      </x:c>
      <x:c r="S10" t="n">
        <x:v>0.00343</x:v>
      </x:c>
      <x:c r="T10" t="n">
        <x:v>0.07134</x:v>
      </x:c>
      <x:c r="U10" t="n">
        <x:v>0.09036</x:v>
      </x:c>
      <x:c r="V10" t="n">
        <x:v>0.50868</x:v>
      </x:c>
      <x:c r="W10" t="n">
        <x:v>0.52154</x:v>
      </x:c>
      <x:c r="X10" t="n">
        <x:v>29.55</x:v>
      </x:c>
      <x:c r="Y10" t="str">
        <x:v>Z</x:v>
      </x:c>
      <x:c r="Z10" t="n">
        <x:v>0.0875</x:v>
      </x:c>
      <x:c r="AA10" t="n">
        <x:v>43.88</x:v>
      </x:c>
      <x:c r="AB10" t="n">
        <x:v>0.163</x:v>
      </x:c>
      <x:c r="AC10" t="n">
        <x:v>18.17</x:v>
      </x:c>
      <x:c r="AD10" t="n">
        <x:v>0.08919</x:v>
      </x:c>
      <x:c r="AE10" t="n">
        <x:v>-132.2</x:v>
      </x:c>
      <x:c r="AF10" t="n">
        <x:v>0.127</x:v>
      </x:c>
      <x:c r="AG10" t="n">
        <x:v>14.95</x:v>
      </x:c>
      <x:c r="AH10" t="n">
        <x:v>0.55993</x:v>
      </x:c>
      <x:c r="AI10" t="n">
        <x:v>69.76</x:v>
      </x:c>
      <x:c r="AJ10" t="n">
        <x:v>0.751</x:v>
      </x:c>
      <x:c r="AK10" t="n">
        <x:v>4.23</x:v>
      </x:c>
      <x:c r="AL10" t="n">
        <x:v>0.574</x:v>
      </x:c>
      <x:c r="AM10" t="n">
        <x:v>4.13</x:v>
      </x:c>
      <x:c r="AN10" t="n">
        <x:v>0.1524</x:v>
      </x:c>
      <x:c r="AO10" t="n">
        <x:v>0.1554</x:v>
      </x:c>
      <x:c r="AP10" t="n">
        <x:v>0.9755</x:v>
      </x:c>
      <x:c r="AQ10" t="n">
        <x:v>1</x:v>
      </x:c>
      <x:c r="AR10" t="n">
        <x:v>0.15928776811387138</x:v>
      </x:c>
      <x:c r="AS10" t="n">
        <x:v>0.023237656157049376</x:v>
      </x:c>
      <x:c r="AT10" t="n">
        <x:v>0.024143962230936403</x:v>
      </x:c>
      <x:c r="AU10" t="n">
        <x:v>0.9515764574657944</x:v>
      </x:c>
      <x:c r="AV10" t="str">
        <x:v>NO</x:v>
      </x:c>
    </x:row>
    <x:row r="11">
      <x:c r="A11" t="n">
        <x:v>100</x:v>
      </x:c>
      <x:c r="B11" t="n">
        <x:v>19</x:v>
      </x:c>
      <x:c r="C11" t="n">
        <x:v>260.77939</x:v>
      </x:c>
      <x:c r="D11" t="n">
        <x:v>0.40146</x:v>
      </x:c>
      <x:c r="E11" t="n">
        <x:v>26.06</x:v>
      </x:c>
      <x:c r="F11" t="n">
        <x:v>60.79173</x:v>
      </x:c>
      <x:c r="G11" t="n">
        <x:v>0.28734</x:v>
      </x:c>
      <x:c r="H11" t="n">
        <x:v>21.58</x:v>
      </x:c>
      <x:c r="I11" t="n">
        <x:v>100.00769</x:v>
      </x:c>
      <x:c r="J11" t="n">
        <x:v>0.71672</x:v>
      </x:c>
      <x:c r="K11" t="n">
        <x:v>30.92</x:v>
      </x:c>
      <x:c r="L11" t="n">
        <x:v>100.05722</x:v>
      </x:c>
      <x:c r="M11" t="n">
        <x:v>0.09751</x:v>
      </x:c>
      <x:c r="N11" t="n">
        <x:v>100.09152</x:v>
      </x:c>
      <x:c r="O11" t="n">
        <x:v>0.11368</x:v>
      </x:c>
      <x:c r="P11" t="n">
        <x:v>100.00769</x:v>
      </x:c>
      <x:c r="Q11" t="n">
        <x:v>0.71672</x:v>
      </x:c>
      <x:c r="R11" t="n">
        <x:v>100.01056</x:v>
      </x:c>
      <x:c r="S11" t="n">
        <x:v>0.01056</x:v>
      </x:c>
      <x:c r="T11" t="n">
        <x:v>0.09751</x:v>
      </x:c>
      <x:c r="U11" t="n">
        <x:v>0.11368</x:v>
      </x:c>
      <x:c r="V11" t="n">
        <x:v>0.71672</x:v>
      </x:c>
      <x:c r="W11" t="n">
        <x:v>0.7322</x:v>
      </x:c>
      <x:c r="X11" t="n">
        <x:v>32.19</x:v>
      </x:c>
      <x:c r="Y11" t="str">
        <x:v>Z</x:v>
      </x:c>
      <x:c r="Z11" t="n">
        <x:v>0.10918</x:v>
      </x:c>
      <x:c r="AA11" t="n">
        <x:v>46.93</x:v>
      </x:c>
      <x:c r="AB11" t="n">
        <x:v>0.146</x:v>
      </x:c>
      <x:c r="AC11" t="n">
        <x:v>11.48</x:v>
      </x:c>
      <x:c r="AD11" t="n">
        <x:v>0.12237</x:v>
      </x:c>
      <x:c r="AE11" t="n">
        <x:v>-126.56</x:v>
      </x:c>
      <x:c r="AF11" t="n">
        <x:v>0.145</x:v>
      </x:c>
      <x:c r="AG11" t="n">
        <x:v>18.69</x:v>
      </x:c>
      <x:c r="AH11" t="n">
        <x:v>0.75406</x:v>
      </x:c>
      <x:c r="AI11" t="n">
        <x:v>71.5</x:v>
      </x:c>
      <x:c r="AJ11" t="n">
        <x:v>0.825</x:v>
      </x:c>
      <x:c r="AK11" t="n">
        <x:v>3.31</x:v>
      </x:c>
      <x:c r="AL11" t="n">
        <x:v>0.772</x:v>
      </x:c>
      <x:c r="AM11" t="n">
        <x:v>3.42</x:v>
      </x:c>
      <x:c r="AN11" t="n">
        <x:v>0.1414</x:v>
      </x:c>
      <x:c r="AO11" t="n">
        <x:v>0.1585</x:v>
      </x:c>
      <x:c r="AP11" t="n">
        <x:v>0.9768</x:v>
      </x:c>
      <x:c r="AQ11" t="n">
        <x:v>1</x:v>
      </x:c>
      <x:c r="AR11" t="n">
        <x:v>0.16228151605973</x:v>
      </x:c>
      <x:c r="AS11" t="n">
        <x:v>0.02000099398641574</x:v>
      </x:c>
      <x:c r="AT11" t="n">
        <x:v>0.0251255350814787</x:v>
      </x:c>
      <x:c r="AU11" t="n">
        <x:v>0.9540633365996399</x:v>
      </x:c>
      <x:c r="AV11" t="str">
        <x:v>YES</x:v>
      </x:c>
    </x:row>
    <x:row r="12">
      <x:c r="A12" t="n">
        <x:v>100</x:v>
      </x:c>
      <x:c r="B12" t="n">
        <x:v>21</x:v>
      </x:c>
      <x:c r="C12" t="n">
        <x:v>260.89138</x:v>
      </x:c>
      <x:c r="D12" t="n">
        <x:v>0.3969</x:v>
      </x:c>
      <x:c r="E12" t="n">
        <x:v>27.11</x:v>
      </x:c>
      <x:c r="F12" t="n">
        <x:v>260.85738</x:v>
      </x:c>
      <x:c r="G12" t="n">
        <x:v>0.24067</x:v>
      </x:c>
      <x:c r="H12" t="n">
        <x:v>20.88</x:v>
      </x:c>
      <x:c r="I12" t="n">
        <x:v>99.99679</x:v>
      </x:c>
      <x:c r="J12" t="n">
        <x:v>0.8664</x:v>
      </x:c>
      <x:c r="K12" t="n">
        <x:v>32.78</x:v>
      </x:c>
      <x:c r="L12" t="n">
        <x:v>100.00391</x:v>
      </x:c>
      <x:c r="M12" t="n">
        <x:v>0.1339</x:v>
      </x:c>
      <x:c r="N12" t="n">
        <x:v>100.02332</x:v>
      </x:c>
      <x:c r="O12" t="n">
        <x:v>0.14332</x:v>
      </x:c>
      <x:c r="P12" t="n">
        <x:v>99.99679</x:v>
      </x:c>
      <x:c r="Q12" t="n">
        <x:v>0.8664</x:v>
      </x:c>
      <x:c r="R12" t="n">
        <x:v>99.99765</x:v>
      </x:c>
      <x:c r="S12" t="n">
        <x:v>-0.00235</x:v>
      </x:c>
      <x:c r="T12" t="n">
        <x:v>0.1339</x:v>
      </x:c>
      <x:c r="U12" t="n">
        <x:v>0.14332</x:v>
      </x:c>
      <x:c r="V12" t="n">
        <x:v>0.8664</x:v>
      </x:c>
      <x:c r="W12" t="n">
        <x:v>0.88833</x:v>
      </x:c>
      <x:c r="X12" t="n">
        <x:v>31.41</x:v>
      </x:c>
      <x:c r="Y12" t="str">
        <x:v>Z</x:v>
      </x:c>
      <x:c r="Z12" t="n">
        <x:v>0.13384</x:v>
      </x:c>
      <x:c r="AA12" t="n">
        <x:v>37.83</x:v>
      </x:c>
      <x:c r="AB12" t="n">
        <x:v>0.189</x:v>
      </x:c>
      <x:c r="AC12" t="n">
        <x:v>10.89</x:v>
      </x:c>
      <x:c r="AD12" t="n">
        <x:v>0.1461</x:v>
      </x:c>
      <x:c r="AE12" t="n">
        <x:v>-119.05</x:v>
      </x:c>
      <x:c r="AF12" t="n">
        <x:v>0.186</x:v>
      </x:c>
      <x:c r="AG12" t="n">
        <x:v>6</x:v>
      </x:c>
      <x:c r="AH12" t="n">
        <x:v>0.8988</x:v>
      </x:c>
      <x:c r="AI12" t="n">
        <x:v>69.7</x:v>
      </x:c>
      <x:c r="AJ12" t="n">
        <x:v>0.865</x:v>
      </x:c>
      <x:c r="AK12" t="n">
        <x:v>3.07</x:v>
      </x:c>
      <x:c r="AL12" t="n">
        <x:v>0.92049</x:v>
      </x:c>
      <x:c r="AM12" t="n">
        <x:v>3.07</x:v>
      </x:c>
      <x:c r="AN12" t="n">
        <x:v>0.1454</x:v>
      </x:c>
      <x:c r="AO12" t="n">
        <x:v>0.1587</x:v>
      </x:c>
      <x:c r="AP12" t="n">
        <x:v>0.9764</x:v>
      </x:c>
      <x:c r="AQ12" t="n">
        <x:v>1</x:v>
      </x:c>
      <x:c r="AR12" t="n">
        <x:v>0.16255006675567424</x:v>
      </x:c>
      <x:c r="AS12" t="n">
        <x:v>0.021141398203367356</x:v>
      </x:c>
      <x:c r="AT12" t="n">
        <x:v>0.025191978808261295</x:v>
      </x:c>
      <x:c r="AU12" t="n">
        <x:v>0.9534281666432558</x:v>
      </x:c>
      <x:c r="AV12" t="str">
        <x:v>YES</x:v>
      </x:c>
    </x:row>
    <x:row r="13">
      <x:c r="A13" t="n">
        <x:v>100</x:v>
      </x:c>
      <x:c r="B13" t="n">
        <x:v>23</x:v>
      </x:c>
      <x:c r="C13" t="n">
        <x:v>100.00403</x:v>
      </x:c>
      <x:c r="D13" t="n">
        <x:v>0.16864</x:v>
      </x:c>
      <x:c r="E13" t="n">
        <x:v>20.78</x:v>
      </x:c>
      <x:c r="F13" t="n">
        <x:v>441.18917</x:v>
      </x:c>
      <x:c r="G13" t="n">
        <x:v>0.38028</x:v>
      </x:c>
      <x:c r="H13" t="n">
        <x:v>24.31</x:v>
      </x:c>
      <x:c r="I13" t="n">
        <x:v>100.00069</x:v>
      </x:c>
      <x:c r="J13" t="n">
        <x:v>1.01612</x:v>
      </x:c>
      <x:c r="K13" t="n">
        <x:v>33.74</x:v>
      </x:c>
      <x:c r="L13" t="n">
        <x:v>100.00403</x:v>
      </x:c>
      <x:c r="M13" t="n">
        <x:v>0.16864</x:v>
      </x:c>
      <x:c r="N13" t="n">
        <x:v>99.98015</x:v>
      </x:c>
      <x:c r="O13" t="n">
        <x:v>0.17136</x:v>
      </x:c>
      <x:c r="P13" t="n">
        <x:v>100.00069</x:v>
      </x:c>
      <x:c r="Q13" t="n">
        <x:v>1.01612</x:v>
      </x:c>
      <x:c r="R13" t="n">
        <x:v>100.00022</x:v>
      </x:c>
      <x:c r="S13" t="n">
        <x:v>0.00022</x:v>
      </x:c>
      <x:c r="T13" t="n">
        <x:v>0.16864</x:v>
      </x:c>
      <x:c r="U13" t="n">
        <x:v>0.17136</x:v>
      </x:c>
      <x:c r="V13" t="n">
        <x:v>1.01612</x:v>
      </x:c>
      <x:c r="W13" t="n">
        <x:v>1.04418</x:v>
      </x:c>
      <x:c r="X13" t="n">
        <x:v>34.55</x:v>
      </x:c>
      <x:c r="Y13" t="str">
        <x:v>Z</x:v>
      </x:c>
      <x:c r="Z13" t="n">
        <x:v>0.1562</x:v>
      </x:c>
      <x:c r="AA13" t="n">
        <x:v>40.59</x:v>
      </x:c>
      <x:c r="AB13" t="n">
        <x:v>0.328</x:v>
      </x:c>
      <x:c r="AC13" t="n">
        <x:v>9.65</x:v>
      </x:c>
      <x:c r="AD13" t="n">
        <x:v>0.15587</x:v>
      </x:c>
      <x:c r="AE13" t="n">
        <x:v>-116.86</x:v>
      </x:c>
      <x:c r="AF13" t="n">
        <x:v>0.171</x:v>
      </x:c>
      <x:c r="AG13" t="n">
        <x:v>10.98</x:v>
      </x:c>
      <x:c r="AH13" t="n">
        <x:v>1.02957</x:v>
      </x:c>
      <x:c r="AI13" t="n">
        <x:v>70.54</x:v>
      </x:c>
      <x:c r="AJ13" t="n">
        <x:v>0.878</x:v>
      </x:c>
      <x:c r="AK13" t="n">
        <x:v>0.99</x:v>
      </x:c>
      <x:c r="AL13" t="n">
        <x:v>1.05316</x:v>
      </x:c>
      <x:c r="AM13" t="n">
        <x:v>0.71</x:v>
      </x:c>
      <x:c r="AN13" t="n">
        <x:v>0.1483</x:v>
      </x:c>
      <x:c r="AO13" t="n">
        <x:v>0.148</x:v>
      </x:c>
      <x:c r="AP13" t="n">
        <x:v>0.9776</x:v>
      </x:c>
      <x:c r="AQ13" t="n">
        <x:v>1</x:v>
      </x:c>
      <x:c r="AR13" t="n">
        <x:v>0.15139330011558222</x:v>
      </x:c>
      <x:c r="AS13" t="n">
        <x:v>0.021997501065472005</x:v>
      </x:c>
      <x:c r="AT13" t="n">
        <x:v>0.021904652061520296</x:v>
      </x:c>
      <x:c r="AU13" t="n">
        <x:v>0.955703215502852</x:v>
      </x:c>
      <x:c r="AV13" t="str">
        <x:v>YES</x:v>
      </x:c>
    </x:row>
    <x:row r="14">
      <x:c r="A14" t="n">
        <x:v>100</x:v>
      </x:c>
      <x:c r="B14" t="n">
        <x:v>25</x:v>
      </x:c>
      <x:c r="C14" t="n">
        <x:v>460.86754</x:v>
      </x:c>
      <x:c r="D14" t="n">
        <x:v>0.35272</x:v>
      </x:c>
      <x:c r="E14" t="n">
        <x:v>26.01</x:v>
      </x:c>
      <x:c r="F14" t="n">
        <x:v>441.16384</x:v>
      </x:c>
      <x:c r="G14" t="n">
        <x:v>0.46072</x:v>
      </x:c>
      <x:c r="H14" t="n">
        <x:v>26.05</x:v>
      </x:c>
      <x:c r="I14" t="n">
        <x:v>99.99555</x:v>
      </x:c>
      <x:c r="J14" t="n">
        <x:v>1.10504</x:v>
      </x:c>
      <x:c r="K14" t="n">
        <x:v>34.46</x:v>
      </x:c>
      <x:c r="L14" t="n">
        <x:v>100.00382</x:v>
      </x:c>
      <x:c r="M14" t="n">
        <x:v>0.18368</x:v>
      </x:c>
      <x:c r="N14" t="n">
        <x:v>100.02511</x:v>
      </x:c>
      <x:c r="O14" t="n">
        <x:v>0.18144</x:v>
      </x:c>
      <x:c r="P14" t="n">
        <x:v>99.99555</x:v>
      </x:c>
      <x:c r="Q14" t="n">
        <x:v>1.10504</x:v>
      </x:c>
      <x:c r="R14" t="n">
        <x:v>99.99653</x:v>
      </x:c>
      <x:c r="S14" t="n">
        <x:v>-0.00347</x:v>
      </x:c>
      <x:c r="T14" t="n">
        <x:v>0.18368</x:v>
      </x:c>
      <x:c r="U14" t="n">
        <x:v>0.18144</x:v>
      </x:c>
      <x:c r="V14" t="n">
        <x:v>1.10504</x:v>
      </x:c>
      <x:c r="W14" t="n">
        <x:v>1.1348</x:v>
      </x:c>
      <x:c r="X14" t="n">
        <x:v>34.65</x:v>
      </x:c>
      <x:c r="Y14" t="str">
        <x:v>Z</x:v>
      </x:c>
      <x:c r="Z14" t="n">
        <x:v>0.16938</x:v>
      </x:c>
      <x:c r="AA14" t="n">
        <x:v>40.33</x:v>
      </x:c>
      <x:c r="AB14" t="n">
        <x:v>0.255</x:v>
      </x:c>
      <x:c r="AC14" t="n">
        <x:v>9.62</x:v>
      </x:c>
      <x:c r="AD14" t="n">
        <x:v>0.19304</x:v>
      </x:c>
      <x:c r="AE14" t="n">
        <x:v>-119.73</x:v>
      </x:c>
      <x:c r="AF14" t="n">
        <x:v>0.207</x:v>
      </x:c>
      <x:c r="AG14" t="n">
        <x:v>7.26</x:v>
      </x:c>
      <x:c r="AH14" t="n">
        <x:v>1.10536</x:v>
      </x:c>
      <x:c r="AI14" t="n">
        <x:v>71.41</x:v>
      </x:c>
      <x:c r="AJ14" t="n">
        <x:v>0.901</x:v>
      </x:c>
      <x:c r="AK14" t="n">
        <x:v>1.7</x:v>
      </x:c>
      <x:c r="AL14" t="n">
        <x:v>1.13499</x:v>
      </x:c>
      <x:c r="AM14" t="n">
        <x:v>1.47</x:v>
      </x:c>
      <x:c r="AN14" t="n">
        <x:v>0.1492</x:v>
      </x:c>
      <x:c r="AO14" t="n">
        <x:v>0.1701</x:v>
      </x:c>
      <x:c r="AP14" t="n">
        <x:v>0.9739</x:v>
      </x:c>
      <x:c r="AQ14" t="n">
        <x:v>1</x:v>
      </x:c>
      <x:c r="AR14" t="n">
        <x:v>0.17463993631034233</x:v>
      </x:c>
      <x:c r="AS14" t="n">
        <x:v>0.02227102404472722</x:v>
      </x:c>
      <x:c r="AT14" t="n">
        <x:v>0.028927476373165343</x:v>
      </x:c>
      <x:c r="AU14" t="n">
        <x:v>0.9484696072233011</x:v>
      </x:c>
      <x:c r="AV14" t="str">
        <x:v>YES</x:v>
      </x:c>
    </x:row>
    <x:row r="15">
      <x:c r="A15" t="n">
        <x:v>100</x:v>
      </x:c>
      <x:c r="B15" t="n">
        <x:v>27</x:v>
      </x:c>
      <x:c r="C15" t="n">
        <x:v>260.50814</x:v>
      </x:c>
      <x:c r="D15" t="n">
        <x:v>0.33219</x:v>
      </x:c>
      <x:c r="E15" t="n">
        <x:v>25.62</x:v>
      </x:c>
      <x:c r="F15" t="n">
        <x:v>440.5882</x:v>
      </x:c>
      <x:c r="G15" t="n">
        <x:v>0.43399</x:v>
      </x:c>
      <x:c r="H15" t="n">
        <x:v>25.22</x:v>
      </x:c>
      <x:c r="I15" t="n">
        <x:v>100.00032</x:v>
      </x:c>
      <x:c r="J15" t="n">
        <x:v>1.22733</x:v>
      </x:c>
      <x:c r="K15" t="n">
        <x:v>35.26</x:v>
      </x:c>
      <x:c r="L15" t="n">
        <x:v>100.03879</x:v>
      </x:c>
      <x:c r="M15" t="n">
        <x:v>0.20469</x:v>
      </x:c>
      <x:c r="N15" t="n">
        <x:v>100.01803</x:v>
      </x:c>
      <x:c r="O15" t="n">
        <x:v>0.2028</x:v>
      </x:c>
      <x:c r="P15" t="n">
        <x:v>100.00032</x:v>
      </x:c>
      <x:c r="Q15" t="n">
        <x:v>1.22733</x:v>
      </x:c>
      <x:c r="R15" t="n">
        <x:v>100.0018</x:v>
      </x:c>
      <x:c r="S15" t="n">
        <x:v>0.0018</x:v>
      </x:c>
      <x:c r="T15" t="n">
        <x:v>0.20469</x:v>
      </x:c>
      <x:c r="U15" t="n">
        <x:v>0.2028</x:v>
      </x:c>
      <x:c r="V15" t="n">
        <x:v>1.22733</x:v>
      </x:c>
      <x:c r="W15" t="n">
        <x:v>1.2607</x:v>
      </x:c>
      <x:c r="X15" t="n">
        <x:v>35.8</x:v>
      </x:c>
      <x:c r="Y15" t="str">
        <x:v>Z</x:v>
      </x:c>
      <x:c r="Z15" t="n">
        <x:v>0.21224</x:v>
      </x:c>
      <x:c r="AA15" t="n">
        <x:v>27.55</x:v>
      </x:c>
      <x:c r="AB15" t="n">
        <x:v>0.326</x:v>
      </x:c>
      <x:c r="AC15" t="n">
        <x:v>4.6</x:v>
      </x:c>
      <x:c r="AD15" t="n">
        <x:v>0.20827</x:v>
      </x:c>
      <x:c r="AE15" t="n">
        <x:v>-110.39</x:v>
      </x:c>
      <x:c r="AF15" t="n">
        <x:v>0.205</x:v>
      </x:c>
      <x:c r="AG15" t="n">
        <x:v>5.78</x:v>
      </x:c>
      <x:c r="AH15" t="n">
        <x:v>1.20373</x:v>
      </x:c>
      <x:c r="AI15" t="n">
        <x:v>70.71</x:v>
      </x:c>
      <x:c r="AJ15" t="n">
        <x:v>0.908</x:v>
      </x:c>
      <x:c r="AK15" t="n">
        <x:v>1.82</x:v>
      </x:c>
      <x:c r="AL15" t="n">
        <x:v>1.24</x:v>
      </x:c>
      <x:c r="AM15" t="n">
        <x:v>1.7</x:v>
      </x:c>
      <x:c r="AN15" t="n">
        <x:v>0.1712</x:v>
      </x:c>
      <x:c r="AO15" t="n">
        <x:v>0.168</x:v>
      </x:c>
      <x:c r="AP15" t="n">
        <x:v>0.9707</x:v>
      </x:c>
      <x:c r="AQ15" t="n">
        <x:v>1</x:v>
      </x:c>
      <x:c r="AR15" t="n">
        <x:v>0.17302052785923755</x:v>
      </x:c>
      <x:c r="AS15" t="n">
        <x:v>0.02929618730489074</x:v>
      </x:c>
      <x:c r="AT15" t="n">
        <x:v>0.028210453238813736</x:v>
      </x:c>
      <x:c r="AU15" t="n">
        <x:v>0.9423555624999999</x:v>
      </x:c>
      <x:c r="AV15" t="str">
        <x:v>YES</x:v>
      </x:c>
    </x:row>
    <x:row r="16">
      <x:c r="A16" t="n">
        <x:v>100</x:v>
      </x:c>
      <x:c r="B16" t="n">
        <x:v>29</x:v>
      </x:c>
      <x:c r="C16" t="n">
        <x:v>260.72372</x:v>
      </x:c>
      <x:c r="D16" t="n">
        <x:v>0.59307</x:v>
      </x:c>
      <x:c r="E16" t="n">
        <x:v>29.41</x:v>
      </x:c>
      <x:c r="F16" t="n">
        <x:v>440.88782</x:v>
      </x:c>
      <x:c r="G16" t="n">
        <x:v>0.49643</x:v>
      </x:c>
      <x:c r="H16" t="n">
        <x:v>25.6</x:v>
      </x:c>
      <x:c r="I16" t="n">
        <x:v>99.99714</x:v>
      </x:c>
      <x:c r="J16" t="n">
        <x:v>1.34838</x:v>
      </x:c>
      <x:c r="K16" t="n">
        <x:v>36.01</x:v>
      </x:c>
      <x:c r="L16" t="n">
        <x:v>100.00547</x:v>
      </x:c>
      <x:c r="M16" t="n">
        <x:v>0.24378</x:v>
      </x:c>
      <x:c r="N16" t="n">
        <x:v>99.99777</x:v>
      </x:c>
      <x:c r="O16" t="n">
        <x:v>0.23107</x:v>
      </x:c>
      <x:c r="P16" t="n">
        <x:v>99.99714</x:v>
      </x:c>
      <x:c r="Q16" t="n">
        <x:v>1.34838</x:v>
      </x:c>
      <x:c r="R16" t="n">
        <x:v>99.99741</x:v>
      </x:c>
      <x:c r="S16" t="n">
        <x:v>-0.00259</x:v>
      </x:c>
      <x:c r="T16" t="n">
        <x:v>0.24378</x:v>
      </x:c>
      <x:c r="U16" t="n">
        <x:v>0.23107</x:v>
      </x:c>
      <x:c r="V16" t="n">
        <x:v>1.34838</x:v>
      </x:c>
      <x:c r="W16" t="n">
        <x:v>1.38959</x:v>
      </x:c>
      <x:c r="X16" t="n">
        <x:v>36.93</x:v>
      </x:c>
      <x:c r="Y16" t="str">
        <x:v>Z</x:v>
      </x:c>
      <x:c r="Z16" t="n">
        <x:v>0.26412</x:v>
      </x:c>
      <x:c r="AA16" t="n">
        <x:v>20.92</x:v>
      </x:c>
      <x:c r="AB16" t="n">
        <x:v>0.276</x:v>
      </x:c>
      <x:c r="AC16" t="n">
        <x:v>1.18</x:v>
      </x:c>
      <x:c r="AD16" t="n">
        <x:v>0.25191</x:v>
      </x:c>
      <x:c r="AE16" t="n">
        <x:v>-108.66</x:v>
      </x:c>
      <x:c r="AF16" t="n">
        <x:v>0.236</x:v>
      </x:c>
      <x:c r="AG16" t="n">
        <x:v>4.9</x:v>
      </x:c>
      <x:c r="AH16" t="n">
        <x:v>1.3763</x:v>
      </x:c>
      <x:c r="AI16" t="n">
        <x:v>70.9</x:v>
      </x:c>
      <x:c r="AJ16" t="n">
        <x:v>0.919</x:v>
      </x:c>
      <x:c r="AK16" t="n">
        <x:v>1.12</x:v>
      </x:c>
      <x:c r="AL16" t="n">
        <x:v>1.42394</x:v>
      </x:c>
      <x:c r="AM16" t="n">
        <x:v>0.92</x:v>
      </x:c>
      <x:c r="AN16" t="n">
        <x:v>0.1855</x:v>
      </x:c>
      <x:c r="AO16" t="n">
        <x:v>0.1769</x:v>
      </x:c>
      <x:c r="AP16" t="n">
        <x:v>0.9665</x:v>
      </x:c>
      <x:c r="AQ16" t="n">
        <x:v>1</x:v>
      </x:c>
      <x:c r="AR16" t="n">
        <x:v>0.18303422218992954</x:v>
      </x:c>
      <x:c r="AS16" t="n">
        <x:v>0.03440481264721935</x:v>
      </x:c>
      <x:c r="AT16" t="n">
        <x:v>0.03129734057257144</x:v>
      </x:c>
      <x:c r="AU16" t="n">
        <x:v>0.9342064033833458</x:v>
      </x:c>
      <x:c r="AV16" t="str">
        <x:v>YES</x:v>
      </x:c>
    </x:row>
    <x:row r="17">
      <x:c r="A17" t="n">
        <x:v>125</x:v>
      </x:c>
      <x:c r="B17" t="n">
        <x:v>1</x:v>
      </x:c>
      <x:c r="C17" t="n">
        <x:v>20.32743</x:v>
      </x:c>
      <x:c r="D17" t="n">
        <x:v>0.05383</x:v>
      </x:c>
      <x:c r="E17" t="n">
        <x:v>15.66</x:v>
      </x:c>
      <x:c r="F17" t="n">
        <x:v>490.37</x:v>
      </x:c>
      <x:c r="G17" t="n">
        <x:v>0.03457</x:v>
      </x:c>
      <x:c r="H17" t="n">
        <x:v>12.42</x:v>
      </x:c>
      <x:c r="I17" t="n">
        <x:v>499.95939</x:v>
      </x:c>
      <x:c r="J17" t="n">
        <x:v>0.04493</x:v>
      </x:c>
      <x:c r="K17" t="n">
        <x:v>10.03</x:v>
      </x:c>
      <x:c r="L17" t="n">
        <x:v>126.75588</x:v>
      </x:c>
      <x:c r="M17" t="n">
        <x:v>0.0125</x:v>
      </x:c>
      <x:c r="N17" t="n">
        <x:v>132.97795</x:v>
      </x:c>
      <x:c r="O17" t="n">
        <x:v>0.00957</x:v>
      </x:c>
      <x:c r="P17" t="n">
        <x:v>129.30397</x:v>
      </x:c>
      <x:c r="Q17" t="n">
        <x:v>0.01855</x:v>
      </x:c>
      <x:c r="R17" t="n">
        <x:v>127.853</x:v>
      </x:c>
      <x:c r="S17" t="n">
        <x:v>2.853</x:v>
      </x:c>
      <x:c r="T17" t="n">
        <x:v>0.01158</x:v>
      </x:c>
      <x:c r="U17" t="n">
        <x:v>0.00864</x:v>
      </x:c>
      <x:c r="V17" t="n">
        <x:v>0.01615</x:v>
      </x:c>
      <x:c r="W17" t="n">
        <x:v>0.02167</x:v>
      </x:c>
      <x:c r="X17" t="n">
        <x:v>2.07</x:v>
      </x:c>
      <x:c r="Y17" t="str">
        <x:v>Z</x:v>
      </x:c>
      <x:c r="Z17" t="n">
        <x:v>0.01888</x:v>
      </x:c>
      <x:c r="AA17" t="n">
        <x:v>108.43</x:v>
      </x:c>
      <x:c r="AB17" t="n">
        <x:v>0.039</x:v>
      </x:c>
      <x:c r="AC17" t="n">
        <x:v>79.59</x:v>
      </x:c>
      <x:c r="AD17" t="n">
        <x:v>0.02036</x:v>
      </x:c>
      <x:c r="AE17" t="n">
        <x:v>165.6</x:v>
      </x:c>
      <x:c r="AF17" t="n">
        <x:v>0.063</x:v>
      </x:c>
      <x:c r="AG17" t="n">
        <x:v>53.36</x:v>
      </x:c>
      <x:c r="AH17" t="n">
        <x:v>0.02098</x:v>
      </x:c>
      <x:c r="AI17" t="n">
        <x:v>23.43</x:v>
      </x:c>
      <x:c r="AJ17" t="n">
        <x:v>0.041</x:v>
      </x:c>
      <x:c r="AK17" t="n">
        <x:v>70.89</x:v>
      </x:c>
      <x:c r="AL17" t="n">
        <x:v>0.03584</x:v>
      </x:c>
      <x:c r="AM17" t="n">
        <x:v>60.74</x:v>
      </x:c>
      <x:c r="AN17" t="n">
        <x:v>0.5269</x:v>
      </x:c>
      <x:c r="AO17" t="n">
        <x:v>0.5682</x:v>
      </x:c>
      <x:c r="AP17" t="n">
        <x:v>0.5855</x:v>
      </x:c>
      <x:c r="AQ17" t="n">
        <x:v>0</x:v>
      </x:c>
      <x:c r="AR17" t="n">
        <x:v>0.9704480457578647</x:v>
      </x:c>
      <x:c r="AS17" t="n">
        <x:v>0.2775031887755103</x:v>
      </x:c>
      <x:c r="AT17" t="n">
        <x:v>0.3227152921715562</x:v>
      </x:c>
      <x:c r="AU17" t="n">
        <x:v>0.3426691172074299</x:v>
      </x:c>
      <x:c r="AV17" t="str">
        <x:v>NO</x:v>
      </x:c>
    </x:row>
    <x:row r="18">
      <x:c r="A18" t="n">
        <x:v>125</x:v>
      </x:c>
      <x:c r="B18" t="n">
        <x:v>3</x:v>
      </x:c>
      <x:c r="C18" t="n">
        <x:v>45.02251</x:v>
      </x:c>
      <x:c r="D18" t="n">
        <x:v>0.03728</x:v>
      </x:c>
      <x:c r="E18" t="n">
        <x:v>12.12</x:v>
      </x:c>
      <x:c r="F18" t="n">
        <x:v>35.19927</x:v>
      </x:c>
      <x:c r="G18" t="n">
        <x:v>0.07111</x:v>
      </x:c>
      <x:c r="H18" t="n">
        <x:v>17.1</x:v>
      </x:c>
      <x:c r="I18" t="n">
        <x:v>500.11564</x:v>
      </x:c>
      <x:c r="J18" t="n">
        <x:v>0.04883</x:v>
      </x:c>
      <x:c r="K18" t="n">
        <x:v>11</x:v>
      </x:c>
      <x:c r="L18" t="n">
        <x:v>130.33434</x:v>
      </x:c>
      <x:c r="M18" t="n">
        <x:v>0.01237</x:v>
      </x:c>
      <x:c r="N18" t="n">
        <x:v>129.82349</x:v>
      </x:c>
      <x:c r="O18" t="n">
        <x:v>0.01189</x:v>
      </x:c>
      <x:c r="P18" t="n">
        <x:v>122.26878</x:v>
      </x:c>
      <x:c r="Q18" t="n">
        <x:v>0.02342</x:v>
      </x:c>
      <x:c r="R18" t="n">
        <x:v>122.15411</x:v>
      </x:c>
      <x:c r="S18" t="n">
        <x:v>-2.84589</x:v>
      </x:c>
      <x:c r="T18" t="n">
        <x:v>0.00965</x:v>
      </x:c>
      <x:c r="U18" t="n">
        <x:v>0.00851</x:v>
      </x:c>
      <x:c r="V18" t="n">
        <x:v>0.02342</x:v>
      </x:c>
      <x:c r="W18" t="n">
        <x:v>0.02672</x:v>
      </x:c>
      <x:c r="X18" t="n">
        <x:v>2.4</x:v>
      </x:c>
      <x:c r="Y18" t="str">
        <x:v>Z</x:v>
      </x:c>
      <x:c r="Z18" t="n">
        <x:v>0.01207</x:v>
      </x:c>
      <x:c r="AA18" t="n">
        <x:v>-95.02</x:v>
      </x:c>
      <x:c r="AB18" t="n">
        <x:v>0.052</x:v>
      </x:c>
      <x:c r="AC18" t="n">
        <x:v>64.6</x:v>
      </x:c>
      <x:c r="AD18" t="n">
        <x:v>0.01375</x:v>
      </x:c>
      <x:c r="AE18" t="n">
        <x:v>61.11</x:v>
      </x:c>
      <x:c r="AF18" t="n">
        <x:v>0.056</x:v>
      </x:c>
      <x:c r="AG18" t="n">
        <x:v>77.46</x:v>
      </x:c>
      <x:c r="AH18" t="n">
        <x:v>0.02223</x:v>
      </x:c>
      <x:c r="AI18" t="n">
        <x:v>23.53</x:v>
      </x:c>
      <x:c r="AJ18" t="n">
        <x:v>0.064</x:v>
      </x:c>
      <x:c r="AK18" t="n">
        <x:v>63.83</x:v>
      </x:c>
      <x:c r="AL18" t="n">
        <x:v>0.03125</x:v>
      </x:c>
      <x:c r="AM18" t="n">
        <x:v>44.34</x:v>
      </x:c>
      <x:c r="AN18" t="n">
        <x:v>0.3864</x:v>
      </x:c>
      <x:c r="AO18" t="n">
        <x:v>0.4401</x:v>
      </x:c>
      <x:c r="AP18" t="n">
        <x:v>0.7116</x:v>
      </x:c>
      <x:c r="AQ18" t="n">
        <x:v>0</x:v>
      </x:c>
      <x:c r="AR18" t="n">
        <x:v>0.6185335132703554</x:v>
      </x:c>
      <x:c r="AS18" t="n">
        <x:v>0.14918133760000002</x:v>
      </x:c>
      <x:c r="AT18" t="n">
        <x:v>0.1936</x:v>
      </x:c>
      <x:c r="AU18" t="n">
        <x:v>0.5060330496</x:v>
      </x:c>
      <x:c r="AV18" t="str">
        <x:v>NO</x:v>
      </x:c>
    </x:row>
    <x:row r="19">
      <x:c r="A19" t="n">
        <x:v>125</x:v>
      </x:c>
      <x:c r="B19" t="n">
        <x:v>5</x:v>
      </x:c>
      <x:c r="C19" t="n">
        <x:v>285.23893</x:v>
      </x:c>
      <x:c r="D19" t="n">
        <x:v>0.14553</x:v>
      </x:c>
      <x:c r="E19" t="n">
        <x:v>23.23</x:v>
      </x:c>
      <x:c r="F19" t="n">
        <x:v>285.21856</x:v>
      </x:c>
      <x:c r="G19" t="n">
        <x:v>0.09573</x:v>
      </x:c>
      <x:c r="H19" t="n">
        <x:v>18.62</x:v>
      </x:c>
      <x:c r="I19" t="n">
        <x:v>374.94584</x:v>
      </x:c>
      <x:c r="J19" t="n">
        <x:v>0.10112</x:v>
      </x:c>
      <x:c r="K19" t="n">
        <x:v>16.78</x:v>
      </x:c>
      <x:c r="L19" t="n">
        <x:v>124.80336</x:v>
      </x:c>
      <x:c r="M19" t="n">
        <x:v>0.01831</x:v>
      </x:c>
      <x:c r="N19" t="n">
        <x:v>125.10696</x:v>
      </x:c>
      <x:c r="O19" t="n">
        <x:v>0.01759</x:v>
      </x:c>
      <x:c r="P19" t="n">
        <x:v>125.10404</x:v>
      </x:c>
      <x:c r="Q19" t="n">
        <x:v>0.06391</x:v>
      </x:c>
      <x:c r="R19" t="n">
        <x:v>125.08707</x:v>
      </x:c>
      <x:c r="S19" t="n">
        <x:v>0.08707</x:v>
      </x:c>
      <x:c r="T19" t="n">
        <x:v>0.01831</x:v>
      </x:c>
      <x:c r="U19" t="n">
        <x:v>0.01759</x:v>
      </x:c>
      <x:c r="V19" t="n">
        <x:v>0.06391</x:v>
      </x:c>
      <x:c r="W19" t="n">
        <x:v>0.06876</x:v>
      </x:c>
      <x:c r="X19" t="n">
        <x:v>10.42</x:v>
      </x:c>
      <x:c r="Y19" t="str">
        <x:v>Z</x:v>
      </x:c>
      <x:c r="Z19" t="n">
        <x:v>0.02107</x:v>
      </x:c>
      <x:c r="AA19" t="n">
        <x:v>-34.65</x:v>
      </x:c>
      <x:c r="AB19" t="n">
        <x:v>0.067</x:v>
      </x:c>
      <x:c r="AC19" t="n">
        <x:v>27.77</x:v>
      </x:c>
      <x:c r="AD19" t="n">
        <x:v>0.0102</x:v>
      </x:c>
      <x:c r="AE19" t="n">
        <x:v>157.39</x:v>
      </x:c>
      <x:c r="AF19" t="n">
        <x:v>0.043</x:v>
      </x:c>
      <x:c r="AG19" t="n">
        <x:v>97.34</x:v>
      </x:c>
      <x:c r="AH19" t="n">
        <x:v>0.03633</x:v>
      </x:c>
      <x:c r="AI19" t="n">
        <x:v>80.19</x:v>
      </x:c>
      <x:c r="AJ19" t="n">
        <x:v>0.102</x:v>
      </x:c>
      <x:c r="AK19" t="n">
        <x:v>11.45</x:v>
      </x:c>
      <x:c r="AL19" t="n">
        <x:v>0.04451</x:v>
      </x:c>
      <x:c r="AM19" t="n">
        <x:v>6.17</x:v>
      </x:c>
      <x:c r="AN19" t="n">
        <x:v>0.4733</x:v>
      </x:c>
      <x:c r="AO19" t="n">
        <x:v>0.2291</x:v>
      </x:c>
      <x:c r="AP19" t="n">
        <x:v>0.816</x:v>
      </x:c>
      <x:c r="AQ19" t="n">
        <x:v>1</x:v>
      </x:c>
      <x:c r="AR19" t="n">
        <x:v>0.28075970272502065</x:v>
      </x:c>
      <x:c r="AS19" t="n">
        <x:v>0.22408556568008486</x:v>
      </x:c>
      <x:c r="AT19" t="n">
        <x:v>0.0525152158597971</x:v>
      </x:c>
      <x:c r="AU19" t="n">
        <x:v>0.6662168415045459</x:v>
      </x:c>
      <x:c r="AV19" t="str">
        <x:v>NO</x:v>
      </x:c>
    </x:row>
    <x:row r="20">
      <x:c r="A20" t="n">
        <x:v>125</x:v>
      </x:c>
      <x:c r="B20" t="n">
        <x:v>7</x:v>
      </x:c>
      <x:c r="C20" t="n">
        <x:v>285.43929</x:v>
      </x:c>
      <x:c r="D20" t="n">
        <x:v>0.13337</x:v>
      </x:c>
      <x:c r="E20" t="n">
        <x:v>21.26</x:v>
      </x:c>
      <x:c r="F20" t="n">
        <x:v>365.45618</x:v>
      </x:c>
      <x:c r="G20" t="n">
        <x:v>0.14615</x:v>
      </x:c>
      <x:c r="H20" t="n">
        <x:v>19.88</x:v>
      </x:c>
      <x:c r="I20" t="n">
        <x:v>124.89046</x:v>
      </x:c>
      <x:c r="J20" t="n">
        <x:v>0.16812</x:v>
      </x:c>
      <x:c r="K20" t="n">
        <x:v>20.79</x:v>
      </x:c>
      <x:c r="L20" t="n">
        <x:v>125.09394</x:v>
      </x:c>
      <x:c r="M20" t="n">
        <x:v>0.01827</x:v>
      </x:c>
      <x:c r="N20" t="n">
        <x:v>124.99549</x:v>
      </x:c>
      <x:c r="O20" t="n">
        <x:v>0.02923</x:v>
      </x:c>
      <x:c r="P20" t="n">
        <x:v>124.89046</x:v>
      </x:c>
      <x:c r="Q20" t="n">
        <x:v>0.16812</x:v>
      </x:c>
      <x:c r="R20" t="n">
        <x:v>124.89605</x:v>
      </x:c>
      <x:c r="S20" t="n">
        <x:v>-0.10395</x:v>
      </x:c>
      <x:c r="T20" t="n">
        <x:v>0.01827</x:v>
      </x:c>
      <x:c r="U20" t="n">
        <x:v>0.02923</x:v>
      </x:c>
      <x:c r="V20" t="n">
        <x:v>0.16812</x:v>
      </x:c>
      <x:c r="W20" t="n">
        <x:v>0.17162</x:v>
      </x:c>
      <x:c r="X20" t="n">
        <x:v>17.78</x:v>
      </x:c>
      <x:c r="Y20" t="str">
        <x:v>Z</x:v>
      </x:c>
      <x:c r="Z20" t="n">
        <x:v>0.02533</x:v>
      </x:c>
      <x:c r="AA20" t="n">
        <x:v>-19.39</x:v>
      </x:c>
      <x:c r="AB20" t="n">
        <x:v>0.074</x:v>
      </x:c>
      <x:c r="AC20" t="n">
        <x:v>45.41</x:v>
      </x:c>
      <x:c r="AD20" t="n">
        <x:v>0.03341</x:v>
      </x:c>
      <x:c r="AE20" t="n">
        <x:v>-115.64</x:v>
      </x:c>
      <x:c r="AF20" t="n">
        <x:v>0.075</x:v>
      </x:c>
      <x:c r="AG20" t="n">
        <x:v>48.64</x:v>
      </x:c>
      <x:c r="AH20" t="n">
        <x:v>0.16634</x:v>
      </x:c>
      <x:c r="AI20" t="n">
        <x:v>65.55</x:v>
      </x:c>
      <x:c r="AJ20" t="n">
        <x:v>0.413</x:v>
      </x:c>
      <x:c r="AK20" t="n">
        <x:v>21.65</x:v>
      </x:c>
      <x:c r="AL20" t="n">
        <x:v>0.17252</x:v>
      </x:c>
      <x:c r="AM20" t="n">
        <x:v>20.68</x:v>
      </x:c>
      <x:c r="AN20" t="n">
        <x:v>0.1468</x:v>
      </x:c>
      <x:c r="AO20" t="n">
        <x:v>0.1936</x:v>
      </x:c>
      <x:c r="AP20" t="n">
        <x:v>0.9642</x:v>
      </x:c>
      <x:c r="AQ20" t="n">
        <x:v>1</x:v>
      </x:c>
      <x:c r="AR20" t="n">
        <x:v>0.20085367319947098</x:v>
      </x:c>
      <x:c r="AS20" t="n">
        <x:v>0.021557156798831342</x:v>
      </x:c>
      <x:c r="AT20" t="n">
        <x:v>0.037503694501372406</x:v>
      </x:c>
      <x:c r="AU20" t="n">
        <x:v>0.9296393435555126</x:v>
      </x:c>
      <x:c r="AV20" t="str">
        <x:v>NO</x:v>
      </x:c>
    </x:row>
    <x:row r="21">
      <x:c r="A21" t="n">
        <x:v>125</x:v>
      </x:c>
      <x:c r="B21" t="n">
        <x:v>9</x:v>
      </x:c>
      <x:c r="C21" t="n">
        <x:v>285.28321</x:v>
      </x:c>
      <x:c r="D21" t="n">
        <x:v>0.27238</x:v>
      </x:c>
      <x:c r="E21" t="n">
        <x:v>24.69</x:v>
      </x:c>
      <x:c r="F21" t="n">
        <x:v>615.43095</x:v>
      </x:c>
      <x:c r="G21" t="n">
        <x:v>0.27861</x:v>
      </x:c>
      <x:c r="H21" t="n">
        <x:v>22.1</x:v>
      </x:c>
      <x:c r="I21" t="n">
        <x:v>124.98742</x:v>
      </x:c>
      <x:c r="J21" t="n">
        <x:v>0.33199</x:v>
      </x:c>
      <x:c r="K21" t="n">
        <x:v>25.74</x:v>
      </x:c>
      <x:c r="L21" t="n">
        <x:v>125.1476</x:v>
      </x:c>
      <x:c r="M21" t="n">
        <x:v>0.03378</x:v>
      </x:c>
      <x:c r="N21" t="n">
        <x:v>125.01456</x:v>
      </x:c>
      <x:c r="O21" t="n">
        <x:v>0.07137</x:v>
      </x:c>
      <x:c r="P21" t="n">
        <x:v>124.98742</x:v>
      </x:c>
      <x:c r="Q21" t="n">
        <x:v>0.33199</x:v>
      </x:c>
      <x:c r="R21" t="n">
        <x:v>124.99005</x:v>
      </x:c>
      <x:c r="S21" t="n">
        <x:v>-0.00995</x:v>
      </x:c>
      <x:c r="T21" t="n">
        <x:v>0.03378</x:v>
      </x:c>
      <x:c r="U21" t="n">
        <x:v>0.07137</x:v>
      </x:c>
      <x:c r="V21" t="n">
        <x:v>0.33199</x:v>
      </x:c>
      <x:c r="W21" t="n">
        <x:v>0.34125</x:v>
      </x:c>
      <x:c r="X21" t="n">
        <x:v>23.32</x:v>
      </x:c>
      <x:c r="Y21" t="str">
        <x:v>Z</x:v>
      </x:c>
      <x:c r="Z21" t="n">
        <x:v>0.05688</x:v>
      </x:c>
      <x:c r="AA21" t="n">
        <x:v>-19.78</x:v>
      </x:c>
      <x:c r="AB21" t="n">
        <x:v>0.101</x:v>
      </x:c>
      <x:c r="AC21" t="n">
        <x:v>13.34</x:v>
      </x:c>
      <x:c r="AD21" t="n">
        <x:v>0.08025</x:v>
      </x:c>
      <x:c r="AE21" t="n">
        <x:v>-107.42</x:v>
      </x:c>
      <x:c r="AF21" t="n">
        <x:v>0.115</x:v>
      </x:c>
      <x:c r="AG21" t="n">
        <x:v>17.58</x:v>
      </x:c>
      <x:c r="AH21" t="n">
        <x:v>0.34723</x:v>
      </x:c>
      <x:c r="AI21" t="n">
        <x:v>63.25</x:v>
      </x:c>
      <x:c r="AJ21" t="n">
        <x:v>0.675</x:v>
      </x:c>
      <x:c r="AK21" t="n">
        <x:v>5.84</x:v>
      </x:c>
      <x:c r="AL21" t="n">
        <x:v>0.36124</x:v>
      </x:c>
      <x:c r="AM21" t="n">
        <x:v>5.24</x:v>
      </x:c>
      <x:c r="AN21" t="n">
        <x:v>0.1575</x:v>
      </x:c>
      <x:c r="AO21" t="n">
        <x:v>0.2222</x:v>
      </x:c>
      <x:c r="AP21" t="n">
        <x:v>0.9612</x:v>
      </x:c>
      <x:c r="AQ21" t="n">
        <x:v>1</x:v>
      </x:c>
      <x:c r="AR21" t="n">
        <x:v>0.23111482302796418</x:v>
      </x:c>
      <x:c r="AS21" t="n">
        <x:v>0.024792910248084204</x:v>
      </x:c>
      <x:c r="AT21" t="n">
        <x:v>0.04935127928493351</x:v>
      </x:c>
      <x:c r="AU21" t="n">
        <x:v>0.9239379663321114</x:v>
      </x:c>
      <x:c r="AV21" t="str">
        <x:v>NO</x:v>
      </x:c>
    </x:row>
    <x:row r="22">
      <x:c r="A22" t="n">
        <x:v>125</x:v>
      </x:c>
      <x:c r="B22" t="n">
        <x:v>11</x:v>
      </x:c>
      <x:c r="C22" t="n">
        <x:v>535.05803</x:v>
      </x:c>
      <x:c r="D22" t="n">
        <x:v>0.22517</x:v>
      </x:c>
      <x:c r="E22" t="n">
        <x:v>21.95</x:v>
      </x:c>
      <x:c r="F22" t="n">
        <x:v>615.24907</x:v>
      </x:c>
      <x:c r="G22" t="n">
        <x:v>0.20375</x:v>
      </x:c>
      <x:c r="H22" t="n">
        <x:v>18.62</x:v>
      </x:c>
      <x:c r="I22" t="n">
        <x:v>125.01795</x:v>
      </x:c>
      <x:c r="J22" t="n">
        <x:v>0.49138</x:v>
      </x:c>
      <x:c r="K22" t="n">
        <x:v>28.35</x:v>
      </x:c>
      <x:c r="L22" t="n">
        <x:v>125.05393</x:v>
      </x:c>
      <x:c r="M22" t="n">
        <x:v>0.07593</x:v>
      </x:c>
      <x:c r="N22" t="n">
        <x:v>124.98781</x:v>
      </x:c>
      <x:c r="O22" t="n">
        <x:v>0.09736</x:v>
      </x:c>
      <x:c r="P22" t="n">
        <x:v>125.01795</x:v>
      </x:c>
      <x:c r="Q22" t="n">
        <x:v>0.49138</x:v>
      </x:c>
      <x:c r="R22" t="n">
        <x:v>125.01765</x:v>
      </x:c>
      <x:c r="S22" t="n">
        <x:v>0.01765</x:v>
      </x:c>
      <x:c r="T22" t="n">
        <x:v>0.07593</x:v>
      </x:c>
      <x:c r="U22" t="n">
        <x:v>0.09736</x:v>
      </x:c>
      <x:c r="V22" t="n">
        <x:v>0.49138</x:v>
      </x:c>
      <x:c r="W22" t="n">
        <x:v>0.50666</x:v>
      </x:c>
      <x:c r="X22" t="n">
        <x:v>27.4</x:v>
      </x:c>
      <x:c r="Y22" t="str">
        <x:v>Z</x:v>
      </x:c>
      <x:c r="Z22" t="n">
        <x:v>0.08009</x:v>
      </x:c>
      <x:c r="AA22" t="n">
        <x:v>-25.65</x:v>
      </x:c>
      <x:c r="AB22" t="n">
        <x:v>0.138</x:v>
      </x:c>
      <x:c r="AC22" t="n">
        <x:v>6.46</x:v>
      </x:c>
      <x:c r="AD22" t="n">
        <x:v>0.09753</x:v>
      </x:c>
      <x:c r="AE22" t="n">
        <x:v>-108.28</x:v>
      </x:c>
      <x:c r="AF22" t="n">
        <x:v>0.138</x:v>
      </x:c>
      <x:c r="AG22" t="n">
        <x:v>5.93</x:v>
      </x:c>
      <x:c r="AH22" t="n">
        <x:v>0.50023</x:v>
      </x:c>
      <x:c r="AI22" t="n">
        <x:v>63.45</x:v>
      </x:c>
      <x:c r="AJ22" t="n">
        <x:v>0.763</x:v>
      </x:c>
      <x:c r="AK22" t="n">
        <x:v>2.82</x:v>
      </x:c>
      <x:c r="AL22" t="n">
        <x:v>0.51596</x:v>
      </x:c>
      <x:c r="AM22" t="n">
        <x:v>2.63</x:v>
      </x:c>
      <x:c r="AN22" t="n">
        <x:v>0.1552</x:v>
      </x:c>
      <x:c r="AO22" t="n">
        <x:v>0.189</x:v>
      </x:c>
      <x:c r="AP22" t="n">
        <x:v>0.9695</x:v>
      </x:c>
      <x:c r="AQ22" t="n">
        <x:v>1</x:v>
      </x:c>
      <x:c r="AR22" t="n">
        <x:v>0.1949703136557184</x:v>
      </x:c>
      <x:c r="AS22" t="n">
        <x:v>0.024094866209682972</x:v>
      </x:c>
      <x:c r="AT22" t="n">
        <x:v>0.035730934949166245</x:v>
      </x:c>
      <x:c r="AU22" t="n">
        <x:v>0.9399557297059712</x:v>
      </x:c>
      <x:c r="AV22" t="str">
        <x:v>NO</x:v>
      </x:c>
    </x:row>
    <x:row r="23">
      <x:c r="A23" t="n">
        <x:v>125</x:v>
      </x:c>
      <x:c r="B23" t="n">
        <x:v>13</x:v>
      </x:c>
      <x:c r="C23" t="n">
        <x:v>535.97637</x:v>
      </x:c>
      <x:c r="D23" t="n">
        <x:v>0.2678</x:v>
      </x:c>
      <x:c r="E23" t="n">
        <x:v>23.23</x:v>
      </x:c>
      <x:c r="F23" t="n">
        <x:v>535.96678</x:v>
      </x:c>
      <x:c r="G23" t="n">
        <x:v>0.17942</x:v>
      </x:c>
      <x:c r="H23" t="n">
        <x:v>17.75</x:v>
      </x:c>
      <x:c r="I23" t="n">
        <x:v>124.9762</x:v>
      </x:c>
      <x:c r="J23" t="n">
        <x:v>0.69975</x:v>
      </x:c>
      <x:c r="K23" t="n">
        <x:v>31.14</x:v>
      </x:c>
      <x:c r="L23" t="n">
        <x:v>125.03546</x:v>
      </x:c>
      <x:c r="M23" t="n">
        <x:v>0.10405</x:v>
      </x:c>
      <x:c r="N23" t="n">
        <x:v>116.5403</x:v>
      </x:c>
      <x:c r="O23" t="n">
        <x:v>0.15011</x:v>
      </x:c>
      <x:c r="P23" t="n">
        <x:v>124.9762</x:v>
      </x:c>
      <x:c r="Q23" t="n">
        <x:v>0.69975</x:v>
      </x:c>
      <x:c r="R23" t="n">
        <x:v>124.978</x:v>
      </x:c>
      <x:c r="S23" t="n">
        <x:v>-0.022</x:v>
      </x:c>
      <x:c r="T23" t="n">
        <x:v>0.10405</x:v>
      </x:c>
      <x:c r="U23" t="n">
        <x:v>0.14282</x:v>
      </x:c>
      <x:c r="V23" t="n">
        <x:v>0.69975</x:v>
      </x:c>
      <x:c r="W23" t="n">
        <x:v>0.72171</x:v>
      </x:c>
      <x:c r="X23" t="n">
        <x:v>19.6</x:v>
      </x:c>
      <x:c r="Y23" t="str">
        <x:v>Z</x:v>
      </x:c>
      <x:c r="Z23" t="n">
        <x:v>0.09417</x:v>
      </x:c>
      <x:c r="AA23" t="n">
        <x:v>-22.3</x:v>
      </x:c>
      <x:c r="AB23" t="n">
        <x:v>0.154</x:v>
      </x:c>
      <x:c r="AC23" t="n">
        <x:v>8.89</x:v>
      </x:c>
      <x:c r="AD23" t="n">
        <x:v>0.15382</x:v>
      </x:c>
      <x:c r="AE23" t="n">
        <x:v>-107.16</x:v>
      </x:c>
      <x:c r="AF23" t="n">
        <x:v>0.224</x:v>
      </x:c>
      <x:c r="AG23" t="n">
        <x:v>6.16</x:v>
      </x:c>
      <x:c r="AH23" t="n">
        <x:v>0.72882</x:v>
      </x:c>
      <x:c r="AI23" t="n">
        <x:v>63.82</x:v>
      </x:c>
      <x:c r="AJ23" t="n">
        <x:v>0.852</x:v>
      </x:c>
      <x:c r="AK23" t="n">
        <x:v>2.08</x:v>
      </x:c>
      <x:c r="AL23" t="n">
        <x:v>0.75088</x:v>
      </x:c>
      <x:c r="AM23" t="n">
        <x:v>2.09</x:v>
      </x:c>
      <x:c r="AN23" t="n">
        <x:v>0.1254</x:v>
      </x:c>
      <x:c r="AO23" t="n">
        <x:v>0.2049</x:v>
      </x:c>
      <x:c r="AP23" t="n">
        <x:v>0.9706</x:v>
      </x:c>
      <x:c r="AQ23" t="n">
        <x:v>1</x:v>
      </x:c>
      <x:c r="AR23" t="n">
        <x:v>0.21105348371339974</x:v>
      </x:c>
      <x:c r="AS23" t="n">
        <x:v>0.015728382675216302</x:v>
      </x:c>
      <x:c r="AT23" t="n">
        <x:v>0.041964740347105595</x:v>
      </x:c>
      <x:c r="AU23" t="n">
        <x:v>0.9421053932701632</x:v>
      </x:c>
      <x:c r="AV23" t="str">
        <x:v>YES</x:v>
      </x:c>
    </x:row>
    <x:row r="24">
      <x:c r="A24" t="n">
        <x:v>125</x:v>
      </x:c>
      <x:c r="B24" t="n">
        <x:v>15</x:v>
      </x:c>
      <x:c r="C24" t="n">
        <x:v>286.0252</x:v>
      </x:c>
      <x:c r="D24" t="n">
        <x:v>0.43023</x:v>
      </x:c>
      <x:c r="E24" t="n">
        <x:v>25.99</x:v>
      </x:c>
      <x:c r="F24" t="n">
        <x:v>366.63264</x:v>
      </x:c>
      <x:c r="G24" t="n">
        <x:v>0.27221</x:v>
      </x:c>
      <x:c r="H24" t="n">
        <x:v>20.07</x:v>
      </x:c>
      <x:c r="I24" t="n">
        <x:v>124.99826</x:v>
      </x:c>
      <x:c r="J24" t="n">
        <x:v>0.88888</x:v>
      </x:c>
      <x:c r="K24" t="n">
        <x:v>33.53</x:v>
      </x:c>
      <x:c r="L24" t="n">
        <x:v>124.99163</x:v>
      </x:c>
      <x:c r="M24" t="n">
        <x:v>0.13175</x:v>
      </x:c>
      <x:c r="N24" t="n">
        <x:v>125.01699</x:v>
      </x:c>
      <x:c r="O24" t="n">
        <x:v>0.19324</x:v>
      </x:c>
      <x:c r="P24" t="n">
        <x:v>124.99826</x:v>
      </x:c>
      <x:c r="Q24" t="n">
        <x:v>0.88888</x:v>
      </x:c>
      <x:c r="R24" t="n">
        <x:v>124.99896</x:v>
      </x:c>
      <x:c r="S24" t="n">
        <x:v>-0.00104</x:v>
      </x:c>
      <x:c r="T24" t="n">
        <x:v>0.13175</x:v>
      </x:c>
      <x:c r="U24" t="n">
        <x:v>0.19324</x:v>
      </x:c>
      <x:c r="V24" t="n">
        <x:v>0.88888</x:v>
      </x:c>
      <x:c r="W24" t="n">
        <x:v>0.91913</x:v>
      </x:c>
      <x:c r="X24" t="n">
        <x:v>22.56</x:v>
      </x:c>
      <x:c r="Y24" t="str">
        <x:v>Z</x:v>
      </x:c>
      <x:c r="Z24" t="n">
        <x:v>0.13598</x:v>
      </x:c>
      <x:c r="AA24" t="n">
        <x:v>-27.97</x:v>
      </x:c>
      <x:c r="AB24" t="n">
        <x:v>0.181</x:v>
      </x:c>
      <x:c r="AC24" t="n">
        <x:v>4.82</x:v>
      </x:c>
      <x:c r="AD24" t="n">
        <x:v>0.18755</x:v>
      </x:c>
      <x:c r="AE24" t="n">
        <x:v>-110.25</x:v>
      </x:c>
      <x:c r="AF24" t="n">
        <x:v>0.229</x:v>
      </x:c>
      <x:c r="AG24" t="n">
        <x:v>5.68</x:v>
      </x:c>
      <x:c r="AH24" t="n">
        <x:v>0.88713</x:v>
      </x:c>
      <x:c r="AI24" t="n">
        <x:v>62.27</x:v>
      </x:c>
      <x:c r="AJ24" t="n">
        <x:v>0.89</x:v>
      </x:c>
      <x:c r="AK24" t="n">
        <x:v>1.7</x:v>
      </x:c>
      <x:c r="AL24" t="n">
        <x:v>0.91695</x:v>
      </x:c>
      <x:c r="AM24" t="n">
        <x:v>1.64</x:v>
      </x:c>
      <x:c r="AN24" t="n">
        <x:v>0.1483</x:v>
      </x:c>
      <x:c r="AO24" t="n">
        <x:v>0.2045</x:v>
      </x:c>
      <x:c r="AP24" t="n">
        <x:v>0.9675</x:v>
      </x:c>
      <x:c r="AQ24" t="n">
        <x:v>1</x:v>
      </x:c>
      <x:c r="AR24" t="n">
        <x:v>0.21141208165657796</x:v>
      </x:c>
      <x:c r="AS24" t="n">
        <x:v>0.021991698052575514</x:v>
      </x:c>
      <x:c r="AT24" t="n">
        <x:v>0.04183529418495012</x:v>
      </x:c>
      <x:c r="AU24" t="n">
        <x:v>0.9360158917731541</x:v>
      </x:c>
      <x:c r="AV24" t="str">
        <x:v>YES</x:v>
      </x:c>
    </x:row>
    <x:row r="25">
      <x:c r="A25" t="n">
        <x:v>125</x:v>
      </x:c>
      <x:c r="B25" t="n">
        <x:v>17</x:v>
      </x:c>
      <x:c r="C25" t="n">
        <x:v>535.82099</x:v>
      </x:c>
      <x:c r="D25" t="n">
        <x:v>0.35952</x:v>
      </x:c>
      <x:c r="E25" t="n">
        <x:v>24.55</x:v>
      </x:c>
      <x:c r="F25" t="n">
        <x:v>35.84888</x:v>
      </x:c>
      <x:c r="G25" t="n">
        <x:v>0.30092</x:v>
      </x:c>
      <x:c r="H25" t="n">
        <x:v>21.07</x:v>
      </x:c>
      <x:c r="I25" t="n">
        <x:v>125.00196</x:v>
      </x:c>
      <x:c r="J25" t="n">
        <x:v>1.03034</x:v>
      </x:c>
      <x:c r="K25" t="n">
        <x:v>34.51</x:v>
      </x:c>
      <x:c r="L25" t="n">
        <x:v>124.98432</x:v>
      </x:c>
      <x:c r="M25" t="n">
        <x:v>0.1383</x:v>
      </x:c>
      <x:c r="N25" t="n">
        <x:v>124.97226</x:v>
      </x:c>
      <x:c r="O25" t="n">
        <x:v>0.21189</x:v>
      </x:c>
      <x:c r="P25" t="n">
        <x:v>125.00196</x:v>
      </x:c>
      <x:c r="Q25" t="n">
        <x:v>1.03034</x:v>
      </x:c>
      <x:c r="R25" t="n">
        <x:v>125.00049</x:v>
      </x:c>
      <x:c r="S25" t="n">
        <x:v>0.00049</x:v>
      </x:c>
      <x:c r="T25" t="n">
        <x:v>0.1383</x:v>
      </x:c>
      <x:c r="U25" t="n">
        <x:v>0.21189</x:v>
      </x:c>
      <x:c r="V25" t="n">
        <x:v>1.03034</x:v>
      </x:c>
      <x:c r="W25" t="n">
        <x:v>1.06095</x:v>
      </x:c>
      <x:c r="X25" t="n">
        <x:v>27.35</x:v>
      </x:c>
      <x:c r="Y25" t="str">
        <x:v>Z</x:v>
      </x:c>
      <x:c r="Z25" t="n">
        <x:v>0.15541</x:v>
      </x:c>
      <x:c r="AA25" t="n">
        <x:v>-22.07</x:v>
      </x:c>
      <x:c r="AB25" t="n">
        <x:v>0.196</x:v>
      </x:c>
      <x:c r="AC25" t="n">
        <x:v>9.9</x:v>
      </x:c>
      <x:c r="AD25" t="n">
        <x:v>0.21531</x:v>
      </x:c>
      <x:c r="AE25" t="n">
        <x:v>-112.32</x:v>
      </x:c>
      <x:c r="AF25" t="n">
        <x:v>0.247</x:v>
      </x:c>
      <x:c r="AG25" t="n">
        <x:v>4.51</x:v>
      </x:c>
      <x:c r="AH25" t="n">
        <x:v>1.04453</x:v>
      </x:c>
      <x:c r="AI25" t="n">
        <x:v>61.78</x:v>
      </x:c>
      <x:c r="AJ25" t="n">
        <x:v>0.908</x:v>
      </x:c>
      <x:c r="AK25" t="n">
        <x:v>2.68</x:v>
      </x:c>
      <x:c r="AL25" t="n">
        <x:v>1.0779</x:v>
      </x:c>
      <x:c r="AM25" t="n">
        <x:v>2.46</x:v>
      </x:c>
      <x:c r="AN25" t="n">
        <x:v>0.1442</x:v>
      </x:c>
      <x:c r="AO25" t="n">
        <x:v>0.1998</x:v>
      </x:c>
      <x:c r="AP25" t="n">
        <x:v>0.969</x:v>
      </x:c>
      <x:c r="AQ25" t="n">
        <x:v>1</x:v>
      </x:c>
      <x:c r="AR25" t="n">
        <x:v>0.20613098714254258</x:v>
      </x:c>
      <x:c r="AS25" t="n">
        <x:v>0.020787438484535438</x:v>
      </x:c>
      <x:c r="AT25" t="n">
        <x:v>0.03989986792049884</x:v>
      </x:c>
      <x:c r="AU25" t="n">
        <x:v>0.9390417292608892</x:v>
      </x:c>
      <x:c r="AV25" t="str">
        <x:v>YES</x:v>
      </x:c>
    </x:row>
    <x:row r="26">
      <x:c r="A26" t="n">
        <x:v>125</x:v>
      </x:c>
      <x:c r="B26" t="n">
        <x:v>19</x:v>
      </x:c>
      <x:c r="C26" t="n">
        <x:v>534.55978</x:v>
      </x:c>
      <x:c r="D26" t="n">
        <x:v>0.24327</x:v>
      </x:c>
      <x:c r="E26" t="n">
        <x:v>21.29</x:v>
      </x:c>
      <x:c r="F26" t="n">
        <x:v>364.28947</x:v>
      </x:c>
      <x:c r="G26" t="n">
        <x:v>0.33029</x:v>
      </x:c>
      <x:c r="H26" t="n">
        <x:v>21.32</x:v>
      </x:c>
      <x:c r="I26" t="n">
        <x:v>125.00009</x:v>
      </x:c>
      <x:c r="J26" t="n">
        <x:v>1.22064</x:v>
      </x:c>
      <x:c r="K26" t="n">
        <x:v>35.55</x:v>
      </x:c>
      <x:c r="L26" t="n">
        <x:v>125.0112</x:v>
      </x:c>
      <x:c r="M26" t="n">
        <x:v>0.18199</x:v>
      </x:c>
      <x:c r="N26" t="n">
        <x:v>124.99296</x:v>
      </x:c>
      <x:c r="O26" t="n">
        <x:v>0.25328</x:v>
      </x:c>
      <x:c r="P26" t="n">
        <x:v>125.00009</x:v>
      </x:c>
      <x:c r="Q26" t="n">
        <x:v>1.22064</x:v>
      </x:c>
      <x:c r="R26" t="n">
        <x:v>125.00003</x:v>
      </x:c>
      <x:c r="S26" t="n">
        <x:v>0.00003</x:v>
      </x:c>
      <x:c r="T26" t="n">
        <x:v>0.18199</x:v>
      </x:c>
      <x:c r="U26" t="n">
        <x:v>0.25328</x:v>
      </x:c>
      <x:c r="V26" t="n">
        <x:v>1.22064</x:v>
      </x:c>
      <x:c r="W26" t="n">
        <x:v>1.25985</x:v>
      </x:c>
      <x:c r="X26" t="n">
        <x:v>32.43</x:v>
      </x:c>
      <x:c r="Y26" t="str">
        <x:v>Z</x:v>
      </x:c>
      <x:c r="Z26" t="n">
        <x:v>0.18272</x:v>
      </x:c>
      <x:c r="AA26" t="n">
        <x:v>-26.69</x:v>
      </x:c>
      <x:c r="AB26" t="n">
        <x:v>0.269</x:v>
      </x:c>
      <x:c r="AC26" t="n">
        <x:v>7.53</x:v>
      </x:c>
      <x:c r="AD26" t="n">
        <x:v>0.26074</x:v>
      </x:c>
      <x:c r="AE26" t="n">
        <x:v>-111.73</x:v>
      </x:c>
      <x:c r="AF26" t="n">
        <x:v>0.28</x:v>
      </x:c>
      <x:c r="AG26" t="n">
        <x:v>6.41</x:v>
      </x:c>
      <x:c r="AH26" t="n">
        <x:v>1.20984</x:v>
      </x:c>
      <x:c r="AI26" t="n">
        <x:v>62.47</x:v>
      </x:c>
      <x:c r="AJ26" t="n">
        <x:v>0.919</x:v>
      </x:c>
      <x:c r="AK26" t="n">
        <x:v>0.91</x:v>
      </x:c>
      <x:c r="AL26" t="n">
        <x:v>1.25116</x:v>
      </x:c>
      <x:c r="AM26" t="n">
        <x:v>1.11</x:v>
      </x:c>
      <x:c r="AN26" t="n">
        <x:v>0.146</x:v>
      </x:c>
      <x:c r="AO26" t="n">
        <x:v>0.2084</x:v>
      </x:c>
      <x:c r="AP26" t="n">
        <x:v>0.967</x:v>
      </x:c>
      <x:c r="AQ26" t="n">
        <x:v>1</x:v>
      </x:c>
      <x:c r="AR26" t="n">
        <x:v>0.2155161013026516</x:v>
      </x:c>
      <x:c r="AS26" t="n">
        <x:v>0.021327820174578488</x:v>
      </x:c>
      <x:c r="AT26" t="n">
        <x:v>0.04342997902173261</x:v>
      </x:c>
      <x:c r="AU26" t="n">
        <x:v>0.9350399689601492</x:v>
      </x:c>
      <x:c r="AV26" t="str">
        <x:v>YES</x:v>
      </x:c>
    </x:row>
    <x:row r="27">
      <x:c r="A27" t="n">
        <x:v>125</x:v>
      </x:c>
      <x:c r="B27" t="n">
        <x:v>21</x:v>
      </x:c>
      <x:c r="C27" t="n">
        <x:v>285.12473</x:v>
      </x:c>
      <x:c r="D27" t="n">
        <x:v>0.49846</x:v>
      </x:c>
      <x:c r="E27" t="n">
        <x:v>29.35</x:v>
      </x:c>
      <x:c r="F27" t="n">
        <x:v>285.13943</x:v>
      </x:c>
      <x:c r="G27" t="n">
        <x:v>0.28364</x:v>
      </x:c>
      <x:c r="H27" t="n">
        <x:v>23.63</x:v>
      </x:c>
      <x:c r="I27" t="n">
        <x:v>124.99974</x:v>
      </x:c>
      <x:c r="J27" t="n">
        <x:v>1.3484</x:v>
      </x:c>
      <x:c r="K27" t="n">
        <x:v>36.5</x:v>
      </x:c>
      <x:c r="L27" t="n">
        <x:v>124.97281</x:v>
      </x:c>
      <x:c r="M27" t="n">
        <x:v>0.20692</x:v>
      </x:c>
      <x:c r="N27" t="n">
        <x:v>124.99393</x:v>
      </x:c>
      <x:c r="O27" t="n">
        <x:v>0.28046</x:v>
      </x:c>
      <x:c r="P27" t="n">
        <x:v>124.99974</x:v>
      </x:c>
      <x:c r="Q27" t="n">
        <x:v>1.3484</x:v>
      </x:c>
      <x:c r="R27" t="n">
        <x:v>124.99891</x:v>
      </x:c>
      <x:c r="S27" t="n">
        <x:v>-0.00109</x:v>
      </x:c>
      <x:c r="T27" t="n">
        <x:v>0.20692</x:v>
      </x:c>
      <x:c r="U27" t="n">
        <x:v>0.28046</x:v>
      </x:c>
      <x:c r="V27" t="n">
        <x:v>1.3484</x:v>
      </x:c>
      <x:c r="W27" t="n">
        <x:v>1.39272</x:v>
      </x:c>
      <x:c r="X27" t="n">
        <x:v>31.62</x:v>
      </x:c>
      <x:c r="Y27" t="str">
        <x:v>Z</x:v>
      </x:c>
      <x:c r="Z27" t="n">
        <x:v>0.20376</x:v>
      </x:c>
      <x:c r="AA27" t="n">
        <x:v>-24.84</x:v>
      </x:c>
      <x:c r="AB27" t="n">
        <x:v>0.255</x:v>
      </x:c>
      <x:c r="AC27" t="n">
        <x:v>5.28</x:v>
      </x:c>
      <x:c r="AD27" t="n">
        <x:v>0.26857</x:v>
      </x:c>
      <x:c r="AE27" t="n">
        <x:v>-113.67</x:v>
      </x:c>
      <x:c r="AF27" t="n">
        <x:v>0.373</x:v>
      </x:c>
      <x:c r="AG27" t="n">
        <x:v>2.86</x:v>
      </x:c>
      <x:c r="AH27" t="n">
        <x:v>1.36835</x:v>
      </x:c>
      <x:c r="AI27" t="n">
        <x:v>62</x:v>
      </x:c>
      <x:c r="AJ27" t="n">
        <x:v>0.933</x:v>
      </x:c>
      <x:c r="AK27" t="n">
        <x:v>0.98</x:v>
      </x:c>
      <x:c r="AL27" t="n">
        <x:v>1.40933</x:v>
      </x:c>
      <x:c r="AM27" t="n">
        <x:v>0.86</x:v>
      </x:c>
      <x:c r="AN27" t="n">
        <x:v>0.1446</x:v>
      </x:c>
      <x:c r="AO27" t="n">
        <x:v>0.1906</x:v>
      </x:c>
      <x:c r="AP27" t="n">
        <x:v>0.9709</x:v>
      </x:c>
      <x:c r="AQ27" t="n">
        <x:v>1</x:v>
      </x:c>
      <x:c r="AR27" t="n">
        <x:v>0.19627288339971496</x:v>
      </x:c>
      <x:c r="AS27" t="n">
        <x:v>0.020903185299967746</x:v>
      </x:c>
      <x:c r="AT27" t="n">
        <x:v>0.03631529737987653</x:v>
      </x:c>
      <x:c r="AU27" t="n">
        <x:v>0.9426902158947102</x:v>
      </x:c>
      <x:c r="AV27" t="str">
        <x:v>YES</x:v>
      </x:c>
    </x:row>
    <x:row r="28">
      <x:c r="A28" t="n">
        <x:v>125</x:v>
      </x:c>
      <x:c r="B28" t="n">
        <x:v>23</x:v>
      </x:c>
      <x:c r="C28" t="n">
        <x:v>534.9084</x:v>
      </x:c>
      <x:c r="D28" t="n">
        <x:v>0.29796</x:v>
      </x:c>
      <x:c r="E28" t="n">
        <x:v>24.6</x:v>
      </x:c>
      <x:c r="F28" t="n">
        <x:v>125.00965</x:v>
      </x:c>
      <x:c r="G28" t="n">
        <x:v>0.32235</x:v>
      </x:c>
      <x:c r="H28" t="n">
        <x:v>23.72</x:v>
      </x:c>
      <x:c r="I28" t="n">
        <x:v>125.00284</x:v>
      </x:c>
      <x:c r="J28" t="n">
        <x:v>1.54943</x:v>
      </x:c>
      <x:c r="K28" t="n">
        <x:v>37.64</x:v>
      </x:c>
      <x:c r="L28" t="n">
        <x:v>125.00837</x:v>
      </x:c>
      <x:c r="M28" t="n">
        <x:v>0.24404</x:v>
      </x:c>
      <x:c r="N28" t="n">
        <x:v>125.00965</x:v>
      </x:c>
      <x:c r="O28" t="n">
        <x:v>0.32235</x:v>
      </x:c>
      <x:c r="P28" t="n">
        <x:v>125.00284</x:v>
      </x:c>
      <x:c r="Q28" t="n">
        <x:v>1.54943</x:v>
      </x:c>
      <x:c r="R28" t="n">
        <x:v>125.00325</x:v>
      </x:c>
      <x:c r="S28" t="n">
        <x:v>0.00325</x:v>
      </x:c>
      <x:c r="T28" t="n">
        <x:v>0.24404</x:v>
      </x:c>
      <x:c r="U28" t="n">
        <x:v>0.32235</x:v>
      </x:c>
      <x:c r="V28" t="n">
        <x:v>1.54943</x:v>
      </x:c>
      <x:c r="W28" t="n">
        <x:v>1.60131</x:v>
      </x:c>
      <x:c r="X28" t="n">
        <x:v>35.93</x:v>
      </x:c>
      <x:c r="Y28" t="str">
        <x:v>Z</x:v>
      </x:c>
      <x:c r="Z28" t="n">
        <x:v>0.24254</x:v>
      </x:c>
      <x:c r="AA28" t="n">
        <x:v>-28.67</x:v>
      </x:c>
      <x:c r="AB28" t="n">
        <x:v>0.364</x:v>
      </x:c>
      <x:c r="AC28" t="n">
        <x:v>5.18</x:v>
      </x:c>
      <x:c r="AD28" t="n">
        <x:v>0.32367</x:v>
      </x:c>
      <x:c r="AE28" t="n">
        <x:v>-112.77</x:v>
      </x:c>
      <x:c r="AF28" t="n">
        <x:v>0.427</x:v>
      </x:c>
      <x:c r="AG28" t="n">
        <x:v>4.1</x:v>
      </x:c>
      <x:c r="AH28" t="n">
        <x:v>1.55531</x:v>
      </x:c>
      <x:c r="AI28" t="n">
        <x:v>61.2</x:v>
      </x:c>
      <x:c r="AJ28" t="n">
        <x:v>0.942</x:v>
      </x:c>
      <x:c r="AK28" t="n">
        <x:v>0.62</x:v>
      </x:c>
      <x:c r="AL28" t="n">
        <x:v>1.60713</x:v>
      </x:c>
      <x:c r="AM28" t="n">
        <x:v>0.57</x:v>
      </x:c>
      <x:c r="AN28" t="n">
        <x:v>0.1509</x:v>
      </x:c>
      <x:c r="AO28" t="n">
        <x:v>0.2014</x:v>
      </x:c>
      <x:c r="AP28" t="n">
        <x:v>0.9678</x:v>
      </x:c>
      <x:c r="AQ28" t="n">
        <x:v>1</x:v>
      </x:c>
      <x:c r="AR28" t="n">
        <x:v>0.2081064225138397</x:v>
      </x:c>
      <x:c r="AS28" t="n">
        <x:v>0.022775332727026507</x:v>
      </x:c>
      <x:c r="AT28" t="n">
        <x:v>0.040560460726553546</x:v>
      </x:c>
      <x:c r="AU28" t="n">
        <x:v>0.9365520364972868</x:v>
      </x:c>
      <x:c r="AV28" t="str">
        <x:v>YES</x:v>
      </x:c>
    </x:row>
    <x:row r="29">
      <x:c r="A29" t="n">
        <x:v>125</x:v>
      </x:c>
      <x:c r="B29" t="n">
        <x:v>25</x:v>
      </x:c>
      <x:c r="C29" t="n">
        <x:v>125.00457</x:v>
      </x:c>
      <x:c r="D29" t="n">
        <x:v>0.26114</x:v>
      </x:c>
      <x:c r="E29" t="n">
        <x:v>24.78</x:v>
      </x:c>
      <x:c r="F29" t="n">
        <x:v>365.18268</x:v>
      </x:c>
      <x:c r="G29" t="n">
        <x:v>0.3627</x:v>
      </x:c>
      <x:c r="H29" t="n">
        <x:v>24.94</x:v>
      </x:c>
      <x:c r="I29" t="n">
        <x:v>125.00465</x:v>
      </x:c>
      <x:c r="J29" t="n">
        <x:v>1.71712</x:v>
      </x:c>
      <x:c r="K29" t="n">
        <x:v>38.82</x:v>
      </x:c>
      <x:c r="L29" t="n">
        <x:v>125.00457</x:v>
      </x:c>
      <x:c r="M29" t="n">
        <x:v>0.26114</x:v>
      </x:c>
      <x:c r="N29" t="n">
        <x:v>124.98399</x:v>
      </x:c>
      <x:c r="O29" t="n">
        <x:v>0.35319</x:v>
      </x:c>
      <x:c r="P29" t="n">
        <x:v>125.00465</x:v>
      </x:c>
      <x:c r="Q29" t="n">
        <x:v>1.71712</x:v>
      </x:c>
      <x:c r="R29" t="n">
        <x:v>125.00383</x:v>
      </x:c>
      <x:c r="S29" t="n">
        <x:v>0.00383</x:v>
      </x:c>
      <x:c r="T29" t="n">
        <x:v>0.26114</x:v>
      </x:c>
      <x:c r="U29" t="n">
        <x:v>0.35319</x:v>
      </x:c>
      <x:c r="V29" t="n">
        <x:v>1.71712</x:v>
      </x:c>
      <x:c r="W29" t="n">
        <x:v>1.77241</x:v>
      </x:c>
      <x:c r="X29" t="n">
        <x:v>36.96</x:v>
      </x:c>
      <x:c r="Y29" t="str">
        <x:v>Z</x:v>
      </x:c>
      <x:c r="Z29" t="n">
        <x:v>0.26191</x:v>
      </x:c>
      <x:c r="AA29" t="n">
        <x:v>-26.85</x:v>
      </x:c>
      <x:c r="AB29" t="n">
        <x:v>0.518</x:v>
      </x:c>
      <x:c r="AC29" t="n">
        <x:v>3.37</x:v>
      </x:c>
      <x:c r="AD29" t="n">
        <x:v>0.35854</x:v>
      </x:c>
      <x:c r="AE29" t="n">
        <x:v>-113.53</x:v>
      </x:c>
      <x:c r="AF29" t="n">
        <x:v>0.453</x:v>
      </x:c>
      <x:c r="AG29" t="n">
        <x:v>1.64</x:v>
      </x:c>
      <x:c r="AH29" t="n">
        <x:v>1.70762</x:v>
      </x:c>
      <x:c r="AI29" t="n">
        <x:v>61.22</x:v>
      </x:c>
      <x:c r="AJ29" t="n">
        <x:v>0.967</x:v>
      </x:c>
      <x:c r="AK29" t="n">
        <x:v>1.39</x:v>
      </x:c>
      <x:c r="AL29" t="n">
        <x:v>1.76444</x:v>
      </x:c>
      <x:c r="AM29" t="n">
        <x:v>1.24</x:v>
      </x:c>
      <x:c r="AN29" t="n">
        <x:v>0.1484</x:v>
      </x:c>
      <x:c r="AO29" t="n">
        <x:v>0.2032</x:v>
      </x:c>
      <x:c r="AP29" t="n">
        <x:v>0.9678</x:v>
      </x:c>
      <x:c r="AQ29" t="n">
        <x:v>1</x:v>
      </x:c>
      <x:c r="AR29" t="n">
        <x:v>0.20996474625502162</x:v>
      </x:c>
      <x:c r="AS29" t="n">
        <x:v>0.022033849145142007</x:v>
      </x:c>
      <x:c r="AT29" t="n">
        <x:v>0.041291574070760693</x:v>
      </x:c>
      <x:c r="AU29" t="n">
        <x:v>0.9366313198775535</x:v>
      </x:c>
      <x:c r="AV29" t="str">
        <x:v>YES</x:v>
      </x:c>
    </x:row>
    <x:row r="30">
      <x:c r="A30" t="n">
        <x:v>125</x:v>
      </x:c>
      <x:c r="B30" t="n">
        <x:v>27</x:v>
      </x:c>
      <x:c r="C30" t="n">
        <x:v>284.59456</x:v>
      </x:c>
      <x:c r="D30" t="n">
        <x:v>0.38023</x:v>
      </x:c>
      <x:c r="E30" t="n">
        <x:v>26.19</x:v>
      </x:c>
      <x:c r="F30" t="n">
        <x:v>124.99807</x:v>
      </x:c>
      <x:c r="G30" t="n">
        <x:v>0.39221</x:v>
      </x:c>
      <x:c r="H30" t="n">
        <x:v>24.84</x:v>
      </x:c>
      <x:c r="I30" t="n">
        <x:v>125.00686</x:v>
      </x:c>
      <x:c r="J30" t="n">
        <x:v>1.88093</x:v>
      </x:c>
      <x:c r="K30" t="n">
        <x:v>39.41</x:v>
      </x:c>
      <x:c r="L30" t="n">
        <x:v>124.99733</x:v>
      </x:c>
      <x:c r="M30" t="n">
        <x:v>0.30146</x:v>
      </x:c>
      <x:c r="N30" t="n">
        <x:v>124.99807</x:v>
      </x:c>
      <x:c r="O30" t="n">
        <x:v>0.39221</x:v>
      </x:c>
      <x:c r="P30" t="n">
        <x:v>125.00686</x:v>
      </x:c>
      <x:c r="Q30" t="n">
        <x:v>1.88093</x:v>
      </x:c>
      <x:c r="R30" t="n">
        <x:v>125.00627</x:v>
      </x:c>
      <x:c r="S30" t="n">
        <x:v>0.00627</x:v>
      </x:c>
      <x:c r="T30" t="n">
        <x:v>0.30146</x:v>
      </x:c>
      <x:c r="U30" t="n">
        <x:v>0.39221</x:v>
      </x:c>
      <x:c r="V30" t="n">
        <x:v>1.88093</x:v>
      </x:c>
      <x:c r="W30" t="n">
        <x:v>1.94489</x:v>
      </x:c>
      <x:c r="X30" t="n">
        <x:v>39.28</x:v>
      </x:c>
      <x:c r="Y30" t="str">
        <x:v>Z</x:v>
      </x:c>
      <x:c r="Z30" t="n">
        <x:v>0.29664</x:v>
      </x:c>
      <x:c r="AA30" t="n">
        <x:v>-29.95</x:v>
      </x:c>
      <x:c r="AB30" t="n">
        <x:v>0.379</x:v>
      </x:c>
      <x:c r="AC30" t="n">
        <x:v>4.71</x:v>
      </x:c>
      <x:c r="AD30" t="n">
        <x:v>0.39318</x:v>
      </x:c>
      <x:c r="AE30" t="n">
        <x:v>-114.59</x:v>
      </x:c>
      <x:c r="AF30" t="n">
        <x:v>0.457</x:v>
      </x:c>
      <x:c r="AG30" t="n">
        <x:v>1.51</x:v>
      </x:c>
      <x:c r="AH30" t="n">
        <x:v>1.93018</x:v>
      </x:c>
      <x:c r="AI30" t="n">
        <x:v>60.56</x:v>
      </x:c>
      <x:c r="AJ30" t="n">
        <x:v>0.97</x:v>
      </x:c>
      <x:c r="AK30" t="n">
        <x:v>0.65</x:v>
      </x:c>
      <x:c r="AL30" t="n">
        <x:v>1.99207</x:v>
      </x:c>
      <x:c r="AM30" t="n">
        <x:v>0.66</x:v>
      </x:c>
      <x:c r="AN30" t="n">
        <x:v>0.1489</x:v>
      </x:c>
      <x:c r="AO30" t="n">
        <x:v>0.1974</x:v>
      </x:c>
      <x:c r="AP30" t="n">
        <x:v>0.9689</x:v>
      </x:c>
      <x:c r="AQ30" t="n">
        <x:v>1</x:v>
      </x:c>
      <x:c r="AR30" t="n">
        <x:v>0.20370120921364845</x:v>
      </x:c>
      <x:c r="AS30" t="n">
        <x:v>0.02217431611941402</x:v>
      </x:c>
      <x:c r="AT30" t="n">
        <x:v>0.03895593623933925</x:v>
      </x:c>
      <x:c r="AU30" t="n">
        <x:v>0.9388288614313838</x:v>
      </x:c>
      <x:c r="AV30" t="str">
        <x:v>YES</x:v>
      </x:c>
    </x:row>
    <x:row r="31">
      <x:c r="A31" t="n">
        <x:v>125</x:v>
      </x:c>
      <x:c r="B31" t="n">
        <x:v>29</x:v>
      </x:c>
      <x:c r="C31" t="n">
        <x:v>284.67759</x:v>
      </x:c>
      <x:c r="D31" t="n">
        <x:v>0.43703</x:v>
      </x:c>
      <x:c r="E31" t="n">
        <x:v>27.31</x:v>
      </x:c>
      <x:c r="F31" t="n">
        <x:v>124.99685</x:v>
      </x:c>
      <x:c r="G31" t="n">
        <x:v>0.43248</x:v>
      </x:c>
      <x:c r="H31" t="n">
        <x:v>25.15</x:v>
      </x:c>
      <x:c r="I31" t="n">
        <x:v>124.99915</x:v>
      </x:c>
      <x:c r="J31" t="n">
        <x:v>2.12287</x:v>
      </x:c>
      <x:c r="K31" t="n">
        <x:v>39.46</x:v>
      </x:c>
      <x:c r="L31" t="n">
        <x:v>124.99462</x:v>
      </x:c>
      <x:c r="M31" t="n">
        <x:v>0.33693</x:v>
      </x:c>
      <x:c r="N31" t="n">
        <x:v>124.99685</x:v>
      </x:c>
      <x:c r="O31" t="n">
        <x:v>0.43248</x:v>
      </x:c>
      <x:c r="P31" t="n">
        <x:v>124.99915</x:v>
      </x:c>
      <x:c r="Q31" t="n">
        <x:v>2.12287</x:v>
      </x:c>
      <x:c r="R31" t="n">
        <x:v>124.99896</x:v>
      </x:c>
      <x:c r="S31" t="n">
        <x:v>-0.00104</x:v>
      </x:c>
      <x:c r="T31" t="n">
        <x:v>0.33693</x:v>
      </x:c>
      <x:c r="U31" t="n">
        <x:v>0.43248</x:v>
      </x:c>
      <x:c r="V31" t="n">
        <x:v>2.12287</x:v>
      </x:c>
      <x:c r="W31" t="n">
        <x:v>2.19252</x:v>
      </x:c>
      <x:c r="X31" t="n">
        <x:v>40.14</x:v>
      </x:c>
      <x:c r="Y31" t="str">
        <x:v>Z</x:v>
      </x:c>
      <x:c r="Z31" t="n">
        <x:v>0.35034</x:v>
      </x:c>
      <x:c r="AA31" t="n">
        <x:v>-32.52</x:v>
      </x:c>
      <x:c r="AB31" t="n">
        <x:v>0.441</x:v>
      </x:c>
      <x:c r="AC31" t="n">
        <x:v>6.04</x:v>
      </x:c>
      <x:c r="AD31" t="n">
        <x:v>0.44881</x:v>
      </x:c>
      <x:c r="AE31" t="n">
        <x:v>-114.19</x:v>
      </x:c>
      <x:c r="AF31" t="n">
        <x:v>0.494</x:v>
      </x:c>
      <x:c r="AG31" t="n">
        <x:v>2.81</x:v>
      </x:c>
      <x:c r="AH31" t="n">
        <x:v>2.15151</x:v>
      </x:c>
      <x:c r="AI31" t="n">
        <x:v>60.11</x:v>
      </x:c>
      <x:c r="AJ31" t="n">
        <x:v>0.963</x:v>
      </x:c>
      <x:c r="AK31" t="n">
        <x:v>0.89</x:v>
      </x:c>
      <x:c r="AL31" t="n">
        <x:v>2.22569</x:v>
      </x:c>
      <x:c r="AM31" t="n">
        <x:v>0.79</x:v>
      </x:c>
      <x:c r="AN31" t="n">
        <x:v>0.1574</x:v>
      </x:c>
      <x:c r="AO31" t="n">
        <x:v>0.2016</x:v>
      </x:c>
      <x:c r="AP31" t="n">
        <x:v>0.9667</x:v>
      </x:c>
      <x:c r="AQ31" t="n">
        <x:v>1</x:v>
      </x:c>
      <x:c r="AR31" t="n">
        <x:v>0.20860233045628418</x:v>
      </x:c>
      <x:c r="AS31" t="n">
        <x:v>0.02477707880987694</x:v>
      </x:c>
      <x:c r="AT31" t="n">
        <x:v>0.04066265210296258</x:v>
      </x:c>
      <x:c r="AU31" t="n">
        <x:v>0.9344528413599507</x:v>
      </x:c>
      <x:c r="AV31" t="str">
        <x:v>YES</x:v>
      </x:c>
    </x:row>
    <x:row r="32">
      <x:c r="A32" t="n">
        <x:v>150</x:v>
      </x:c>
      <x:c r="B32" t="n">
        <x:v>1</x:v>
      </x:c>
      <x:c r="C32" t="n">
        <x:v>159.80775</x:v>
      </x:c>
      <x:c r="D32" t="n">
        <x:v>0.26162</x:v>
      </x:c>
      <x:c r="E32" t="n">
        <x:v>24.38</x:v>
      </x:c>
      <x:c r="F32" t="n">
        <x:v>159.73775</x:v>
      </x:c>
      <x:c r="G32" t="n">
        <x:v>0.33229</x:v>
      </x:c>
      <x:c r="H32" t="n">
        <x:v>26.24</x:v>
      </x:c>
      <x:c r="I32" t="n">
        <x:v>600.05772</x:v>
      </x:c>
      <x:c r="J32" t="n">
        <x:v>0.22324</x:v>
      </x:c>
      <x:c r="K32" t="n">
        <x:v>22.68</x:v>
      </x:c>
      <x:c r="L32" t="n">
        <x:v>157.03125</x:v>
      </x:c>
      <x:c r="M32" t="n">
        <x:v>0.04628</x:v>
      </x:c>
      <x:c r="N32" t="n">
        <x:v>157.03125</x:v>
      </x:c>
      <x:c r="O32" t="n">
        <x:v>0.07851</x:v>
      </x:c>
      <x:c r="P32" t="n">
        <x:v>157.03125</x:v>
      </x:c>
      <x:c r="Q32" t="n">
        <x:v>0.0305</x:v>
      </x:c>
      <x:c r="R32" t="n">
        <x:v>157.8125</x:v>
      </x:c>
      <x:c r="S32" t="n">
        <x:v>7.8125</x:v>
      </x:c>
      <x:c r="T32" t="n">
        <x:v>0.04628</x:v>
      </x:c>
      <x:c r="U32" t="n">
        <x:v>0.07851</x:v>
      </x:c>
      <x:c r="V32" t="n">
        <x:v>0.0305</x:v>
      </x:c>
      <x:c r="W32" t="n">
        <x:v>0.0961</x:v>
      </x:c>
      <x:c r="X32" t="n">
        <x:v>14.65</x:v>
      </x:c>
      <x:c r="Y32" t="str">
        <x:v>Y</x:v>
      </x:c>
      <x:c r="Z32" t="n">
        <x:v>0.01666</x:v>
      </x:c>
      <x:c r="AA32" t="n">
        <x:v>45.11</x:v>
      </x:c>
      <x:c r="AB32" t="n">
        <x:v>0.027</x:v>
      </x:c>
      <x:c r="AC32" t="n">
        <x:v>36.39</x:v>
      </x:c>
      <x:c r="AD32" t="n">
        <x:v>0.00933</x:v>
      </x:c>
      <x:c r="AE32" t="n">
        <x:v>-13.73</x:v>
      </x:c>
      <x:c r="AF32" t="n">
        <x:v>0.015</x:v>
      </x:c>
      <x:c r="AG32" t="n">
        <x:v>95.84</x:v>
      </x:c>
      <x:c r="AH32" t="n">
        <x:v>0.01748</x:v>
      </x:c>
      <x:c r="AI32" t="n">
        <x:v>-47.69</x:v>
      </x:c>
      <x:c r="AJ32" t="n">
        <x:v>0.037</x:v>
      </x:c>
      <x:c r="AK32" t="n">
        <x:v>39.73</x:v>
      </x:c>
      <x:c r="AL32" t="n">
        <x:v>0.02773</x:v>
      </x:c>
      <x:c r="AM32" t="n">
        <x:v>23.22</x:v>
      </x:c>
      <x:c r="AN32" t="n">
        <x:v>0.6008</x:v>
      </x:c>
      <x:c r="AO32" t="n">
        <x:v>0.3364</x:v>
      </x:c>
      <x:c r="AP32" t="n">
        <x:v>0.6305</x:v>
      </x:c>
      <x:c r="AQ32" t="n">
        <x:v>0</x:v>
      </x:c>
      <x:c r="AR32" t="n">
        <x:v>0.5337528604118993</x:v>
      </x:c>
      <x:c r="AS32" t="n">
        <x:v>0.3609526669318759</x:v>
      </x:c>
      <x:c r="AT32" t="n">
        <x:v>0.11320446284811461</x:v>
      </x:c>
      <x:c r="AU32" t="n">
        <x:v>0.3973590580125258</x:v>
      </x:c>
      <x:c r="AV32" t="str">
        <x:v>NO</x:v>
      </x:c>
    </x:row>
    <x:row r="33">
      <x:c r="A33" t="n">
        <x:v>150</x:v>
      </x:c>
      <x:c r="B33" t="n">
        <x:v>3</x:v>
      </x:c>
      <x:c r="C33" t="n">
        <x:v>370.21855</x:v>
      </x:c>
      <x:c r="D33" t="n">
        <x:v>0.3458</x:v>
      </x:c>
      <x:c r="E33" t="n">
        <x:v>22.68</x:v>
      </x:c>
      <x:c r="F33" t="n">
        <x:v>389.44113</x:v>
      </x:c>
      <x:c r="G33" t="n">
        <x:v>0.2168</x:v>
      </x:c>
      <x:c r="H33" t="n">
        <x:v>18.78</x:v>
      </x:c>
      <x:c r="I33" t="n">
        <x:v>600.02043</x:v>
      </x:c>
      <x:c r="J33" t="n">
        <x:v>0.15193</x:v>
      </x:c>
      <x:c r="K33" t="n">
        <x:v>18.34</x:v>
      </x:c>
      <x:c r="L33" t="n">
        <x:v>149.77705</x:v>
      </x:c>
      <x:c r="M33" t="n">
        <x:v>0.0205</x:v>
      </x:c>
      <x:c r="N33" t="n">
        <x:v>149.8856</x:v>
      </x:c>
      <x:c r="O33" t="n">
        <x:v>0.03431</x:v>
      </x:c>
      <x:c r="P33" t="n">
        <x:v>150.08916</x:v>
      </x:c>
      <x:c r="Q33" t="n">
        <x:v>0.04118</x:v>
      </x:c>
      <x:c r="R33" t="n">
        <x:v>149.98154</x:v>
      </x:c>
      <x:c r="S33" t="n">
        <x:v>-0.01846</x:v>
      </x:c>
      <x:c r="T33" t="n">
        <x:v>0.0205</x:v>
      </x:c>
      <x:c r="U33" t="n">
        <x:v>0.03431</x:v>
      </x:c>
      <x:c r="V33" t="n">
        <x:v>0.04118</x:v>
      </x:c>
      <x:c r="W33" t="n">
        <x:v>0.05739</x:v>
      </x:c>
      <x:c r="X33" t="n">
        <x:v>8.54</x:v>
      </x:c>
      <x:c r="Y33" t="str">
        <x:v>Z</x:v>
      </x:c>
      <x:c r="Z33" t="n">
        <x:v>0.01961</x:v>
      </x:c>
      <x:c r="AA33" t="n">
        <x:v>21.73</x:v>
      </x:c>
      <x:c r="AB33" t="n">
        <x:v>0.023</x:v>
      </x:c>
      <x:c r="AC33" t="n">
        <x:v>47.29</x:v>
      </x:c>
      <x:c r="AD33" t="n">
        <x:v>0.02564</x:v>
      </x:c>
      <x:c r="AE33" t="n">
        <x:v>33.12</x:v>
      </x:c>
      <x:c r="AF33" t="n">
        <x:v>0.033</x:v>
      </x:c>
      <x:c r="AG33" t="n">
        <x:v>40.78</x:v>
      </x:c>
      <x:c r="AH33" t="n">
        <x:v>0.05685</x:v>
      </x:c>
      <x:c r="AI33" t="n">
        <x:v>52.73</x:v>
      </x:c>
      <x:c r="AJ33" t="n">
        <x:v>0.111</x:v>
      </x:c>
      <x:c r="AK33" t="n">
        <x:v>30.22</x:v>
      </x:c>
      <x:c r="AL33" t="n">
        <x:v>0.06723</x:v>
      </x:c>
      <x:c r="AM33" t="n">
        <x:v>20.19</x:v>
      </x:c>
      <x:c r="AN33" t="n">
        <x:v>0.2917</x:v>
      </x:c>
      <x:c r="AO33" t="n">
        <x:v>0.3814</x:v>
      </x:c>
      <x:c r="AP33" t="n">
        <x:v>0.8457</x:v>
      </x:c>
      <x:c r="AQ33" t="n">
        <x:v>1</x:v>
      </x:c>
      <x:c r="AR33" t="n">
        <x:v>0.4510114335971856</x:v>
      </x:c>
      <x:c r="AS33" t="n">
        <x:v>0.08508029064268598</x:v>
      </x:c>
      <x:c r="AT33" t="n">
        <x:v>0.14544869170989297</x:v>
      </x:c>
      <x:c r="AU33" t="n">
        <x:v>0.7150472085177438</x:v>
      </x:c>
      <x:c r="AV33" t="str">
        <x:v>NO</x:v>
      </x:c>
    </x:row>
    <x:row r="34">
      <x:c r="A34" t="n">
        <x:v>150</x:v>
      </x:c>
      <x:c r="B34" t="n">
        <x:v>5</x:v>
      </x:c>
      <x:c r="C34" t="n">
        <x:v>309.53241</x:v>
      </x:c>
      <x:c r="D34" t="n">
        <x:v>0.31323</x:v>
      </x:c>
      <x:c r="E34" t="n">
        <x:v>20.58</x:v>
      </x:c>
      <x:c r="F34" t="n">
        <x:v>159.55295</x:v>
      </x:c>
      <x:c r="G34" t="n">
        <x:v>0.25394</x:v>
      </x:c>
      <x:c r="H34" t="n">
        <x:v>18.71</x:v>
      </x:c>
      <x:c r="I34" t="n">
        <x:v>449.98063</x:v>
      </x:c>
      <x:c r="J34" t="n">
        <x:v>0.46264</x:v>
      </x:c>
      <x:c r="K34" t="n">
        <x:v>26.1</x:v>
      </x:c>
      <x:c r="L34" t="n">
        <x:v>157.03125</x:v>
      </x:c>
      <x:c r="M34" t="n">
        <x:v>0.07025</x:v>
      </x:c>
      <x:c r="N34" t="n">
        <x:v>157.03125</x:v>
      </x:c>
      <x:c r="O34" t="n">
        <x:v>0.08457</x:v>
      </x:c>
      <x:c r="P34" t="n">
        <x:v>150.02174</x:v>
      </x:c>
      <x:c r="Q34" t="n">
        <x:v>0.19132</x:v>
      </x:c>
      <x:c r="R34" t="n">
        <x:v>150.01242</x:v>
      </x:c>
      <x:c r="S34" t="n">
        <x:v>0.01242</x:v>
      </x:c>
      <x:c r="T34" t="n">
        <x:v>0.04987</x:v>
      </x:c>
      <x:c r="U34" t="n">
        <x:v>0.0272</x:v>
      </x:c>
      <x:c r="V34" t="n">
        <x:v>0.19132</x:v>
      </x:c>
      <x:c r="W34" t="n">
        <x:v>0.19958</x:v>
      </x:c>
      <x:c r="X34" t="n">
        <x:v>12.78</x:v>
      </x:c>
      <x:c r="Y34" t="str">
        <x:v>Z</x:v>
      </x:c>
      <x:c r="Z34" t="n">
        <x:v>0.04913</x:v>
      </x:c>
      <x:c r="AA34" t="n">
        <x:v>2.34</x:v>
      </x:c>
      <x:c r="AB34" t="n">
        <x:v>0.053</x:v>
      </x:c>
      <x:c r="AC34" t="n">
        <x:v>49.75</x:v>
      </x:c>
      <x:c r="AD34" t="n">
        <x:v>0.03277</x:v>
      </x:c>
      <x:c r="AE34" t="n">
        <x:v>115.48</x:v>
      </x:c>
      <x:c r="AF34" t="n">
        <x:v>0.036</x:v>
      </x:c>
      <x:c r="AG34" t="n">
        <x:v>103.19</x:v>
      </x:c>
      <x:c r="AH34" t="n">
        <x:v>0.19704</x:v>
      </x:c>
      <x:c r="AI34" t="n">
        <x:v>21.99</x:v>
      </x:c>
      <x:c r="AJ34" t="n">
        <x:v>0.253</x:v>
      </x:c>
      <x:c r="AK34" t="n">
        <x:v>13.57</x:v>
      </x:c>
      <x:c r="AL34" t="n">
        <x:v>0.20845</x:v>
      </x:c>
      <x:c r="AM34" t="n">
        <x:v>15.41</x:v>
      </x:c>
      <x:c r="AN34" t="n">
        <x:v>0.2357</x:v>
      </x:c>
      <x:c r="AO34" t="n">
        <x:v>0.1572</x:v>
      </x:c>
      <x:c r="AP34" t="n">
        <x:v>0.9453</x:v>
      </x:c>
      <x:c r="AQ34" t="n">
        <x:v>1</x:v>
      </x:c>
      <x:c r="AR34" t="n">
        <x:v>0.16631140885099474</x:v>
      </x:c>
      <x:c r="AS34" t="n">
        <x:v>0.05555072474357991</x:v>
      </x:c>
      <x:c r="AT34" t="n">
        <x:v>0.024714343800525198</x:v>
      </x:c>
      <x:c r="AU34" t="n">
        <x:v>0.8935214829947089</x:v>
      </x:c>
      <x:c r="AV34" t="str">
        <x:v>NO</x:v>
      </x:c>
    </x:row>
    <x:row r="35">
      <x:c r="A35" t="n">
        <x:v>150</x:v>
      </x:c>
      <x:c r="B35" t="n">
        <x:v>7</x:v>
      </x:c>
      <x:c r="C35" t="n">
        <x:v>370.27227</x:v>
      </x:c>
      <x:c r="D35" t="n">
        <x:v>0.33913</x:v>
      </x:c>
      <x:c r="E35" t="n">
        <x:v>22.49</x:v>
      </x:c>
      <x:c r="F35" t="n">
        <x:v>689.54442</x:v>
      </x:c>
      <x:c r="G35" t="n">
        <x:v>0.34838</x:v>
      </x:c>
      <x:c r="H35" t="n">
        <x:v>22.04</x:v>
      </x:c>
      <x:c r="I35" t="n">
        <x:v>449.99397</x:v>
      </x:c>
      <x:c r="J35" t="n">
        <x:v>0.57744</x:v>
      </x:c>
      <x:c r="K35" t="n">
        <x:v>27.47</x:v>
      </x:c>
      <x:c r="L35" t="n">
        <x:v>149.91808</x:v>
      </x:c>
      <x:c r="M35" t="n">
        <x:v>0.06926</x:v>
      </x:c>
      <x:c r="N35" t="n">
        <x:v>149.90684</x:v>
      </x:c>
      <x:c r="O35" t="n">
        <x:v>0.08466</x:v>
      </x:c>
      <x:c r="P35" t="n">
        <x:v>150.00945</x:v>
      </x:c>
      <x:c r="Q35" t="n">
        <x:v>0.46631</x:v>
      </x:c>
      <x:c r="R35" t="n">
        <x:v>150.00441</x:v>
      </x:c>
      <x:c r="S35" t="n">
        <x:v>0.00441</x:v>
      </x:c>
      <x:c r="T35" t="n">
        <x:v>0.06926</x:v>
      </x:c>
      <x:c r="U35" t="n">
        <x:v>0.08466</x:v>
      </x:c>
      <x:c r="V35" t="n">
        <x:v>0.46631</x:v>
      </x:c>
      <x:c r="W35" t="n">
        <x:v>0.47897</x:v>
      </x:c>
      <x:c r="X35" t="n">
        <x:v>19.43</x:v>
      </x:c>
      <x:c r="Y35" t="str">
        <x:v>Z</x:v>
      </x:c>
      <x:c r="Z35" t="n">
        <x:v>0.07051</x:v>
      </x:c>
      <x:c r="AA35" t="n">
        <x:v>-2.9</x:v>
      </x:c>
      <x:c r="AB35" t="n">
        <x:v>0.084</x:v>
      </x:c>
      <x:c r="AC35" t="n">
        <x:v>23.16</x:v>
      </x:c>
      <x:c r="AD35" t="n">
        <x:v>0.08964</x:v>
      </x:c>
      <x:c r="AE35" t="n">
        <x:v>-176.66</x:v>
      </x:c>
      <x:c r="AF35" t="n">
        <x:v>0.084</x:v>
      </x:c>
      <x:c r="AG35" t="n">
        <x:v>11.5</x:v>
      </x:c>
      <x:c r="AH35" t="n">
        <x:v>0.47868</x:v>
      </x:c>
      <x:c r="AI35" t="n">
        <x:v>25.96</x:v>
      </x:c>
      <x:c r="AJ35" t="n">
        <x:v>0.498</x:v>
      </x:c>
      <x:c r="AK35" t="n">
        <x:v>2.67</x:v>
      </x:c>
      <x:c r="AL35" t="n">
        <x:v>0.49244</x:v>
      </x:c>
      <x:c r="AM35" t="n">
        <x:v>1.99</x:v>
      </x:c>
      <x:c r="AN35" t="n">
        <x:v>0.1432</x:v>
      </x:c>
      <x:c r="AO35" t="n">
        <x:v>0.182</x:v>
      </x:c>
      <x:c r="AP35" t="n">
        <x:v>0.9721</x:v>
      </x:c>
      <x:c r="AQ35" t="n">
        <x:v>1</x:v>
      </x:c>
      <x:c r="AR35" t="n">
        <x:v>0.18726497869140135</x:v>
      </x:c>
      <x:c r="AS35" t="n">
        <x:v>0.020501931780200496</x:v>
      </x:c>
      <x:c r="AT35" t="n">
        <x:v>0.033135768732586064</x:v>
      </x:c>
      <x:c r="AU35" t="n">
        <x:v>0.9448958018614864</x:v>
      </x:c>
      <x:c r="AV35" t="str">
        <x:v>NO</x:v>
      </x:c>
    </x:row>
    <x:row r="36">
      <x:c r="A36" t="n">
        <x:v>150</x:v>
      </x:c>
      <x:c r="B36" t="n">
        <x:v>9</x:v>
      </x:c>
      <x:c r="C36" t="n">
        <x:v>470.2545</x:v>
      </x:c>
      <x:c r="D36" t="n">
        <x:v>0.31077</x:v>
      </x:c>
      <x:c r="E36" t="n">
        <x:v>20.98</x:v>
      </x:c>
      <x:c r="F36" t="n">
        <x:v>209.56847</x:v>
      </x:c>
      <x:c r="G36" t="n">
        <x:v>0.30183</x:v>
      </x:c>
      <x:c r="H36" t="n">
        <x:v>20.17</x:v>
      </x:c>
      <x:c r="I36" t="n">
        <x:v>150.00417</x:v>
      </x:c>
      <x:c r="J36" t="n">
        <x:v>0.70412</x:v>
      </x:c>
      <x:c r="K36" t="n">
        <x:v>28.93</x:v>
      </x:c>
      <x:c r="L36" t="n">
        <x:v>149.97887</x:v>
      </x:c>
      <x:c r="M36" t="n">
        <x:v>0.1116</x:v>
      </x:c>
      <x:c r="N36" t="n">
        <x:v>150.02033</x:v>
      </x:c>
      <x:c r="O36" t="n">
        <x:v>0.14277</x:v>
      </x:c>
      <x:c r="P36" t="n">
        <x:v>150.00417</x:v>
      </x:c>
      <x:c r="Q36" t="n">
        <x:v>0.70412</x:v>
      </x:c>
      <x:c r="R36" t="n">
        <x:v>150.00421</x:v>
      </x:c>
      <x:c r="S36" t="n">
        <x:v>0.00421</x:v>
      </x:c>
      <x:c r="T36" t="n">
        <x:v>0.1116</x:v>
      </x:c>
      <x:c r="U36" t="n">
        <x:v>0.14277</x:v>
      </x:c>
      <x:c r="V36" t="n">
        <x:v>0.70412</x:v>
      </x:c>
      <x:c r="W36" t="n">
        <x:v>0.72707</x:v>
      </x:c>
      <x:c r="X36" t="n">
        <x:v>23.87</x:v>
      </x:c>
      <x:c r="Y36" t="str">
        <x:v>Z</x:v>
      </x:c>
      <x:c r="Z36" t="n">
        <x:v>0.12199</x:v>
      </x:c>
      <x:c r="AA36" t="n">
        <x:v>11.65</x:v>
      </x:c>
      <x:c r="AB36" t="n">
        <x:v>0.125</x:v>
      </x:c>
      <x:c r="AC36" t="n">
        <x:v>6.7</x:v>
      </x:c>
      <x:c r="AD36" t="n">
        <x:v>0.12912</x:v>
      </x:c>
      <x:c r="AE36" t="n">
        <x:v>-161.05</x:v>
      </x:c>
      <x:c r="AF36" t="n">
        <x:v>0.123</x:v>
      </x:c>
      <x:c r="AG36" t="n">
        <x:v>19.51</x:v>
      </x:c>
      <x:c r="AH36" t="n">
        <x:v>0.67194</x:v>
      </x:c>
      <x:c r="AI36" t="n">
        <x:v>29.86</x:v>
      </x:c>
      <x:c r="AJ36" t="n">
        <x:v>0.623</x:v>
      </x:c>
      <x:c r="AK36" t="n">
        <x:v>3.24</x:v>
      </x:c>
      <x:c r="AL36" t="n">
        <x:v>0.69546</x:v>
      </x:c>
      <x:c r="AM36" t="n">
        <x:v>2.95</x:v>
      </x:c>
      <x:c r="AN36" t="n">
        <x:v>0.1754</x:v>
      </x:c>
      <x:c r="AO36" t="n">
        <x:v>0.1857</x:v>
      </x:c>
      <x:c r="AP36" t="n">
        <x:v>0.9662</x:v>
      </x:c>
      <x:c r="AQ36" t="n">
        <x:v>1</x:v>
      </x:c>
      <x:c r="AR36" t="n">
        <x:v>0.19216001428698992</x:v>
      </x:c>
      <x:c r="AS36" t="n">
        <x:v>0.030768345963477974</x:v>
      </x:c>
      <x:c r="AT36" t="n">
        <x:v>0.034470114207545234</x:v>
      </x:c>
      <x:c r="AU36" t="n">
        <x:v>0.9335050627466663</x:v>
      </x:c>
      <x:c r="AV36" t="str">
        <x:v>NO</x:v>
      </x:c>
    </x:row>
    <x:row r="37">
      <x:c r="A37" t="n">
        <x:v>150</x:v>
      </x:c>
      <x:c r="B37" t="n">
        <x:v>11</x:v>
      </x:c>
      <x:c r="C37" t="n">
        <x:v>509.65676</x:v>
      </x:c>
      <x:c r="D37" t="n">
        <x:v>0.32033</x:v>
      </x:c>
      <x:c r="E37" t="n">
        <x:v>21.16</x:v>
      </x:c>
      <x:c r="F37" t="n">
        <x:v>689.56354</x:v>
      </x:c>
      <x:c r="G37" t="n">
        <x:v>0.32942</x:v>
      </x:c>
      <x:c r="H37" t="n">
        <x:v>21.31</x:v>
      </x:c>
      <x:c r="I37" t="n">
        <x:v>150.00268</x:v>
      </x:c>
      <x:c r="J37" t="n">
        <x:v>0.9251</x:v>
      </x:c>
      <x:c r="K37" t="n">
        <x:v>31.97</x:v>
      </x:c>
      <x:c r="L37" t="n">
        <x:v>149.99268</x:v>
      </x:c>
      <x:c r="M37" t="n">
        <x:v>0.14755</x:v>
      </x:c>
      <x:c r="N37" t="n">
        <x:v>150.02039</x:v>
      </x:c>
      <x:c r="O37" t="n">
        <x:v>0.20047</x:v>
      </x:c>
      <x:c r="P37" t="n">
        <x:v>150.00268</x:v>
      </x:c>
      <x:c r="Q37" t="n">
        <x:v>0.9251</x:v>
      </x:c>
      <x:c r="R37" t="n">
        <x:v>150.00321</x:v>
      </x:c>
      <x:c r="S37" t="n">
        <x:v>0.00321</x:v>
      </x:c>
      <x:c r="T37" t="n">
        <x:v>0.14755</x:v>
      </x:c>
      <x:c r="U37" t="n">
        <x:v>0.20047</x:v>
      </x:c>
      <x:c r="V37" t="n">
        <x:v>0.9251</x:v>
      </x:c>
      <x:c r="W37" t="n">
        <x:v>0.958</x:v>
      </x:c>
      <x:c r="X37" t="n">
        <x:v>30.65</x:v>
      </x:c>
      <x:c r="Y37" t="str">
        <x:v>Z</x:v>
      </x:c>
      <x:c r="Z37" t="n">
        <x:v>0.1271</x:v>
      </x:c>
      <x:c r="AA37" t="n">
        <x:v>4.02</x:v>
      </x:c>
      <x:c r="AB37" t="n">
        <x:v>0.132</x:v>
      </x:c>
      <x:c r="AC37" t="n">
        <x:v>17.76</x:v>
      </x:c>
      <x:c r="AD37" t="n">
        <x:v>0.19907</x:v>
      </x:c>
      <x:c r="AE37" t="n">
        <x:v>-157.15</x:v>
      </x:c>
      <x:c r="AF37" t="n">
        <x:v>0.198</x:v>
      </x:c>
      <x:c r="AG37" t="n">
        <x:v>8.49</x:v>
      </x:c>
      <x:c r="AH37" t="n">
        <x:v>0.89744</x:v>
      </x:c>
      <x:c r="AI37" t="n">
        <x:v>31.86</x:v>
      </x:c>
      <x:c r="AJ37" t="n">
        <x:v>0.741</x:v>
      </x:c>
      <x:c r="AK37" t="n">
        <x:v>1.23</x:v>
      </x:c>
      <x:c r="AL37" t="n">
        <x:v>0.92831</x:v>
      </x:c>
      <x:c r="AM37" t="n">
        <x:v>1.5</x:v>
      </x:c>
      <x:c r="AN37" t="n">
        <x:v>0.1369</x:v>
      </x:c>
      <x:c r="AO37" t="n">
        <x:v>0.2144</x:v>
      </x:c>
      <x:c r="AP37" t="n">
        <x:v>0.9667</x:v>
      </x:c>
      <x:c r="AQ37" t="n">
        <x:v>1</x:v>
      </x:c>
      <x:c r="AR37" t="n">
        <x:v>0.22181984310928862</x:v>
      </x:c>
      <x:c r="AS37" t="n">
        <x:v>0.01874584593838842</x:v>
      </x:c>
      <x:c r="AT37" t="n">
        <x:v>0.0459859936778012</x:v>
      </x:c>
      <x:c r="AU37" t="n">
        <x:v>0.9345978717134498</x:v>
      </x:c>
      <x:c r="AV37" t="str">
        <x:v>NO</x:v>
      </x:c>
    </x:row>
    <x:row r="38">
      <x:c r="A38" t="n">
        <x:v>150</x:v>
      </x:c>
      <x:c r="B38" t="n">
        <x:v>13</x:v>
      </x:c>
      <x:c r="C38" t="n">
        <x:v>370.20452</x:v>
      </x:c>
      <x:c r="D38" t="n">
        <x:v>0.29464</x:v>
      </x:c>
      <x:c r="E38" t="n">
        <x:v>21.06</x:v>
      </x:c>
      <x:c r="F38" t="n">
        <x:v>150.00161</x:v>
      </x:c>
      <x:c r="G38" t="n">
        <x:v>0.26306</x:v>
      </x:c>
      <x:c r="H38" t="n">
        <x:v>19.3</x:v>
      </x:c>
      <x:c r="I38" t="n">
        <x:v>150.00317</x:v>
      </x:c>
      <x:c r="J38" t="n">
        <x:v>1.14388</x:v>
      </x:c>
      <x:c r="K38" t="n">
        <x:v>33.29</x:v>
      </x:c>
      <x:c r="L38" t="n">
        <x:v>150.01605</x:v>
      </x:c>
      <x:c r="M38" t="n">
        <x:v>0.19081</x:v>
      </x:c>
      <x:c r="N38" t="n">
        <x:v>150.00161</x:v>
      </x:c>
      <x:c r="O38" t="n">
        <x:v>0.26306</x:v>
      </x:c>
      <x:c r="P38" t="n">
        <x:v>150.00317</x:v>
      </x:c>
      <x:c r="Q38" t="n">
        <x:v>1.14388</x:v>
      </x:c>
      <x:c r="R38" t="n">
        <x:v>150.00342</x:v>
      </x:c>
      <x:c r="S38" t="n">
        <x:v>0.00342</x:v>
      </x:c>
      <x:c r="T38" t="n">
        <x:v>0.19081</x:v>
      </x:c>
      <x:c r="U38" t="n">
        <x:v>0.26306</x:v>
      </x:c>
      <x:c r="V38" t="n">
        <x:v>1.14388</x:v>
      </x:c>
      <x:c r="W38" t="n">
        <x:v>1.18914</x:v>
      </x:c>
      <x:c r="X38" t="n">
        <x:v>29.59</x:v>
      </x:c>
      <x:c r="Y38" t="str">
        <x:v>Z</x:v>
      </x:c>
      <x:c r="Z38" t="n">
        <x:v>0.18268</x:v>
      </x:c>
      <x:c r="AA38" t="n">
        <x:v>3.46</x:v>
      </x:c>
      <x:c r="AB38" t="n">
        <x:v>0.225</x:v>
      </x:c>
      <x:c r="AC38" t="n">
        <x:v>10.26</x:v>
      </x:c>
      <x:c r="AD38" t="n">
        <x:v>0.24322</x:v>
      </x:c>
      <x:c r="AE38" t="n">
        <x:v>-154.99</x:v>
      </x:c>
      <x:c r="AF38" t="n">
        <x:v>0.241</x:v>
      </x:c>
      <x:c r="AG38" t="n">
        <x:v>6.66</x:v>
      </x:c>
      <x:c r="AH38" t="n">
        <x:v>1.12831</x:v>
      </x:c>
      <x:c r="AI38" t="n">
        <x:v>33.69</x:v>
      </x:c>
      <x:c r="AJ38" t="n">
        <x:v>0.829</x:v>
      </x:c>
      <x:c r="AK38" t="n">
        <x:v>0.96</x:v>
      </x:c>
      <x:c r="AL38" t="n">
        <x:v>1.1688</x:v>
      </x:c>
      <x:c r="AM38" t="n">
        <x:v>0.95</x:v>
      </x:c>
      <x:c r="AN38" t="n">
        <x:v>0.1563</x:v>
      </x:c>
      <x:c r="AO38" t="n">
        <x:v>0.2081</x:v>
      </x:c>
      <x:c r="AP38" t="n">
        <x:v>0.9654</x:v>
      </x:c>
      <x:c r="AQ38" t="n">
        <x:v>1</x:v>
      </x:c>
      <x:c r="AR38" t="n">
        <x:v>0.21556132623126623</x:v>
      </x:c>
      <x:c r="AS38" t="n">
        <x:v>0.024428769967594605</x:v>
      </x:c>
      <x:c r="AT38" t="n">
        <x:v>0.043303017691088526</x:v>
      </x:c>
      <x:c r="AU38" t="n">
        <x:v>0.9319153571954781</x:v>
      </x:c>
      <x:c r="AV38" t="str">
        <x:v>YES</x:v>
      </x:c>
    </x:row>
    <x:row r="39">
      <x:c r="A39" t="n">
        <x:v>150</x:v>
      </x:c>
      <x:c r="B39" t="n">
        <x:v>15</x:v>
      </x:c>
      <x:c r="C39" t="n">
        <x:v>609.53334</x:v>
      </x:c>
      <x:c r="D39" t="n">
        <x:v>0.30737</x:v>
      </x:c>
      <x:c r="E39" t="n">
        <x:v>20.66</x:v>
      </x:c>
      <x:c r="F39" t="n">
        <x:v>689.33645</x:v>
      </x:c>
      <x:c r="G39" t="n">
        <x:v>0.42129</x:v>
      </x:c>
      <x:c r="H39" t="n">
        <x:v>22.49</x:v>
      </x:c>
      <x:c r="I39" t="n">
        <x:v>150.00145</x:v>
      </x:c>
      <x:c r="J39" t="n">
        <x:v>1.41611</x:v>
      </x:c>
      <x:c r="K39" t="n">
        <x:v>35.2</x:v>
      </x:c>
      <x:c r="L39" t="n">
        <x:v>149.99671</x:v>
      </x:c>
      <x:c r="M39" t="n">
        <x:v>0.21983</x:v>
      </x:c>
      <x:c r="N39" t="n">
        <x:v>150.03609</x:v>
      </x:c>
      <x:c r="O39" t="n">
        <x:v>0.32143</x:v>
      </x:c>
      <x:c r="P39" t="n">
        <x:v>150.00145</x:v>
      </x:c>
      <x:c r="Q39" t="n">
        <x:v>1.41611</x:v>
      </x:c>
      <x:c r="R39" t="n">
        <x:v>150.00302</x:v>
      </x:c>
      <x:c r="S39" t="n">
        <x:v>0.00302</x:v>
      </x:c>
      <x:c r="T39" t="n">
        <x:v>0.21983</x:v>
      </x:c>
      <x:c r="U39" t="n">
        <x:v>0.32143</x:v>
      </x:c>
      <x:c r="V39" t="n">
        <x:v>1.41611</x:v>
      </x:c>
      <x:c r="W39" t="n">
        <x:v>1.46867</x:v>
      </x:c>
      <x:c r="X39" t="n">
        <x:v>31.14</x:v>
      </x:c>
      <x:c r="Y39" t="str">
        <x:v>Z</x:v>
      </x:c>
      <x:c r="Z39" t="n">
        <x:v>0.2101</x:v>
      </x:c>
      <x:c r="AA39" t="n">
        <x:v>1.53</x:v>
      </x:c>
      <x:c r="AB39" t="n">
        <x:v>0.225</x:v>
      </x:c>
      <x:c r="AC39" t="n">
        <x:v>16.75</x:v>
      </x:c>
      <x:c r="AD39" t="n">
        <x:v>0.33141</x:v>
      </x:c>
      <x:c r="AE39" t="n">
        <x:v>-145.23</x:v>
      </x:c>
      <x:c r="AF39" t="n">
        <x:v>0.266</x:v>
      </x:c>
      <x:c r="AG39" t="n">
        <x:v>5.6</x:v>
      </x:c>
      <x:c r="AH39" t="n">
        <x:v>1.42202</x:v>
      </x:c>
      <x:c r="AI39" t="n">
        <x:v>37.33</x:v>
      </x:c>
      <x:c r="AJ39" t="n">
        <x:v>0.886</x:v>
      </x:c>
      <x:c r="AK39" t="n">
        <x:v>1.33</x:v>
      </x:c>
      <x:c r="AL39" t="n">
        <x:v>1.47562</x:v>
      </x:c>
      <x:c r="AM39" t="n">
        <x:v>1.09</x:v>
      </x:c>
      <x:c r="AN39" t="n">
        <x:v>0.1424</x:v>
      </x:c>
      <x:c r="AO39" t="n">
        <x:v>0.2246</x:v>
      </x:c>
      <x:c r="AP39" t="n">
        <x:v>0.9637</x:v>
      </x:c>
      <x:c r="AQ39" t="n">
        <x:v>1</x:v>
      </x:c>
      <x:c r="AR39" t="n">
        <x:v>0.23305579387069097</x:v>
      </x:c>
      <x:c r="AS39" t="n">
        <x:v>0.020272300681129257</x:v>
      </x:c>
      <x:c r="AT39" t="n">
        <x:v>0.050440821579031375</x:v>
      </x:c>
      <x:c r="AU39" t="n">
        <x:v>0.9286719827002041</x:v>
      </x:c>
      <x:c r="AV39" t="str">
        <x:v>YES</x:v>
      </x:c>
    </x:row>
    <x:row r="40">
      <x:c r="A40" t="n">
        <x:v>150</x:v>
      </x:c>
      <x:c r="B40" t="n">
        <x:v>17</x:v>
      </x:c>
      <x:c r="C40" t="n">
        <x:v>70.15926</x:v>
      </x:c>
      <x:c r="D40" t="n">
        <x:v>0.31449</x:v>
      </x:c>
      <x:c r="E40" t="n">
        <x:v>19.74</x:v>
      </x:c>
      <x:c r="F40" t="n">
        <x:v>149.97808</x:v>
      </x:c>
      <x:c r="G40" t="n">
        <x:v>0.40167</x:v>
      </x:c>
      <x:c r="H40" t="n">
        <x:v>22.35</x:v>
      </x:c>
      <x:c r="I40" t="n">
        <x:v>150.00072</x:v>
      </x:c>
      <x:c r="J40" t="n">
        <x:v>1.7169</x:v>
      </x:c>
      <x:c r="K40" t="n">
        <x:v>36.29</x:v>
      </x:c>
      <x:c r="L40" t="n">
        <x:v>150.02715</x:v>
      </x:c>
      <x:c r="M40" t="n">
        <x:v>0.24437</x:v>
      </x:c>
      <x:c r="N40" t="n">
        <x:v>149.97808</x:v>
      </x:c>
      <x:c r="O40" t="n">
        <x:v>0.40167</x:v>
      </x:c>
      <x:c r="P40" t="n">
        <x:v>150.00072</x:v>
      </x:c>
      <x:c r="Q40" t="n">
        <x:v>1.7169</x:v>
      </x:c>
      <x:c r="R40" t="n">
        <x:v>150.00006</x:v>
      </x:c>
      <x:c r="S40" t="n">
        <x:v>0.00006</x:v>
      </x:c>
      <x:c r="T40" t="n">
        <x:v>0.24437</x:v>
      </x:c>
      <x:c r="U40" t="n">
        <x:v>0.40167</x:v>
      </x:c>
      <x:c r="V40" t="n">
        <x:v>1.7169</x:v>
      </x:c>
      <x:c r="W40" t="n">
        <x:v>1.78011</x:v>
      </x:c>
      <x:c r="X40" t="n">
        <x:v>33.71</x:v>
      </x:c>
      <x:c r="Y40" t="str">
        <x:v>Z</x:v>
      </x:c>
      <x:c r="Z40" t="n">
        <x:v>0.24095</x:v>
      </x:c>
      <x:c r="AA40" t="n">
        <x:v>4.11</x:v>
      </x:c>
      <x:c r="AB40" t="n">
        <x:v>0.208</x:v>
      </x:c>
      <x:c r="AC40" t="n">
        <x:v>10.98</x:v>
      </x:c>
      <x:c r="AD40" t="n">
        <x:v>0.40261</x:v>
      </x:c>
      <x:c r="AE40" t="n">
        <x:v>-141.92</x:v>
      </x:c>
      <x:c r="AF40" t="n">
        <x:v>0.337</x:v>
      </x:c>
      <x:c r="AG40" t="n">
        <x:v>5.42</x:v>
      </x:c>
      <x:c r="AH40" t="n">
        <x:v>1.69743</x:v>
      </x:c>
      <x:c r="AI40" t="n">
        <x:v>39.31</x:v>
      </x:c>
      <x:c r="AJ40" t="n">
        <x:v>0.91</x:v>
      </x:c>
      <x:c r="AK40" t="n">
        <x:v>1</x:v>
      </x:c>
      <x:c r="AL40" t="n">
        <x:v>1.76134</x:v>
      </x:c>
      <x:c r="AM40" t="n">
        <x:v>1.04</x:v>
      </x:c>
      <x:c r="AN40" t="n">
        <x:v>0.1368</x:v>
      </x:c>
      <x:c r="AO40" t="n">
        <x:v>0.2286</x:v>
      </x:c>
      <x:c r="AP40" t="n">
        <x:v>0.9637</x:v>
      </x:c>
      <x:c r="AQ40" t="n">
        <x:v>1</x:v>
      </x:c>
      <x:c r="AR40" t="n">
        <x:v>0.2371879841878605</x:v>
      </x:c>
      <x:c r="AS40" t="n">
        <x:v>0.018714036199358044</x:v>
      </x:c>
      <x:c r="AT40" t="n">
        <x:v>0.05224956983138294</x:v>
      </x:c>
      <x:c r="AU40" t="n">
        <x:v>0.9287468440496365</x:v>
      </x:c>
      <x:c r="AV40" t="str">
        <x:v>YES</x:v>
      </x:c>
    </x:row>
    <x:row r="41">
      <x:c r="A41" t="n">
        <x:v>150</x:v>
      </x:c>
      <x:c r="B41" t="n">
        <x:v>19</x:v>
      </x:c>
      <x:c r="C41" t="n">
        <x:v>609.61548</x:v>
      </x:c>
      <x:c r="D41" t="n">
        <x:v>0.44139</x:v>
      </x:c>
      <x:c r="E41" t="n">
        <x:v>22.57</x:v>
      </x:c>
      <x:c r="F41" t="n">
        <x:v>150.00471</x:v>
      </x:c>
      <x:c r="G41" t="n">
        <x:v>0.48338</x:v>
      </x:c>
      <x:c r="H41" t="n">
        <x:v>23.54</x:v>
      </x:c>
      <x:c r="I41" t="n">
        <x:v>149.99516</x:v>
      </x:c>
      <x:c r="J41" t="n">
        <x:v>1.96115</x:v>
      </x:c>
      <x:c r="K41" t="n">
        <x:v>37.14</x:v>
      </x:c>
      <x:c r="L41" t="n">
        <x:v>149.99411</x:v>
      </x:c>
      <x:c r="M41" t="n">
        <x:v>0.28233</x:v>
      </x:c>
      <x:c r="N41" t="n">
        <x:v>150.00471</x:v>
      </x:c>
      <x:c r="O41" t="n">
        <x:v>0.48338</x:v>
      </x:c>
      <x:c r="P41" t="n">
        <x:v>149.99516</x:v>
      </x:c>
      <x:c r="Q41" t="n">
        <x:v>1.96115</x:v>
      </x:c>
      <x:c r="R41" t="n">
        <x:v>149.99568</x:v>
      </x:c>
      <x:c r="S41" t="n">
        <x:v>-0.00432</x:v>
      </x:c>
      <x:c r="T41" t="n">
        <x:v>0.28233</x:v>
      </x:c>
      <x:c r="U41" t="n">
        <x:v>0.48338</x:v>
      </x:c>
      <x:c r="V41" t="n">
        <x:v>1.96115</x:v>
      </x:c>
      <x:c r="W41" t="n">
        <x:v>2.03948</x:v>
      </x:c>
      <x:c r="X41" t="n">
        <x:v>34.93</x:v>
      </x:c>
      <x:c r="Y41" t="str">
        <x:v>Z</x:v>
      </x:c>
      <x:c r="Z41" t="n">
        <x:v>0.27908</x:v>
      </x:c>
      <x:c r="AA41" t="n">
        <x:v>1.54</x:v>
      </x:c>
      <x:c r="AB41" t="n">
        <x:v>0.246</x:v>
      </x:c>
      <x:c r="AC41" t="n">
        <x:v>6.38</x:v>
      </x:c>
      <x:c r="AD41" t="n">
        <x:v>0.48372</x:v>
      </x:c>
      <x:c r="AE41" t="n">
        <x:v>-137.79</x:v>
      </x:c>
      <x:c r="AF41" t="n">
        <x:v>0.384</x:v>
      </x:c>
      <x:c r="AG41" t="n">
        <x:v>3.06</x:v>
      </x:c>
      <x:c r="AH41" t="n">
        <x:v>1.9835</x:v>
      </x:c>
      <x:c r="AI41" t="n">
        <x:v>40.76</x:v>
      </x:c>
      <x:c r="AJ41" t="n">
        <x:v>0.922</x:v>
      </x:c>
      <x:c r="AK41" t="n">
        <x:v>1.5</x:v>
      </x:c>
      <x:c r="AL41" t="n">
        <x:v>2.06075</x:v>
      </x:c>
      <x:c r="AM41" t="n">
        <x:v>1.31</x:v>
      </x:c>
      <x:c r="AN41" t="n">
        <x:v>0.1354</x:v>
      </x:c>
      <x:c r="AO41" t="n">
        <x:v>0.2347</x:v>
      </x:c>
      <x:c r="AP41" t="n">
        <x:v>0.9625</x:v>
      </x:c>
      <x:c r="AQ41" t="n">
        <x:v>1</x:v>
      </x:c>
      <x:c r="AR41" t="n">
        <x:v>0.24387194353415678</x:v>
      </x:c>
      <x:c r="AS41" t="n">
        <x:v>0.018340315889215437</x:v>
      </x:c>
      <x:c r="AT41" t="n">
        <x:v>0.055098207641070616</x:v>
      </x:c>
      <x:c r="AU41" t="n">
        <x:v>0.9264325224779077</x:v>
      </x:c>
      <x:c r="AV41" t="str">
        <x:v>YES</x:v>
      </x:c>
    </x:row>
    <x:row r="42">
      <x:c r="A42" t="n">
        <x:v>150</x:v>
      </x:c>
      <x:c r="B42" t="n">
        <x:v>21</x:v>
      </x:c>
      <x:c r="C42" t="n">
        <x:v>149.97484</x:v>
      </x:c>
      <x:c r="D42" t="n">
        <x:v>0.32135</x:v>
      </x:c>
      <x:c r="E42" t="n">
        <x:v>21.99</x:v>
      </x:c>
      <x:c r="F42" t="n">
        <x:v>150.0101</x:v>
      </x:c>
      <x:c r="G42" t="n">
        <x:v>0.54527</x:v>
      </x:c>
      <x:c r="H42" t="n">
        <x:v>26.02</x:v>
      </x:c>
      <x:c r="I42" t="n">
        <x:v>150.00004</x:v>
      </x:c>
      <x:c r="J42" t="n">
        <x:v>2.21818</x:v>
      </x:c>
      <x:c r="K42" t="n">
        <x:v>38.21</x:v>
      </x:c>
      <x:c r="L42" t="n">
        <x:v>149.97484</x:v>
      </x:c>
      <x:c r="M42" t="n">
        <x:v>0.32135</x:v>
      </x:c>
      <x:c r="N42" t="n">
        <x:v>150.0101</x:v>
      </x:c>
      <x:c r="O42" t="n">
        <x:v>0.54527</x:v>
      </x:c>
      <x:c r="P42" t="n">
        <x:v>150.00004</x:v>
      </x:c>
      <x:c r="Q42" t="n">
        <x:v>2.21818</x:v>
      </x:c>
      <x:c r="R42" t="n">
        <x:v>150.00011</x:v>
      </x:c>
      <x:c r="S42" t="n">
        <x:v>0.00011</x:v>
      </x:c>
      <x:c r="T42" t="n">
        <x:v>0.32135</x:v>
      </x:c>
      <x:c r="U42" t="n">
        <x:v>0.54527</x:v>
      </x:c>
      <x:c r="V42" t="n">
        <x:v>2.21818</x:v>
      </x:c>
      <x:c r="W42" t="n">
        <x:v>2.30671</x:v>
      </x:c>
      <x:c r="X42" t="n">
        <x:v>41.49</x:v>
      </x:c>
      <x:c r="Y42" t="str">
        <x:v>Z</x:v>
      </x:c>
      <x:c r="Z42" t="n">
        <x:v>0.32132</x:v>
      </x:c>
      <x:c r="AA42" t="n">
        <x:v>3.28</x:v>
      </x:c>
      <x:c r="AB42" t="n">
        <x:v>0.328</x:v>
      </x:c>
      <x:c r="AC42" t="n">
        <x:v>9.19</x:v>
      </x:c>
      <x:c r="AD42" t="n">
        <x:v>0.54785</x:v>
      </x:c>
      <x:c r="AE42" t="n">
        <x:v>-138.23</x:v>
      </x:c>
      <x:c r="AF42" t="n">
        <x:v>0.441</x:v>
      </x:c>
      <x:c r="AG42" t="n">
        <x:v>2.62</x:v>
      </x:c>
      <x:c r="AH42" t="n">
        <x:v>2.21698</x:v>
      </x:c>
      <x:c r="AI42" t="n">
        <x:v>41.46</x:v>
      </x:c>
      <x:c r="AJ42" t="n">
        <x:v>0.912</x:v>
      </x:c>
      <x:c r="AK42" t="n">
        <x:v>1.04</x:v>
      </x:c>
      <x:c r="AL42" t="n">
        <x:v>2.30636</x:v>
      </x:c>
      <x:c r="AM42" t="n">
        <x:v>0.92</x:v>
      </x:c>
      <x:c r="AN42" t="n">
        <x:v>0.1393</x:v>
      </x:c>
      <x:c r="AO42" t="n">
        <x:v>0.2375</x:v>
      </x:c>
      <x:c r="AP42" t="n">
        <x:v>0.9612</x:v>
      </x:c>
      <x:c r="AQ42" t="n">
        <x:v>1</x:v>
      </x:c>
      <x:c r="AR42" t="n">
        <x:v>0.24711544533554652</x:v>
      </x:c>
      <x:c r="AS42" t="n">
        <x:v>0.01940981168811599</x:v>
      </x:c>
      <x:c r="AT42" t="n">
        <x:v>0.0564246842310452</x:v>
      </x:c>
      <x:c r="AU42" t="n">
        <x:v>0.9239944355366012</x:v>
      </x:c>
      <x:c r="AV42" t="str">
        <x:v>YES</x:v>
      </x:c>
    </x:row>
    <x:row r="43">
      <x:c r="A43" t="n">
        <x:v>150</x:v>
      </x:c>
      <x:c r="B43" t="n">
        <x:v>23</x:v>
      </x:c>
      <x:c r="C43" t="n">
        <x:v>609.70318</x:v>
      </x:c>
      <x:c r="D43" t="n">
        <x:v>0.38551</x:v>
      </x:c>
      <x:c r="E43" t="n">
        <x:v>22.94</x:v>
      </x:c>
      <x:c r="F43" t="n">
        <x:v>149.9992</x:v>
      </x:c>
      <x:c r="G43" t="n">
        <x:v>0.60803</x:v>
      </x:c>
      <x:c r="H43" t="n">
        <x:v>27.54</x:v>
      </x:c>
      <x:c r="I43" t="n">
        <x:v>149.9948</x:v>
      </x:c>
      <x:c r="J43" t="n">
        <x:v>2.45022</x:v>
      </x:c>
      <x:c r="K43" t="n">
        <x:v>38.7</x:v>
      </x:c>
      <x:c r="L43" t="n">
        <x:v>149.99953</x:v>
      </x:c>
      <x:c r="M43" t="n">
        <x:v>0.36127</x:v>
      </x:c>
      <x:c r="N43" t="n">
        <x:v>149.9992</x:v>
      </x:c>
      <x:c r="O43" t="n">
        <x:v>0.60803</x:v>
      </x:c>
      <x:c r="P43" t="n">
        <x:v>149.9948</x:v>
      </x:c>
      <x:c r="Q43" t="n">
        <x:v>2.45022</x:v>
      </x:c>
      <x:c r="R43" t="n">
        <x:v>149.99514</x:v>
      </x:c>
      <x:c r="S43" t="n">
        <x:v>-0.00486</x:v>
      </x:c>
      <x:c r="T43" t="n">
        <x:v>0.36127</x:v>
      </x:c>
      <x:c r="U43" t="n">
        <x:v>0.60803</x:v>
      </x:c>
      <x:c r="V43" t="n">
        <x:v>2.45022</x:v>
      </x:c>
      <x:c r="W43" t="n">
        <x:v>2.55025</x:v>
      </x:c>
      <x:c r="X43" t="n">
        <x:v>44.17</x:v>
      </x:c>
      <x:c r="Y43" t="str">
        <x:v>Z</x:v>
      </x:c>
      <x:c r="Z43" t="n">
        <x:v>0.35122</x:v>
      </x:c>
      <x:c r="AA43" t="n">
        <x:v>5.35</x:v>
      </x:c>
      <x:c r="AB43" t="n">
        <x:v>0.34</x:v>
      </x:c>
      <x:c r="AC43" t="n">
        <x:v>9.02</x:v>
      </x:c>
      <x:c r="AD43" t="n">
        <x:v>0.61647</x:v>
      </x:c>
      <x:c r="AE43" t="n">
        <x:v>-135.43</x:v>
      </x:c>
      <x:c r="AF43" t="n">
        <x:v>0.512</x:v>
      </x:c>
      <x:c r="AG43" t="n">
        <x:v>1.4</x:v>
      </x:c>
      <x:c r="AH43" t="n">
        <x:v>2.44814</x:v>
      </x:c>
      <x:c r="AI43" t="n">
        <x:v>42.9</x:v>
      </x:c>
      <x:c r="AJ43" t="n">
        <x:v>0.925</x:v>
      </x:c>
      <x:c r="AK43" t="n">
        <x:v>0.49</x:v>
      </x:c>
      <x:c r="AL43" t="n">
        <x:v>2.54905</x:v>
      </x:c>
      <x:c r="AM43" t="n">
        <x:v>0.42</x:v>
      </x:c>
      <x:c r="AN43" t="n">
        <x:v>0.1378</x:v>
      </x:c>
      <x:c r="AO43" t="n">
        <x:v>0.2418</x:v>
      </x:c>
      <x:c r="AP43" t="n">
        <x:v>0.9604</x:v>
      </x:c>
      <x:c r="AQ43" t="n">
        <x:v>1</x:v>
      </x:c>
      <x:c r="AR43" t="n">
        <x:v>0.2518115794031387</x:v>
      </x:c>
      <x:c r="AS43" t="n">
        <x:v>0.018984613874757274</x:v>
      </x:c>
      <x:c r="AT43" t="n">
        <x:v>0.05848805578543793</x:v>
      </x:c>
      <x:c r="AU43" t="n">
        <x:v>0.9223925596450898</x:v>
      </x:c>
      <x:c r="AV43" t="str">
        <x:v>YES</x:v>
      </x:c>
    </x:row>
    <x:row r="44">
      <x:c r="A44" t="n">
        <x:v>150</x:v>
      </x:c>
      <x:c r="B44" t="n">
        <x:v>25</x:v>
      </x:c>
      <x:c r="C44" t="n">
        <x:v>149.98643</x:v>
      </x:c>
      <x:c r="D44" t="n">
        <x:v>0.41373</x:v>
      </x:c>
      <x:c r="E44" t="n">
        <x:v>24.52</x:v>
      </x:c>
      <x:c r="F44" t="n">
        <x:v>150.00766</x:v>
      </x:c>
      <x:c r="G44" t="n">
        <x:v>0.67678</x:v>
      </x:c>
      <x:c r="H44" t="n">
        <x:v>28.68</x:v>
      </x:c>
      <x:c r="I44" t="n">
        <x:v>150.00398</x:v>
      </x:c>
      <x:c r="J44" t="n">
        <x:v>2.71077</x:v>
      </x:c>
      <x:c r="K44" t="n">
        <x:v>39.18</x:v>
      </x:c>
      <x:c r="L44" t="n">
        <x:v>149.98643</x:v>
      </x:c>
      <x:c r="M44" t="n">
        <x:v>0.41373</x:v>
      </x:c>
      <x:c r="N44" t="n">
        <x:v>150.00766</x:v>
      </x:c>
      <x:c r="O44" t="n">
        <x:v>0.67678</x:v>
      </x:c>
      <x:c r="P44" t="n">
        <x:v>150.00398</x:v>
      </x:c>
      <x:c r="Q44" t="n">
        <x:v>2.71077</x:v>
      </x:c>
      <x:c r="R44" t="n">
        <x:v>150.00381</x:v>
      </x:c>
      <x:c r="S44" t="n">
        <x:v>0.00381</x:v>
      </x:c>
      <x:c r="T44" t="n">
        <x:v>0.41373</x:v>
      </x:c>
      <x:c r="U44" t="n">
        <x:v>0.67678</x:v>
      </x:c>
      <x:c r="V44" t="n">
        <x:v>2.71077</x:v>
      </x:c>
      <x:c r="W44" t="n">
        <x:v>2.82445</x:v>
      </x:c>
      <x:c r="X44" t="n">
        <x:v>43.34</x:v>
      </x:c>
      <x:c r="Y44" t="str">
        <x:v>Z</x:v>
      </x:c>
      <x:c r="Z44" t="n">
        <x:v>0.40717</x:v>
      </x:c>
      <x:c r="AA44" t="n">
        <x:v>5.92</x:v>
      </x:c>
      <x:c r="AB44" t="n">
        <x:v>0.415</x:v>
      </x:c>
      <x:c r="AC44" t="n">
        <x:v>7.22</x:v>
      </x:c>
      <x:c r="AD44" t="n">
        <x:v>0.68815</x:v>
      </x:c>
      <x:c r="AE44" t="n">
        <x:v>-134.89</x:v>
      </x:c>
      <x:c r="AF44" t="n">
        <x:v>0.547</x:v>
      </x:c>
      <x:c r="AG44" t="n">
        <x:v>3</x:v>
      </x:c>
      <x:c r="AH44" t="n">
        <x:v>2.70623</x:v>
      </x:c>
      <x:c r="AI44" t="n">
        <x:v>43.43</x:v>
      </x:c>
      <x:c r="AJ44" t="n">
        <x:v>0.926</x:v>
      </x:c>
      <x:c r="AK44" t="n">
        <x:v>0.98</x:v>
      </x:c>
      <x:c r="AL44" t="n">
        <x:v>2.82207</x:v>
      </x:c>
      <x:c r="AM44" t="n">
        <x:v>0.91</x:v>
      </x:c>
      <x:c r="AN44" t="n">
        <x:v>0.1443</x:v>
      </x:c>
      <x:c r="AO44" t="n">
        <x:v>0.2438</x:v>
      </x:c>
      <x:c r="AP44" t="n">
        <x:v>0.959</x:v>
      </x:c>
      <x:c r="AQ44" t="n">
        <x:v>1</x:v>
      </x:c>
      <x:c r="AR44" t="n">
        <x:v>0.2542836344287071</x:v>
      </x:c>
      <x:c r="AS44" t="n">
        <x:v>0.020816896358341684</x:v>
      </x:c>
      <x:c r="AT44" t="n">
        <x:v>0.059460788554681475</x:v>
      </x:c>
      <x:c r="AU44" t="n">
        <x:v>0.919589162140014</x:v>
      </x:c>
      <x:c r="AV44" t="str">
        <x:v>YES</x:v>
      </x:c>
    </x:row>
    <x:row r="45">
      <x:c r="A45" t="n">
        <x:v>150</x:v>
      </x:c>
      <x:c r="B45" t="n">
        <x:v>27</x:v>
      </x:c>
      <x:c r="C45" t="n">
        <x:v>150.01123</x:v>
      </x:c>
      <x:c r="D45" t="n">
        <x:v>0.42536</x:v>
      </x:c>
      <x:c r="E45" t="n">
        <x:v>24.64</x:v>
      </x:c>
      <x:c r="F45" t="n">
        <x:v>150.00654</x:v>
      </x:c>
      <x:c r="G45" t="n">
        <x:v>0.76239</x:v>
      </x:c>
      <x:c r="H45" t="n">
        <x:v>28.31</x:v>
      </x:c>
      <x:c r="I45" t="n">
        <x:v>149.99713</x:v>
      </x:c>
      <x:c r="J45" t="n">
        <x:v>2.94745</x:v>
      </x:c>
      <x:c r="K45" t="n">
        <x:v>38.56</x:v>
      </x:c>
      <x:c r="L45" t="n">
        <x:v>150.01123</x:v>
      </x:c>
      <x:c r="M45" t="n">
        <x:v>0.42536</x:v>
      </x:c>
      <x:c r="N45" t="n">
        <x:v>150.00654</x:v>
      </x:c>
      <x:c r="O45" t="n">
        <x:v>0.76239</x:v>
      </x:c>
      <x:c r="P45" t="n">
        <x:v>149.99713</x:v>
      </x:c>
      <x:c r="Q45" t="n">
        <x:v>2.94745</x:v>
      </x:c>
      <x:c r="R45" t="n">
        <x:v>149.99797</x:v>
      </x:c>
      <x:c r="S45" t="n">
        <x:v>-0.00203</x:v>
      </x:c>
      <x:c r="T45" t="n">
        <x:v>0.42536</x:v>
      </x:c>
      <x:c r="U45" t="n">
        <x:v>0.76239</x:v>
      </x:c>
      <x:c r="V45" t="n">
        <x:v>2.94745</x:v>
      </x:c>
      <x:c r="W45" t="n">
        <x:v>3.07402</x:v>
      </x:c>
      <x:c r="X45" t="n">
        <x:v>40.9</x:v>
      </x:c>
      <x:c r="Y45" t="str">
        <x:v>Z</x:v>
      </x:c>
      <x:c r="Z45" t="n">
        <x:v>0.42995</x:v>
      </x:c>
      <x:c r="AA45" t="n">
        <x:v>6.29</x:v>
      </x:c>
      <x:c r="AB45" t="n">
        <x:v>0.448</x:v>
      </x:c>
      <x:c r="AC45" t="n">
        <x:v>1.45</x:v>
      </x:c>
      <x:c r="AD45" t="n">
        <x:v>0.77291</x:v>
      </x:c>
      <x:c r="AE45" t="n">
        <x:v>-135.27</x:v>
      </x:c>
      <x:c r="AF45" t="n">
        <x:v>0.589</x:v>
      </x:c>
      <x:c r="AG45" t="n">
        <x:v>3.34</x:v>
      </x:c>
      <x:c r="AH45" t="n">
        <x:v>2.96244</x:v>
      </x:c>
      <x:c r="AI45" t="n">
        <x:v>43.33</x:v>
      </x:c>
      <x:c r="AJ45" t="n">
        <x:v>0.913</x:v>
      </x:c>
      <x:c r="AK45" t="n">
        <x:v>0.22</x:v>
      </x:c>
      <x:c r="AL45" t="n">
        <x:v>3.09174</x:v>
      </x:c>
      <x:c r="AM45" t="n">
        <x:v>0.27</x:v>
      </x:c>
      <x:c r="AN45" t="n">
        <x:v>0.1391</x:v>
      </x:c>
      <x:c r="AO45" t="n">
        <x:v>0.25</x:v>
      </x:c>
      <x:c r="AP45" t="n">
        <x:v>0.9582</x:v>
      </x:c>
      <x:c r="AQ45" t="n">
        <x:v>1</x:v>
      </x:c>
      <x:c r="AR45" t="n">
        <x:v>0.26090317441028343</x:v>
      </x:c>
      <x:c r="AS45" t="n">
        <x:v>0.019338820262433547</x:v>
      </x:c>
      <x:c r="AT45" t="n">
        <x:v>0.06249595703459912</x:v>
      </x:c>
      <x:c r="AU45" t="n">
        <x:v>0.9181067843933306</x:v>
      </x:c>
      <x:c r="AV45" t="str">
        <x:v>YES</x:v>
      </x:c>
    </x:row>
    <x:row r="46">
      <x:c r="A46" t="n">
        <x:v>150</x:v>
      </x:c>
      <x:c r="B46" t="n">
        <x:v>29</x:v>
      </x:c>
      <x:c r="C46" t="n">
        <x:v>150.00646</x:v>
      </x:c>
      <x:c r="D46" t="n">
        <x:v>0.48224</x:v>
      </x:c>
      <x:c r="E46" t="n">
        <x:v>24.49</x:v>
      </x:c>
      <x:c r="F46" t="n">
        <x:v>150.00269</x:v>
      </x:c>
      <x:c r="G46" t="n">
        <x:v>0.82591</x:v>
      </x:c>
      <x:c r="H46" t="n">
        <x:v>29.32</x:v>
      </x:c>
      <x:c r="I46" t="n">
        <x:v>150.00311</x:v>
      </x:c>
      <x:c r="J46" t="n">
        <x:v>3.21083</x:v>
      </x:c>
      <x:c r="K46" t="n">
        <x:v>39.54</x:v>
      </x:c>
      <x:c r="L46" t="n">
        <x:v>150.00646</x:v>
      </x:c>
      <x:c r="M46" t="n">
        <x:v>0.48224</x:v>
      </x:c>
      <x:c r="N46" t="n">
        <x:v>150.00269</x:v>
      </x:c>
      <x:c r="O46" t="n">
        <x:v>0.82591</x:v>
      </x:c>
      <x:c r="P46" t="n">
        <x:v>150.00311</x:v>
      </x:c>
      <x:c r="Q46" t="n">
        <x:v>3.21083</x:v>
      </x:c>
      <x:c r="R46" t="n">
        <x:v>150.00315</x:v>
      </x:c>
      <x:c r="S46" t="n">
        <x:v>0.00315</x:v>
      </x:c>
      <x:c r="T46" t="n">
        <x:v>0.48224</x:v>
      </x:c>
      <x:c r="U46" t="n">
        <x:v>0.82591</x:v>
      </x:c>
      <x:c r="V46" t="n">
        <x:v>3.21083</x:v>
      </x:c>
      <x:c r="W46" t="n">
        <x:v>3.35024</x:v>
      </x:c>
      <x:c r="X46" t="n">
        <x:v>43.75</x:v>
      </x:c>
      <x:c r="Y46" t="str">
        <x:v>Z</x:v>
      </x:c>
      <x:c r="Z46" t="n">
        <x:v>0.4393</x:v>
      </x:c>
      <x:c r="AA46" t="n">
        <x:v>9.58</x:v>
      </x:c>
      <x:c r="AB46" t="n">
        <x:v>0.383</x:v>
      </x:c>
      <x:c r="AC46" t="n">
        <x:v>7.91</x:v>
      </x:c>
      <x:c r="AD46" t="n">
        <x:v>0.87493</x:v>
      </x:c>
      <x:c r="AE46" t="n">
        <x:v>-131.71</x:v>
      </x:c>
      <x:c r="AF46" t="n">
        <x:v>0.606</x:v>
      </x:c>
      <x:c r="AG46" t="n">
        <x:v>2.38</x:v>
      </x:c>
      <x:c r="AH46" t="n">
        <x:v>3.28108</x:v>
      </x:c>
      <x:c r="AI46" t="n">
        <x:v>45.64</x:v>
      </x:c>
      <x:c r="AJ46" t="n">
        <x:v>0.946</x:v>
      </x:c>
      <x:c r="AK46" t="n">
        <x:v>0.53</x:v>
      </x:c>
      <x:c r="AL46" t="n">
        <x:v>3.42422</x:v>
      </x:c>
      <x:c r="AM46" t="n">
        <x:v>0.47</x:v>
      </x:c>
      <x:c r="AN46" t="n">
        <x:v>0.1283</x:v>
      </x:c>
      <x:c r="AO46" t="n">
        <x:v>0.2555</x:v>
      </x:c>
      <x:c r="AP46" t="n">
        <x:v>0.9582</x:v>
      </x:c>
      <x:c r="AQ46" t="n">
        <x:v>1</x:v>
      </x:c>
      <x:c r="AR46" t="n">
        <x:v>0.266659148816853</x:v>
      </x:c>
      <x:c r="AS46" t="n">
        <x:v>0.016458834848189142</x:v>
      </x:c>
      <x:c r="AT46" t="n">
        <x:v>0.0652864865151816</x:v>
      </x:c>
      <x:c r="AU46" t="n">
        <x:v>0.9181429843479935</x:v>
      </x:c>
      <x:c r="AV46" t="str">
        <x:v>YES</x:v>
      </x:c>
    </x:row>
    <x:row r="47">
      <x:c r="A47" t="n">
        <x:v>175</x:v>
      </x:c>
      <x:c r="B47" t="n">
        <x:v>1</x:v>
      </x:c>
      <x:c r="C47" t="n">
        <x:v>170.09058</x:v>
      </x:c>
      <x:c r="D47" t="n">
        <x:v>0.25886</x:v>
      </x:c>
      <x:c r="E47" t="n">
        <x:v>23.59</x:v>
      </x:c>
      <x:c r="F47" t="n">
        <x:v>350.01537</x:v>
      </x:c>
      <x:c r="G47" t="n">
        <x:v>0.19696</x:v>
      </x:c>
      <x:c r="H47" t="n">
        <x:v>20.8</x:v>
      </x:c>
      <x:c r="I47" t="n">
        <x:v>700.0342</x:v>
      </x:c>
      <x:c r="J47" t="n">
        <x:v>0.16685</x:v>
      </x:c>
      <x:c r="K47" t="n">
        <x:v>20.33</x:v>
      </x:c>
      <x:c r="L47" t="n">
        <x:v>170.09058</x:v>
      </x:c>
      <x:c r="M47" t="n">
        <x:v>0.25886</x:v>
      </x:c>
      <x:c r="N47" t="n">
        <x:v>170.22755</x:v>
      </x:c>
      <x:c r="O47" t="n">
        <x:v>0.10773</x:v>
      </x:c>
      <x:c r="P47" t="n">
        <x:v>170.01539</x:v>
      </x:c>
      <x:c r="Q47" t="n">
        <x:v>0.05212</x:v>
      </x:c>
      <x:c r="R47" t="n">
        <x:v>170.1079</x:v>
      </x:c>
      <x:c r="S47" t="n">
        <x:v>-4.8921</x:v>
      </x:c>
      <x:c r="T47" t="n">
        <x:v>0.25886</x:v>
      </x:c>
      <x:c r="U47" t="n">
        <x:v>0.10773</x:v>
      </x:c>
      <x:c r="V47" t="n">
        <x:v>0.05212</x:v>
      </x:c>
      <x:c r="W47" t="n">
        <x:v>0.28519</x:v>
      </x:c>
      <x:c r="X47" t="n">
        <x:v>9.29</x:v>
      </x:c>
      <x:c r="Y47" t="str">
        <x:v>X</x:v>
      </x:c>
      <x:c r="Z47" t="n">
        <x:v>0.01948</x:v>
      </x:c>
      <x:c r="AA47" t="n">
        <x:v>67.65</x:v>
      </x:c>
      <x:c r="AB47" t="n">
        <x:v>0.031</x:v>
      </x:c>
      <x:c r="AC47" t="n">
        <x:v>48.51</x:v>
      </x:c>
      <x:c r="AD47" t="n">
        <x:v>0.02791</x:v>
      </x:c>
      <x:c r="AE47" t="n">
        <x:v>-51.87</x:v>
      </x:c>
      <x:c r="AF47" t="n">
        <x:v>0.048</x:v>
      </x:c>
      <x:c r="AG47" t="n">
        <x:v>55.69</x:v>
      </x:c>
      <x:c r="AH47" t="n">
        <x:v>0.02111</x:v>
      </x:c>
      <x:c r="AI47" t="n">
        <x:v>135.32</x:v>
      </x:c>
      <x:c r="AJ47" t="n">
        <x:v>0.044</x:v>
      </x:c>
      <x:c r="AK47" t="n">
        <x:v>58.66</x:v>
      </x:c>
      <x:c r="AL47" t="n">
        <x:v>0.04394</x:v>
      </x:c>
      <x:c r="AM47" t="n">
        <x:v>19.65</x:v>
      </x:c>
      <x:c r="AN47" t="n">
        <x:v>0.4432</x:v>
      </x:c>
      <x:c r="AO47" t="n">
        <x:v>0.635</x:v>
      </x:c>
      <x:c r="AP47" t="n">
        <x:v>0.4803</x:v>
      </x:c>
      <x:c r="AQ47" t="n">
        <x:v>0</x:v>
      </x:c>
      <x:c r="AR47" t="n">
        <x:v>1.3221222169587874</x:v>
      </x:c>
      <x:c r="AS47" t="n">
        <x:v>0.19654309917794555</x:v>
      </x:c>
      <x:c r="AT47" t="n">
        <x:v>0.4034591486839442</x:v>
      </x:c>
      <x:c r="AU47" t="n">
        <x:v>0.23081092498170117</x:v>
      </x:c>
      <x:c r="AV47" t="str">
        <x:v>NO</x:v>
      </x:c>
    </x:row>
    <x:row r="48">
      <x:c r="A48" t="n">
        <x:v>175</x:v>
      </x:c>
      <x:c r="B48" t="n">
        <x:v>3</x:v>
      </x:c>
      <x:c r="C48" t="n">
        <x:v>184.60746</x:v>
      </x:c>
      <x:c r="D48" t="n">
        <x:v>0.42545</x:v>
      </x:c>
      <x:c r="E48" t="n">
        <x:v>23.09</x:v>
      </x:c>
      <x:c r="F48" t="n">
        <x:v>184.64478</x:v>
      </x:c>
      <x:c r="G48" t="n">
        <x:v>0.30395</x:v>
      </x:c>
      <x:c r="H48" t="n">
        <x:v>20.4</x:v>
      </x:c>
      <x:c r="I48" t="n">
        <x:v>525.01018</x:v>
      </x:c>
      <x:c r="J48" t="n">
        <x:v>0.14182</x:v>
      </x:c>
      <x:c r="K48" t="n">
        <x:v>17.74</x:v>
      </x:c>
      <x:c r="L48" t="n">
        <x:v>170.20657</x:v>
      </x:c>
      <x:c r="M48" t="n">
        <x:v>0.31827</x:v>
      </x:c>
      <x:c r="N48" t="n">
        <x:v>170.13465</x:v>
      </x:c>
      <x:c r="O48" t="n">
        <x:v>0.1227</x:v>
      </x:c>
      <x:c r="P48" t="n">
        <x:v>170.07838</x:v>
      </x:c>
      <x:c r="Q48" t="n">
        <x:v>0.06265</x:v>
      </x:c>
      <x:c r="R48" t="n">
        <x:v>170.19342</x:v>
      </x:c>
      <x:c r="S48" t="n">
        <x:v>-4.80658</x:v>
      </x:c>
      <x:c r="T48" t="n">
        <x:v>0.31827</x:v>
      </x:c>
      <x:c r="U48" t="n">
        <x:v>0.1227</x:v>
      </x:c>
      <x:c r="V48" t="n">
        <x:v>0.06265</x:v>
      </x:c>
      <x:c r="W48" t="n">
        <x:v>0.34681</x:v>
      </x:c>
      <x:c r="X48" t="n">
        <x:v>8.88</x:v>
      </x:c>
      <x:c r="Y48" t="str">
        <x:v>X</x:v>
      </x:c>
      <x:c r="Z48" t="n">
        <x:v>0.04846</x:v>
      </x:c>
      <x:c r="AA48" t="n">
        <x:v>74.88</x:v>
      </x:c>
      <x:c r="AB48" t="n">
        <x:v>0.047</x:v>
      </x:c>
      <x:c r="AC48" t="n">
        <x:v>52.94</x:v>
      </x:c>
      <x:c r="AD48" t="n">
        <x:v>0.04142</x:v>
      </x:c>
      <x:c r="AE48" t="n">
        <x:v>69.32</x:v>
      </x:c>
      <x:c r="AF48" t="n">
        <x:v>0.046</x:v>
      </x:c>
      <x:c r="AG48" t="n">
        <x:v>33.97</x:v>
      </x:c>
      <x:c r="AH48" t="n">
        <x:v>0.06053</x:v>
      </x:c>
      <x:c r="AI48" t="n">
        <x:v>53.77</x:v>
      </x:c>
      <x:c r="AJ48" t="n">
        <x:v>0.127</x:v>
      </x:c>
      <x:c r="AK48" t="n">
        <x:v>26.91</x:v>
      </x:c>
      <x:c r="AL48" t="n">
        <x:v>0.09119</x:v>
      </x:c>
      <x:c r="AM48" t="n">
        <x:v>21.53</x:v>
      </x:c>
      <x:c r="AN48" t="n">
        <x:v>0.5314</x:v>
      </x:c>
      <x:c r="AO48" t="n">
        <x:v>0.4542</x:v>
      </x:c>
      <x:c r="AP48" t="n">
        <x:v>0.6638</x:v>
      </x:c>
      <x:c r="AQ48" t="n">
        <x:v>0</x:v>
      </x:c>
      <x:c r="AR48" t="n">
        <x:v>0.6842887824219395</x:v>
      </x:c>
      <x:c r="AS48" t="n">
        <x:v>0.28240500424256004</x:v>
      </x:c>
      <x:c r="AT48" t="n">
        <x:v>0.20631260262243226</x:v>
      </x:c>
      <x:c r="AU48" t="n">
        <x:v>0.44060245878835125</x:v>
      </x:c>
      <x:c r="AV48" t="str">
        <x:v>NO</x:v>
      </x:c>
    </x:row>
    <x:row r="49">
      <x:c r="A49" t="n">
        <x:v>175</x:v>
      </x:c>
      <x:c r="B49" t="n">
        <x:v>5</x:v>
      </x:c>
      <x:c r="C49" t="n">
        <x:v>184.60177</x:v>
      </x:c>
      <x:c r="D49" t="n">
        <x:v>0.49776</x:v>
      </x:c>
      <x:c r="E49" t="n">
        <x:v>24.22</x:v>
      </x:c>
      <x:c r="F49" t="n">
        <x:v>714.37238</x:v>
      </x:c>
      <x:c r="G49" t="n">
        <x:v>0.48736</x:v>
      </x:c>
      <x:c r="H49" t="n">
        <x:v>23.02</x:v>
      </x:c>
      <x:c r="I49" t="n">
        <x:v>524.96477</x:v>
      </x:c>
      <x:c r="J49" t="n">
        <x:v>0.21192</x:v>
      </x:c>
      <x:c r="K49" t="n">
        <x:v>20.53</x:v>
      </x:c>
      <x:c r="L49" t="n">
        <x:v>170.18403</x:v>
      </x:c>
      <x:c r="M49" t="n">
        <x:v>0.2639</x:v>
      </x:c>
      <x:c r="N49" t="n">
        <x:v>182.03125</x:v>
      </x:c>
      <x:c r="O49" t="n">
        <x:v>0.1014</x:v>
      </x:c>
      <x:c r="P49" t="n">
        <x:v>174.93483</x:v>
      </x:c>
      <x:c r="Q49" t="n">
        <x:v>0.15462</x:v>
      </x:c>
      <x:c r="R49" t="n">
        <x:v>170.18996</x:v>
      </x:c>
      <x:c r="S49" t="n">
        <x:v>-4.81004</x:v>
      </x:c>
      <x:c r="T49" t="n">
        <x:v>0.2639</x:v>
      </x:c>
      <x:c r="U49" t="n">
        <x:v>0.08921</x:v>
      </x:c>
      <x:c r="V49" t="n">
        <x:v>0.06065</x:v>
      </x:c>
      <x:c r="W49" t="n">
        <x:v>0.2851</x:v>
      </x:c>
      <x:c r="X49" t="n">
        <x:v>6.68</x:v>
      </x:c>
      <x:c r="Y49" t="str">
        <x:v>X</x:v>
      </x:c>
      <x:c r="Z49" t="n">
        <x:v>0.05802</x:v>
      </x:c>
      <x:c r="AA49" t="n">
        <x:v>44.52</x:v>
      </x:c>
      <x:c r="AB49" t="n">
        <x:v>0.057</x:v>
      </x:c>
      <x:c r="AC49" t="n">
        <x:v>35.37</x:v>
      </x:c>
      <x:c r="AD49" t="n">
        <x:v>0.05438</x:v>
      </x:c>
      <x:c r="AE49" t="n">
        <x:v>38.2</x:v>
      </x:c>
      <x:c r="AF49" t="n">
        <x:v>0.045</x:v>
      </x:c>
      <x:c r="AG49" t="n">
        <x:v>39.86</x:v>
      </x:c>
      <x:c r="AH49" t="n">
        <x:v>0.12789</x:v>
      </x:c>
      <x:c r="AI49" t="n">
        <x:v>32.42</x:v>
      </x:c>
      <x:c r="AJ49" t="n">
        <x:v>0.237</x:v>
      </x:c>
      <x:c r="AK49" t="n">
        <x:v>12.78</x:v>
      </x:c>
      <x:c r="AL49" t="n">
        <x:v>0.15203</x:v>
      </x:c>
      <x:c r="AM49" t="n">
        <x:v>16.28</x:v>
      </x:c>
      <x:c r="AN49" t="n">
        <x:v>0.3816</x:v>
      </x:c>
      <x:c r="AO49" t="n">
        <x:v>0.3577</x:v>
      </x:c>
      <x:c r="AP49" t="n">
        <x:v>0.8412</x:v>
      </x:c>
      <x:c r="AQ49" t="n">
        <x:v>0</x:v>
      </x:c>
      <x:c r="AR49" t="n">
        <x:v>0.42520916412542026</x:v>
      </x:c>
      <x:c r="AS49" t="n">
        <x:v>0.14564542861020557</x:v>
      </x:c>
      <x:c r="AT49" t="n">
        <x:v>0.1279439679649666</x:v>
      </x:c>
      <x:c r="AU49" t="n">
        <x:v>0.7076436008258843</x:v>
      </x:c>
      <x:c r="AV49" t="str">
        <x:v>NO</x:v>
      </x:c>
    </x:row>
    <x:row r="50">
      <x:c r="A50" t="n">
        <x:v>175</x:v>
      </x:c>
      <x:c r="B50" t="n">
        <x:v>7</x:v>
      </x:c>
      <x:c r="C50" t="n">
        <x:v>334.70056</x:v>
      </x:c>
      <x:c r="D50" t="n">
        <x:v>0.30635</x:v>
      </x:c>
      <x:c r="E50" t="n">
        <x:v>20.32</x:v>
      </x:c>
      <x:c r="F50" t="n">
        <x:v>715.09109</x:v>
      </x:c>
      <x:c r="G50" t="n">
        <x:v>0.3206</x:v>
      </x:c>
      <x:c r="H50" t="n">
        <x:v>20.41</x:v>
      </x:c>
      <x:c r="I50" t="n">
        <x:v>524.99631</x:v>
      </x:c>
      <x:c r="J50" t="n">
        <x:v>0.50034</x:v>
      </x:c>
      <x:c r="K50" t="n">
        <x:v>27.09</x:v>
      </x:c>
      <x:c r="L50" t="n">
        <x:v>170.14969</x:v>
      </x:c>
      <x:c r="M50" t="n">
        <x:v>0.185</x:v>
      </x:c>
      <x:c r="N50" t="n">
        <x:v>180.32751</x:v>
      </x:c>
      <x:c r="O50" t="n">
        <x:v>0.07579</x:v>
      </x:c>
      <x:c r="P50" t="n">
        <x:v>174.99562</x:v>
      </x:c>
      <x:c r="Q50" t="n">
        <x:v>0.30944</x:v>
      </x:c>
      <x:c r="R50" t="n">
        <x:v>174.99778</x:v>
      </x:c>
      <x:c r="S50" t="n">
        <x:v>-0.00222</x:v>
      </x:c>
      <x:c r="T50" t="n">
        <x:v>0.05903</x:v>
      </x:c>
      <x:c r="U50" t="n">
        <x:v>0.04388</x:v>
      </x:c>
      <x:c r="V50" t="n">
        <x:v>0.30944</x:v>
      </x:c>
      <x:c r="W50" t="n">
        <x:v>0.31806</x:v>
      </x:c>
      <x:c r="X50" t="n">
        <x:v>12.34</x:v>
      </x:c>
      <x:c r="Y50" t="str">
        <x:v>Z</x:v>
      </x:c>
      <x:c r="Z50" t="n">
        <x:v>0.06698</x:v>
      </x:c>
      <x:c r="AA50" t="n">
        <x:v>-21.75</x:v>
      </x:c>
      <x:c r="AB50" t="n">
        <x:v>0.07</x:v>
      </x:c>
      <x:c r="AC50" t="n">
        <x:v>8.41</x:v>
      </x:c>
      <x:c r="AD50" t="n">
        <x:v>0.06259</x:v>
      </x:c>
      <x:c r="AE50" t="n">
        <x:v>41.11</x:v>
      </x:c>
      <x:c r="AF50" t="n">
        <x:v>0.066</x:v>
      </x:c>
      <x:c r="AG50" t="n">
        <x:v>20.07</x:v>
      </x:c>
      <x:c r="AH50" t="n">
        <x:v>0.31253</x:v>
      </x:c>
      <x:c r="AI50" t="n">
        <x:v>16.57</x:v>
      </x:c>
      <x:c r="AJ50" t="n">
        <x:v>0.39</x:v>
      </x:c>
      <x:c r="AK50" t="n">
        <x:v>3.17</x:v>
      </x:c>
      <x:c r="AL50" t="n">
        <x:v>0.32592</x:v>
      </x:c>
      <x:c r="AM50" t="n">
        <x:v>3.08</x:v>
      </x:c>
      <x:c r="AN50" t="n">
        <x:v>0.2055</x:v>
      </x:c>
      <x:c r="AO50" t="n">
        <x:v>0.192</x:v>
      </x:c>
      <x:c r="AP50" t="n">
        <x:v>0.9589</x:v>
      </x:c>
      <x:c r="AQ50" t="n">
        <x:v>1</x:v>
      </x:c>
      <x:c r="AR50" t="n">
        <x:v>0.20026877419767705</x:v>
      </x:c>
      <x:c r="AS50" t="n">
        <x:v>0.042234588108456976</x:v>
      </x:c>
      <x:c r="AT50" t="n">
        <x:v>0.036879742475602925</x:v>
      </x:c>
      <x:c r="AU50" t="n">
        <x:v>0.9195204674870444</x:v>
      </x:c>
      <x:c r="AV50" t="str">
        <x:v>NO</x:v>
      </x:c>
    </x:row>
    <x:row r="51">
      <x:c r="A51" t="n">
        <x:v>175</x:v>
      </x:c>
      <x:c r="B51" t="n">
        <x:v>9</x:v>
      </x:c>
      <x:c r="C51" t="n">
        <x:v>354.89219</x:v>
      </x:c>
      <x:c r="D51" t="n">
        <x:v>0.33019</x:v>
      </x:c>
      <x:c r="E51" t="n">
        <x:v>20.22</x:v>
      </x:c>
      <x:c r="F51" t="n">
        <x:v>524.99131</x:v>
      </x:c>
      <x:c r="G51" t="n">
        <x:v>0.23523</x:v>
      </x:c>
      <x:c r="H51" t="n">
        <x:v>17.39</x:v>
      </x:c>
      <x:c r="I51" t="n">
        <x:v>174.99855</x:v>
      </x:c>
      <x:c r="J51" t="n">
        <x:v>0.76404</x:v>
      </x:c>
      <x:c r="K51" t="n">
        <x:v>28.65</x:v>
      </x:c>
      <x:c r="L51" t="n">
        <x:v>170.132</x:v>
      </x:c>
      <x:c r="M51" t="n">
        <x:v>0.16281</x:v>
      </x:c>
      <x:c r="N51" t="n">
        <x:v>175.02116</x:v>
      </x:c>
      <x:c r="O51" t="n">
        <x:v>0.14392</x:v>
      </x:c>
      <x:c r="P51" t="n">
        <x:v>174.99855</x:v>
      </x:c>
      <x:c r="Q51" t="n">
        <x:v>0.76404</x:v>
      </x:c>
      <x:c r="R51" t="n">
        <x:v>174.99905</x:v>
      </x:c>
      <x:c r="S51" t="n">
        <x:v>-0.00095</x:v>
      </x:c>
      <x:c r="T51" t="n">
        <x:v>0.13388</x:v>
      </x:c>
      <x:c r="U51" t="n">
        <x:v>0.14392</x:v>
      </x:c>
      <x:c r="V51" t="n">
        <x:v>0.76404</x:v>
      </x:c>
      <x:c r="W51" t="n">
        <x:v>0.78892</x:v>
      </x:c>
      <x:c r="X51" t="n">
        <x:v>20.92</x:v>
      </x:c>
      <x:c r="Y51" t="str">
        <x:v>Z</x:v>
      </x:c>
      <x:c r="Z51" t="n">
        <x:v>0.14829</x:v>
      </x:c>
      <x:c r="AA51" t="n">
        <x:v>-7.83</x:v>
      </x:c>
      <x:c r="AB51" t="n">
        <x:v>0.143</x:v>
      </x:c>
      <x:c r="AC51" t="n">
        <x:v>14.84</x:v>
      </x:c>
      <x:c r="AD51" t="n">
        <x:v>0.15726</x:v>
      </x:c>
      <x:c r="AE51" t="n">
        <x:v>174.11</x:v>
      </x:c>
      <x:c r="AF51" t="n">
        <x:v>0.144</x:v>
      </x:c>
      <x:c r="AG51" t="n">
        <x:v>6.22</x:v>
      </x:c>
      <x:c r="AH51" t="n">
        <x:v>0.75239</x:v>
      </x:c>
      <x:c r="AI51" t="n">
        <x:v>11.38</x:v>
      </x:c>
      <x:c r="AJ51" t="n">
        <x:v>0.602</x:v>
      </x:c>
      <x:c r="AK51" t="n">
        <x:v>1.91</x:v>
      </x:c>
      <x:c r="AL51" t="n">
        <x:v>0.78309</x:v>
      </x:c>
      <x:c r="AM51" t="n">
        <x:v>2.07</x:v>
      </x:c>
      <x:c r="AN51" t="n">
        <x:v>0.1894</x:v>
      </x:c>
      <x:c r="AO51" t="n">
        <x:v>0.2008</x:v>
      </x:c>
      <x:c r="AP51" t="n">
        <x:v>0.9608</x:v>
      </x:c>
      <x:c r="AQ51" t="n">
        <x:v>1</x:v>
      </x:c>
      <x:c r="AR51" t="n">
        <x:v>0.2090139422374035</x:v>
      </x:c>
      <x:c r="AS51" t="n">
        <x:v>0.03585918164651359</x:v>
      </x:c>
      <x:c r="AT51" t="n">
        <x:v>0.04032860377518148</x:v>
      </x:c>
      <x:c r="AU51" t="n">
        <x:v>0.9231295925026922</x:v>
      </x:c>
      <x:c r="AV51" t="str">
        <x:v>NO</x:v>
      </x:c>
    </x:row>
    <x:row r="52">
      <x:c r="A52" t="n">
        <x:v>175</x:v>
      </x:c>
      <x:c r="B52" t="n">
        <x:v>11</x:v>
      </x:c>
      <x:c r="C52" t="n">
        <x:v>185.32004</x:v>
      </x:c>
      <x:c r="D52" t="n">
        <x:v>0.37279</x:v>
      </x:c>
      <x:c r="E52" t="n">
        <x:v>20.88</x:v>
      </x:c>
      <x:c r="F52" t="n">
        <x:v>174.98379</x:v>
      </x:c>
      <x:c r="G52" t="n">
        <x:v>0.29522</x:v>
      </x:c>
      <x:c r="H52" t="n">
        <x:v>19.62</x:v>
      </x:c>
      <x:c r="I52" t="n">
        <x:v>174.99886</x:v>
      </x:c>
      <x:c r="J52" t="n">
        <x:v>1.23569</x:v>
      </x:c>
      <x:c r="K52" t="n">
        <x:v>33.04</x:v>
      </x:c>
      <x:c r="L52" t="n">
        <x:v>174.97778</x:v>
      </x:c>
      <x:c r="M52" t="n">
        <x:v>0.21529</x:v>
      </x:c>
      <x:c r="N52" t="n">
        <x:v>174.98379</x:v>
      </x:c>
      <x:c r="O52" t="n">
        <x:v>0.29522</x:v>
      </x:c>
      <x:c r="P52" t="n">
        <x:v>174.99886</x:v>
      </x:c>
      <x:c r="Q52" t="n">
        <x:v>1.23569</x:v>
      </x:c>
      <x:c r="R52" t="n">
        <x:v>174.99748</x:v>
      </x:c>
      <x:c r="S52" t="n">
        <x:v>-0.00252</x:v>
      </x:c>
      <x:c r="T52" t="n">
        <x:v>0.21529</x:v>
      </x:c>
      <x:c r="U52" t="n">
        <x:v>0.29522</x:v>
      </x:c>
      <x:c r="V52" t="n">
        <x:v>1.23569</x:v>
      </x:c>
      <x:c r="W52" t="n">
        <x:v>1.28857</x:v>
      </x:c>
      <x:c r="X52" t="n">
        <x:v>27.37</x:v>
      </x:c>
      <x:c r="Y52" t="str">
        <x:v>Z</x:v>
      </x:c>
      <x:c r="Z52" t="n">
        <x:v>0.19269</x:v>
      </x:c>
      <x:c r="AA52" t="n">
        <x:v>17.77</x:v>
      </x:c>
      <x:c r="AB52" t="n">
        <x:v>0.18</x:v>
      </x:c>
      <x:c r="AC52" t="n">
        <x:v>6.33</x:v>
      </x:c>
      <x:c r="AD52" t="n">
        <x:v>0.29464</x:v>
      </x:c>
      <x:c r="AE52" t="n">
        <x:v>-161.15</x:v>
      </x:c>
      <x:c r="AF52" t="n">
        <x:v>0.296</x:v>
      </x:c>
      <x:c r="AG52" t="n">
        <x:v>3.75</x:v>
      </x:c>
      <x:c r="AH52" t="n">
        <x:v>1.21838</x:v>
      </x:c>
      <x:c r="AI52" t="n">
        <x:v>18.57</x:v>
      </x:c>
      <x:c r="AJ52" t="n">
        <x:v>0.806</x:v>
      </x:c>
      <x:c r="AK52" t="n">
        <x:v>1.14</x:v>
      </x:c>
      <x:c r="AL52" t="n">
        <x:v>1.2683</x:v>
      </x:c>
      <x:c r="AM52" t="n">
        <x:v>1.17</x:v>
      </x:c>
      <x:c r="AN52" t="n">
        <x:v>0.1519</x:v>
      </x:c>
      <x:c r="AO52" t="n">
        <x:v>0.2323</x:v>
      </x:c>
      <x:c r="AP52" t="n">
        <x:v>0.9606</x:v>
      </x:c>
      <x:c r="AQ52" t="n">
        <x:v>1</x:v>
      </x:c>
      <x:c r="AR52" t="n">
        <x:v>0.241829314335429</x:v>
      </x:c>
      <x:c r="AS52" t="n">
        <x:v>0.023082049527395475</x:v>
      </x:c>
      <x:c r="AT52" t="n">
        <x:v>0.05396838559138773</x:v>
      </x:c>
      <x:c r="AU52" t="n">
        <x:v>0.9228296458758853</x:v>
      </x:c>
      <x:c r="AV52" t="str">
        <x:v>YES</x:v>
      </x:c>
    </x:row>
    <x:row r="53">
      <x:c r="A53" t="n">
        <x:v>175</x:v>
      </x:c>
      <x:c r="B53" t="n">
        <x:v>13</x:v>
      </x:c>
      <x:c r="C53" t="n">
        <x:v>354.91873</x:v>
      </x:c>
      <x:c r="D53" t="n">
        <x:v>0.3283</x:v>
      </x:c>
      <x:c r="E53" t="n">
        <x:v>19.89</x:v>
      </x:c>
      <x:c r="F53" t="n">
        <x:v>175.014</x:v>
      </x:c>
      <x:c r="G53" t="n">
        <x:v>0.43591</x:v>
      </x:c>
      <x:c r="H53" t="n">
        <x:v>23.22</x:v>
      </x:c>
      <x:c r="I53" t="n">
        <x:v>175.00482</x:v>
      </x:c>
      <x:c r="J53" t="n">
        <x:v>1.66241</x:v>
      </x:c>
      <x:c r="K53" t="n">
        <x:v>35.33</x:v>
      </x:c>
      <x:c r="L53" t="n">
        <x:v>174.99687</x:v>
      </x:c>
      <x:c r="M53" t="n">
        <x:v>0.2466</x:v>
      </x:c>
      <x:c r="N53" t="n">
        <x:v>175.014</x:v>
      </x:c>
      <x:c r="O53" t="n">
        <x:v>0.43591</x:v>
      </x:c>
      <x:c r="P53" t="n">
        <x:v>175.00482</x:v>
      </x:c>
      <x:c r="Q53" t="n">
        <x:v>1.66241</x:v>
      </x:c>
      <x:c r="R53" t="n">
        <x:v>175.00524</x:v>
      </x:c>
      <x:c r="S53" t="n">
        <x:v>0.00524</x:v>
      </x:c>
      <x:c r="T53" t="n">
        <x:v>0.2466</x:v>
      </x:c>
      <x:c r="U53" t="n">
        <x:v>0.43591</x:v>
      </x:c>
      <x:c r="V53" t="n">
        <x:v>1.66241</x:v>
      </x:c>
      <x:c r="W53" t="n">
        <x:v>1.73621</x:v>
      </x:c>
      <x:c r="X53" t="n">
        <x:v>29.62</x:v>
      </x:c>
      <x:c r="Y53" t="str">
        <x:v>Z</x:v>
      </x:c>
      <x:c r="Z53" t="n">
        <x:v>0.20733</x:v>
      </x:c>
      <x:c r="AA53" t="n">
        <x:v>22.81</x:v>
      </x:c>
      <x:c r="AB53" t="n">
        <x:v>0.196</x:v>
      </x:c>
      <x:c r="AC53" t="n">
        <x:v>12.03</x:v>
      </x:c>
      <x:c r="AD53" t="n">
        <x:v>0.41802</x:v>
      </x:c>
      <x:c r="AE53" t="n">
        <x:v>-154.66</x:v>
      </x:c>
      <x:c r="AF53" t="n">
        <x:v>0.399</x:v>
      </x:c>
      <x:c r="AG53" t="n">
        <x:v>5.83</x:v>
      </x:c>
      <x:c r="AH53" t="n">
        <x:v>1.70717</x:v>
      </x:c>
      <x:c r="AI53" t="n">
        <x:v>27.31</x:v>
      </x:c>
      <x:c r="AJ53" t="n">
        <x:v>0.904</x:v>
      </x:c>
      <x:c r="AK53" t="n">
        <x:v>1.49</x:v>
      </x:c>
      <x:c r="AL53" t="n">
        <x:v>1.77003</x:v>
      </x:c>
      <x:c r="AM53" t="n">
        <x:v>1.63</x:v>
      </x:c>
      <x:c r="AN53" t="n">
        <x:v>0.1171</x:v>
      </x:c>
      <x:c r="AO53" t="n">
        <x:v>0.2362</x:v>
      </x:c>
      <x:c r="AP53" t="n">
        <x:v>0.9645</x:v>
      </x:c>
      <x:c r="AQ53" t="n">
        <x:v>1</x:v>
      </x:c>
      <x:c r="AR53" t="n">
        <x:v>0.24486137877305716</x:v>
      </x:c>
      <x:c r="AS53" t="n">
        <x:v>0.013720282100830742</x:v>
      </x:c>
      <x:c r="AT53" t="n">
        <x:v>0.05577413806260685</x:v>
      </x:c>
      <x:c r="AU53" t="n">
        <x:v>0.9302341655317469</x:v>
      </x:c>
      <x:c r="AV53" t="str">
        <x:v>YES</x:v>
      </x:c>
    </x:row>
    <x:row r="54">
      <x:c r="A54" t="n">
        <x:v>175</x:v>
      </x:c>
      <x:c r="B54" t="n">
        <x:v>15</x:v>
      </x:c>
      <x:c r="C54" t="n">
        <x:v>354.87256</x:v>
      </x:c>
      <x:c r="D54" t="n">
        <x:v>0.41538</x:v>
      </x:c>
      <x:c r="E54" t="n">
        <x:v>21.62</x:v>
      </x:c>
      <x:c r="F54" t="n">
        <x:v>175.01145</x:v>
      </x:c>
      <x:c r="G54" t="n">
        <x:v>0.55256</x:v>
      </x:c>
      <x:c r="H54" t="n">
        <x:v>23.9</x:v>
      </x:c>
      <x:c r="I54" t="n">
        <x:v>174.99878</x:v>
      </x:c>
      <x:c r="J54" t="n">
        <x:v>2.14946</x:v>
      </x:c>
      <x:c r="K54" t="n">
        <x:v>37.6</x:v>
      </x:c>
      <x:c r="L54" t="n">
        <x:v>174.98567</x:v>
      </x:c>
      <x:c r="M54" t="n">
        <x:v>0.26531</x:v>
      </x:c>
      <x:c r="N54" t="n">
        <x:v>175.01145</x:v>
      </x:c>
      <x:c r="O54" t="n">
        <x:v>0.55256</x:v>
      </x:c>
      <x:c r="P54" t="n">
        <x:v>174.99878</x:v>
      </x:c>
      <x:c r="Q54" t="n">
        <x:v>2.14946</x:v>
      </x:c>
      <x:c r="R54" t="n">
        <x:v>174.99936</x:v>
      </x:c>
      <x:c r="S54" t="n">
        <x:v>-0.00064</x:v>
      </x:c>
      <x:c r="T54" t="n">
        <x:v>0.26531</x:v>
      </x:c>
      <x:c r="U54" t="n">
        <x:v>0.55256</x:v>
      </x:c>
      <x:c r="V54" t="n">
        <x:v>2.14946</x:v>
      </x:c>
      <x:c r="W54" t="n">
        <x:v>2.23515</x:v>
      </x:c>
      <x:c r="X54" t="n">
        <x:v>30.06</x:v>
      </x:c>
      <x:c r="Y54" t="str">
        <x:v>Z</x:v>
      </x:c>
      <x:c r="Z54" t="n">
        <x:v>0.25631</x:v>
      </x:c>
      <x:c r="AA54" t="n">
        <x:v>17.68</x:v>
      </x:c>
      <x:c r="AB54" t="n">
        <x:v>0.223</x:v>
      </x:c>
      <x:c r="AC54" t="n">
        <x:v>9.05</x:v>
      </x:c>
      <x:c r="AD54" t="n">
        <x:v>0.56904</x:v>
      </x:c>
      <x:c r="AE54" t="n">
        <x:v>-149.56</x:v>
      </x:c>
      <x:c r="AF54" t="n">
        <x:v>0.451</x:v>
      </x:c>
      <x:c r="AG54" t="n">
        <x:v>1.84</x:v>
      </x:c>
      <x:c r="AH54" t="n">
        <x:v>2.17158</x:v>
      </x:c>
      <x:c r="AI54" t="n">
        <x:v>30.04</x:v>
      </x:c>
      <x:c r="AJ54" t="n">
        <x:v>0.94</x:v>
      </x:c>
      <x:c r="AK54" t="n">
        <x:v>0.91</x:v>
      </x:c>
      <x:c r="AL54" t="n">
        <x:v>2.25961</x:v>
      </x:c>
      <x:c r="AM54" t="n">
        <x:v>0.79</x:v>
      </x:c>
      <x:c r="AN54" t="n">
        <x:v>0.1134</x:v>
      </x:c>
      <x:c r="AO54" t="n">
        <x:v>0.2518</x:v>
      </x:c>
      <x:c r="AP54" t="n">
        <x:v>0.961</x:v>
      </x:c>
      <x:c r="AQ54" t="n">
        <x:v>1</x:v>
      </x:c>
      <x:c r="AR54" t="n">
        <x:v>0.2620396209211726</x:v>
      </x:c>
      <x:c r="AS54" t="n">
        <x:v>0.012866609641018064</x:v>
      </x:c>
      <x:c r="AT54" t="n">
        <x:v>0.06341888690731999</x:v>
      </x:c>
      <x:c r="AU54" t="n">
        <x:v>0.9236016291158271</x:v>
      </x:c>
      <x:c r="AV54" t="str">
        <x:v>YES</x:v>
      </x:c>
    </x:row>
    <x:row r="55">
      <x:c r="A55" t="n">
        <x:v>175</x:v>
      </x:c>
      <x:c r="B55" t="n">
        <x:v>17</x:v>
      </x:c>
      <x:c r="C55" t="n">
        <x:v>354.82253</x:v>
      </x:c>
      <x:c r="D55" t="n">
        <x:v>0.36767</x:v>
      </x:c>
      <x:c r="E55" t="n">
        <x:v>20.12</x:v>
      </x:c>
      <x:c r="F55" t="n">
        <x:v>174.99273</x:v>
      </x:c>
      <x:c r="G55" t="n">
        <x:v>0.68202</x:v>
      </x:c>
      <x:c r="H55" t="n">
        <x:v>25.6</x:v>
      </x:c>
      <x:c r="I55" t="n">
        <x:v>175.00069</x:v>
      </x:c>
      <x:c r="J55" t="n">
        <x:v>2.56385</x:v>
      </x:c>
      <x:c r="K55" t="n">
        <x:v>38.45</x:v>
      </x:c>
      <x:c r="L55" t="n">
        <x:v>175.02831</x:v>
      </x:c>
      <x:c r="M55" t="n">
        <x:v>0.29849</x:v>
      </x:c>
      <x:c r="N55" t="n">
        <x:v>174.99273</x:v>
      </x:c>
      <x:c r="O55" t="n">
        <x:v>0.68202</x:v>
      </x:c>
      <x:c r="P55" t="n">
        <x:v>175.00069</x:v>
      </x:c>
      <x:c r="Q55" t="n">
        <x:v>2.56385</x:v>
      </x:c>
      <x:c r="R55" t="n">
        <x:v>175.00051</x:v>
      </x:c>
      <x:c r="S55" t="n">
        <x:v>0.00051</x:v>
      </x:c>
      <x:c r="T55" t="n">
        <x:v>0.29849</x:v>
      </x:c>
      <x:c r="U55" t="n">
        <x:v>0.68202</x:v>
      </x:c>
      <x:c r="V55" t="n">
        <x:v>2.56385</x:v>
      </x:c>
      <x:c r="W55" t="n">
        <x:v>2.66975</x:v>
      </x:c>
      <x:c r="X55" t="n">
        <x:v>32.92</x:v>
      </x:c>
      <x:c r="Y55" t="str">
        <x:v>Z</x:v>
      </x:c>
      <x:c r="Z55" t="n">
        <x:v>0.30975</x:v>
      </x:c>
      <x:c r="AA55" t="n">
        <x:v>18.51</x:v>
      </x:c>
      <x:c r="AB55" t="n">
        <x:v>0.268</x:v>
      </x:c>
      <x:c r="AC55" t="n">
        <x:v>4.81</x:v>
      </x:c>
      <x:c r="AD55" t="n">
        <x:v>0.7011</x:v>
      </x:c>
      <x:c r="AE55" t="n">
        <x:v>-145.46</x:v>
      </x:c>
      <x:c r="AF55" t="n">
        <x:v>0.558</x:v>
      </x:c>
      <x:c r="AG55" t="n">
        <x:v>2.89</x:v>
      </x:c>
      <x:c r="AH55" t="n">
        <x:v>2.57099</x:v>
      </x:c>
      <x:c r="AI55" t="n">
        <x:v>31.58</x:v>
      </x:c>
      <x:c r="AJ55" t="n">
        <x:v>0.947</x:v>
      </x:c>
      <x:c r="AK55" t="n">
        <x:v>0.4</x:v>
      </x:c>
      <x:c r="AL55" t="n">
        <x:v>2.68292</x:v>
      </x:c>
      <x:c r="AM55" t="n">
        <x:v>0.27</x:v>
      </x:c>
      <x:c r="AN55" t="n">
        <x:v>0.1155</x:v>
      </x:c>
      <x:c r="AO55" t="n">
        <x:v>0.2613</x:v>
      </x:c>
      <x:c r="AP55" t="n">
        <x:v>0.9583</x:v>
      </x:c>
      <x:c r="AQ55" t="n">
        <x:v>1</x:v>
      </x:c>
      <x:c r="AR55" t="n">
        <x:v>0.2726965099047448</x:v>
      </x:c>
      <x:c r="AS55" t="n">
        <x:v>0.013329295136035979</x:v>
      </x:c>
      <x:c r="AT55" t="n">
        <x:v>0.0682880149211872</x:v>
      </x:c>
      <x:c r="AU55" t="n">
        <x:v>0.9183015745002556</x:v>
      </x:c>
      <x:c r="AV55" t="str">
        <x:v>YES</x:v>
      </x:c>
    </x:row>
    <x:row r="56">
      <x:c r="A56" t="n">
        <x:v>175</x:v>
      </x:c>
      <x:c r="B56" t="n">
        <x:v>19</x:v>
      </x:c>
      <x:c r="C56" t="n">
        <x:v>184.78191</x:v>
      </x:c>
      <x:c r="D56" t="n">
        <x:v>0.47796</x:v>
      </x:c>
      <x:c r="E56" t="n">
        <x:v>23.26</x:v>
      </x:c>
      <x:c r="F56" t="n">
        <x:v>174.99743</x:v>
      </x:c>
      <x:c r="G56" t="n">
        <x:v>0.83509</x:v>
      </x:c>
      <x:c r="H56" t="n">
        <x:v>27.73</x:v>
      </x:c>
      <x:c r="I56" t="n">
        <x:v>175.00227</x:v>
      </x:c>
      <x:c r="J56" t="n">
        <x:v>3.04747</x:v>
      </x:c>
      <x:c r="K56" t="n">
        <x:v>39.67</x:v>
      </x:c>
      <x:c r="L56" t="n">
        <x:v>175.00418</x:v>
      </x:c>
      <x:c r="M56" t="n">
        <x:v>0.35082</x:v>
      </x:c>
      <x:c r="N56" t="n">
        <x:v>174.99743</x:v>
      </x:c>
      <x:c r="O56" t="n">
        <x:v>0.83509</x:v>
      </x:c>
      <x:c r="P56" t="n">
        <x:v>175.00227</x:v>
      </x:c>
      <x:c r="Q56" t="n">
        <x:v>3.04747</x:v>
      </x:c>
      <x:c r="R56" t="n">
        <x:v>175.00196</x:v>
      </x:c>
      <x:c r="S56" t="n">
        <x:v>0.00196</x:v>
      </x:c>
      <x:c r="T56" t="n">
        <x:v>0.35082</x:v>
      </x:c>
      <x:c r="U56" t="n">
        <x:v>0.83509</x:v>
      </x:c>
      <x:c r="V56" t="n">
        <x:v>3.04747</x:v>
      </x:c>
      <x:c r="W56" t="n">
        <x:v>3.17924</x:v>
      </x:c>
      <x:c r="X56" t="n">
        <x:v>32.49</x:v>
      </x:c>
      <x:c r="Y56" t="str">
        <x:v>Z</x:v>
      </x:c>
      <x:c r="Z56" t="n">
        <x:v>0.34378</x:v>
      </x:c>
      <x:c r="AA56" t="n">
        <x:v>20.4</x:v>
      </x:c>
      <x:c r="AB56" t="n">
        <x:v>0.301</x:v>
      </x:c>
      <x:c r="AC56" t="n">
        <x:v>7.96</x:v>
      </x:c>
      <x:c r="AD56" t="n">
        <x:v>0.84472</x:v>
      </x:c>
      <x:c r="AE56" t="n">
        <x:v>-144.97</x:v>
      </x:c>
      <x:c r="AF56" t="n">
        <x:v>0.61</x:v>
      </x:c>
      <x:c r="AG56" t="n">
        <x:v>1.28</x:v>
      </x:c>
      <x:c r="AH56" t="n">
        <x:v>3.04674</x:v>
      </x:c>
      <x:c r="AI56" t="n">
        <x:v>31.86</x:v>
      </x:c>
      <x:c r="AJ56" t="n">
        <x:v>0.957</x:v>
      </x:c>
      <x:c r="AK56" t="n">
        <x:v>0.41</x:v>
      </x:c>
      <x:c r="AL56" t="n">
        <x:v>3.18042</x:v>
      </x:c>
      <x:c r="AM56" t="n">
        <x:v>0.36</x:v>
      </x:c>
      <x:c r="AN56" t="n">
        <x:v>0.1081</x:v>
      </x:c>
      <x:c r="AO56" t="n">
        <x:v>0.2656</x:v>
      </x:c>
      <x:c r="AP56" t="n">
        <x:v>0.958</x:v>
      </x:c>
      <x:c r="AQ56" t="n">
        <x:v>1</x:v>
      </x:c>
      <x:c r="AR56" t="n">
        <x:v>0.27725372036996926</x:v>
      </x:c>
      <x:c r="AS56" t="n">
        <x:v>0.01168401922261694</x:v>
      </x:c>
      <x:c r="AT56" t="n">
        <x:v>0.07054343482586045</x:v>
      </x:c>
      <x:c r="AU56" t="n">
        <x:v>0.9177023356708855</x:v>
      </x:c>
      <x:c r="AV56" t="str">
        <x:v>YES</x:v>
      </x:c>
    </x:row>
    <x:row r="57">
      <x:c r="A57" t="n">
        <x:v>175</x:v>
      </x:c>
      <x:c r="B57" t="n">
        <x:v>21</x:v>
      </x:c>
      <x:c r="C57" t="n">
        <x:v>175.01754</x:v>
      </x:c>
      <x:c r="D57" t="n">
        <x:v>0.39956</x:v>
      </x:c>
      <x:c r="E57" t="n">
        <x:v>22.67</x:v>
      </x:c>
      <x:c r="F57" t="n">
        <x:v>175.0054</x:v>
      </x:c>
      <x:c r="G57" t="n">
        <x:v>0.97179</x:v>
      </x:c>
      <x:c r="H57" t="n">
        <x:v>30</x:v>
      </x:c>
      <x:c r="I57" t="n">
        <x:v>175.00162</x:v>
      </x:c>
      <x:c r="J57" t="n">
        <x:v>3.46549</x:v>
      </x:c>
      <x:c r="K57" t="n">
        <x:v>40.51</x:v>
      </x:c>
      <x:c r="L57" t="n">
        <x:v>175.01754</x:v>
      </x:c>
      <x:c r="M57" t="n">
        <x:v>0.39956</x:v>
      </x:c>
      <x:c r="N57" t="n">
        <x:v>175.0054</x:v>
      </x:c>
      <x:c r="O57" t="n">
        <x:v>0.97179</x:v>
      </x:c>
      <x:c r="P57" t="n">
        <x:v>175.00162</x:v>
      </x:c>
      <x:c r="Q57" t="n">
        <x:v>3.46549</x:v>
      </x:c>
      <x:c r="R57" t="n">
        <x:v>175.00209</x:v>
      </x:c>
      <x:c r="S57" t="n">
        <x:v>0.00209</x:v>
      </x:c>
      <x:c r="T57" t="n">
        <x:v>0.39956</x:v>
      </x:c>
      <x:c r="U57" t="n">
        <x:v>0.97179</x:v>
      </x:c>
      <x:c r="V57" t="n">
        <x:v>3.46549</x:v>
      </x:c>
      <x:c r="W57" t="n">
        <x:v>3.62128</x:v>
      </x:c>
      <x:c r="X57" t="n">
        <x:v>39.06</x:v>
      </x:c>
      <x:c r="Y57" t="str">
        <x:v>Z</x:v>
      </x:c>
      <x:c r="Z57" t="n">
        <x:v>0.40283</x:v>
      </x:c>
      <x:c r="AA57" t="n">
        <x:v>23.16</x:v>
      </x:c>
      <x:c r="AB57" t="n">
        <x:v>0.389</x:v>
      </x:c>
      <x:c r="AC57" t="n">
        <x:v>3.78</x:v>
      </x:c>
      <x:c r="AD57" t="n">
        <x:v>0.96213</x:v>
      </x:c>
      <x:c r="AE57" t="n">
        <x:v>-142.83</x:v>
      </x:c>
      <x:c r="AF57" t="n">
        <x:v>0.69</x:v>
      </x:c>
      <x:c r="AG57" t="n">
        <x:v>1.41</x:v>
      </x:c>
      <x:c r="AH57" t="n">
        <x:v>3.43564</x:v>
      </x:c>
      <x:c r="AI57" t="n">
        <x:v>32.66</x:v>
      </x:c>
      <x:c r="AJ57" t="n">
        <x:v>0.96</x:v>
      </x:c>
      <x:c r="AK57" t="n">
        <x:v>0.66</x:v>
      </x:c>
      <x:c r="AL57" t="n">
        <x:v>3.59053</x:v>
      </x:c>
      <x:c r="AM57" t="n">
        <x:v>0.65</x:v>
      </x:c>
      <x:c r="AN57" t="n">
        <x:v>0.1122</x:v>
      </x:c>
      <x:c r="AO57" t="n">
        <x:v>0.268</x:v>
      </x:c>
      <x:c r="AP57" t="n">
        <x:v>0.9569</x:v>
      </x:c>
      <x:c r="AQ57" t="n">
        <x:v>1</x:v>
      </x:c>
      <x:c r="AR57" t="n">
        <x:v>0.28004389284092635</x:v>
      </x:c>
      <x:c r="AS57" t="n">
        <x:v>0.012587123495668609</x:v>
      </x:c>
      <x:c r="AT57" t="n">
        <x:v>0.07180429021222688</x:v>
      </x:c>
      <x:c r="AU57" t="n">
        <x:v>0.9155839719714713</x:v>
      </x:c>
      <x:c r="AV57" t="str">
        <x:v>YES</x:v>
      </x:c>
    </x:row>
    <x:row r="58">
      <x:c r="A58" t="n">
        <x:v>175</x:v>
      </x:c>
      <x:c r="B58" t="n">
        <x:v>23</x:v>
      </x:c>
      <x:c r="C58" t="n">
        <x:v>354.92981</x:v>
      </x:c>
      <x:c r="D58" t="n">
        <x:v>0.42557</x:v>
      </x:c>
      <x:c r="E58" t="n">
        <x:v>22.19</x:v>
      </x:c>
      <x:c r="F58" t="n">
        <x:v>175.00015</x:v>
      </x:c>
      <x:c r="G58" t="n">
        <x:v>1.08577</x:v>
      </x:c>
      <x:c r="H58" t="n">
        <x:v>30.66</x:v>
      </x:c>
      <x:c r="I58" t="n">
        <x:v>174.99944</x:v>
      </x:c>
      <x:c r="J58" t="n">
        <x:v>3.80508</x:v>
      </x:c>
      <x:c r="K58" t="n">
        <x:v>40.99</x:v>
      </x:c>
      <x:c r="L58" t="n">
        <x:v>174.99842</x:v>
      </x:c>
      <x:c r="M58" t="n">
        <x:v>0.42357</x:v>
      </x:c>
      <x:c r="N58" t="n">
        <x:v>175.00015</x:v>
      </x:c>
      <x:c r="O58" t="n">
        <x:v>1.08577</x:v>
      </x:c>
      <x:c r="P58" t="n">
        <x:v>174.99944</x:v>
      </x:c>
      <x:c r="Q58" t="n">
        <x:v>3.80508</x:v>
      </x:c>
      <x:c r="R58" t="n">
        <x:v>174.99948</x:v>
      </x:c>
      <x:c r="S58" t="n">
        <x:v>-0.00052</x:v>
      </x:c>
      <x:c r="T58" t="n">
        <x:v>0.42357</x:v>
      </x:c>
      <x:c r="U58" t="n">
        <x:v>1.08577</x:v>
      </x:c>
      <x:c r="V58" t="n">
        <x:v>3.80508</x:v>
      </x:c>
      <x:c r="W58" t="n">
        <x:v>3.97956</x:v>
      </x:c>
      <x:c r="X58" t="n">
        <x:v>39.35</x:v>
      </x:c>
      <x:c r="Y58" t="str">
        <x:v>Z</x:v>
      </x:c>
      <x:c r="Z58" t="n">
        <x:v>0.43693</x:v>
      </x:c>
      <x:c r="AA58" t="n">
        <x:v>24.37</x:v>
      </x:c>
      <x:c r="AB58" t="n">
        <x:v>0.384</x:v>
      </x:c>
      <x:c r="AC58" t="n">
        <x:v>3.7</x:v>
      </x:c>
      <x:c r="AD58" t="n">
        <x:v>1.0938</x:v>
      </x:c>
      <x:c r="AE58" t="n">
        <x:v>-140.84</x:v>
      </x:c>
      <x:c r="AF58" t="n">
        <x:v>0.711</x:v>
      </x:c>
      <x:c r="AG58" t="n">
        <x:v>1.52</x:v>
      </x:c>
      <x:c r="AH58" t="n">
        <x:v>3.78786</x:v>
      </x:c>
      <x:c r="AI58" t="n">
        <x:v>33.62</x:v>
      </x:c>
      <x:c r="AJ58" t="n">
        <x:v>0.964</x:v>
      </x:c>
      <x:c r="AK58" t="n">
        <x:v>0.66</x:v>
      </x:c>
      <x:c r="AL58" t="n">
        <x:v>3.96682</x:v>
      </x:c>
      <x:c r="AM58" t="n">
        <x:v>0.63</x:v>
      </x:c>
      <x:c r="AN58" t="n">
        <x:v>0.1101</x:v>
      </x:c>
      <x:c r="AO58" t="n">
        <x:v>0.2757</x:v>
      </x:c>
      <x:c r="AP58" t="n">
        <x:v>0.9549</x:v>
      </x:c>
      <x:c r="AQ58" t="n">
        <x:v>1</x:v>
      </x:c>
      <x:c r="AR58" t="n">
        <x:v>0.2887646322725761</x:v>
      </x:c>
      <x:c r="AS58" t="n">
        <x:v>0.012132177095247458</x:v>
      </x:c>
      <x:c r="AT58" t="n">
        <x:v>0.07603102574847782</x:v>
      </x:c>
      <x:c r="AU58" t="n">
        <x:v>0.9118068481186955</x:v>
      </x:c>
      <x:c r="AV58" t="str">
        <x:v>YES</x:v>
      </x:c>
    </x:row>
    <x:row r="59">
      <x:c r="A59" t="n">
        <x:v>175</x:v>
      </x:c>
      <x:c r="B59" t="n">
        <x:v>25</x:v>
      </x:c>
      <x:c r="C59" t="n">
        <x:v>174.99627</x:v>
      </x:c>
      <x:c r="D59" t="n">
        <x:v>0.4959</x:v>
      </x:c>
      <x:c r="E59" t="n">
        <x:v>23.03</x:v>
      </x:c>
      <x:c r="F59" t="n">
        <x:v>175.0012</x:v>
      </x:c>
      <x:c r="G59" t="n">
        <x:v>1.20898</x:v>
      </x:c>
      <x:c r="H59" t="n">
        <x:v>30.87</x:v>
      </x:c>
      <x:c r="I59" t="n">
        <x:v>174.99744</x:v>
      </x:c>
      <x:c r="J59" t="n">
        <x:v>4.17141</x:v>
      </x:c>
      <x:c r="K59" t="n">
        <x:v>41.38</x:v>
      </x:c>
      <x:c r="L59" t="n">
        <x:v>174.99627</x:v>
      </x:c>
      <x:c r="M59" t="n">
        <x:v>0.4959</x:v>
      </x:c>
      <x:c r="N59" t="n">
        <x:v>175.0012</x:v>
      </x:c>
      <x:c r="O59" t="n">
        <x:v>1.20898</x:v>
      </x:c>
      <x:c r="P59" t="n">
        <x:v>174.99744</x:v>
      </x:c>
      <x:c r="Q59" t="n">
        <x:v>4.17141</x:v>
      </x:c>
      <x:c r="R59" t="n">
        <x:v>174.99771</x:v>
      </x:c>
      <x:c r="S59" t="n">
        <x:v>-0.00229</x:v>
      </x:c>
      <x:c r="T59" t="n">
        <x:v>0.4959</x:v>
      </x:c>
      <x:c r="U59" t="n">
        <x:v>1.20898</x:v>
      </x:c>
      <x:c r="V59" t="n">
        <x:v>4.17141</x:v>
      </x:c>
      <x:c r="W59" t="n">
        <x:v>4.37129</x:v>
      </x:c>
      <x:c r="X59" t="n">
        <x:v>42.51</x:v>
      </x:c>
      <x:c r="Y59" t="str">
        <x:v>Z</x:v>
      </x:c>
      <x:c r="Z59" t="n">
        <x:v>0.49588</x:v>
      </x:c>
      <x:c r="AA59" t="n">
        <x:v>22.41</x:v>
      </x:c>
      <x:c r="AB59" t="n">
        <x:v>0.43</x:v>
      </x:c>
      <x:c r="AC59" t="n">
        <x:v>3.57</x:v>
      </x:c>
      <x:c r="AD59" t="n">
        <x:v>1.20347</x:v>
      </x:c>
      <x:c r="AE59" t="n">
        <x:v>-141.15</x:v>
      </x:c>
      <x:c r="AF59" t="n">
        <x:v>0.744</x:v>
      </x:c>
      <x:c r="AG59" t="n">
        <x:v>0.93</x:v>
      </x:c>
      <x:c r="AH59" t="n">
        <x:v>4.16333</x:v>
      </x:c>
      <x:c r="AI59" t="n">
        <x:v>33.6</x:v>
      </x:c>
      <x:c r="AJ59" t="n">
        <x:v>0.961</x:v>
      </x:c>
      <x:c r="AK59" t="n">
        <x:v>0.56</x:v>
      </x:c>
      <x:c r="AL59" t="n">
        <x:v>4.36211</x:v>
      </x:c>
      <x:c r="AM59" t="n">
        <x:v>0.49</x:v>
      </x:c>
      <x:c r="AN59" t="n">
        <x:v>0.1137</x:v>
      </x:c>
      <x:c r="AO59" t="n">
        <x:v>0.2759</x:v>
      </x:c>
      <x:c r="AP59" t="n">
        <x:v>0.9544</x:v>
      </x:c>
      <x:c r="AQ59" t="n">
        <x:v>1</x:v>
      </x:c>
      <x:c r="AR59" t="n">
        <x:v>0.2890642826775682</x:v>
      </x:c>
      <x:c r="AS59" t="n">
        <x:v>0.012922899264467077</x:v>
      </x:c>
      <x:c r="AT59" t="n">
        <x:v>0.07611623727748</x:v>
      </x:c>
      <x:c r="AU59" t="n">
        <x:v>0.9109372168418219</x:v>
      </x:c>
      <x:c r="AV59" t="str">
        <x:v>YES</x:v>
      </x:c>
    </x:row>
    <x:row r="60">
      <x:c r="A60" t="n">
        <x:v>175</x:v>
      </x:c>
      <x:c r="B60" t="n">
        <x:v>27</x:v>
      </x:c>
      <x:c r="C60" t="n">
        <x:v>175.0012</x:v>
      </x:c>
      <x:c r="D60" t="n">
        <x:v>0.5231</x:v>
      </x:c>
      <x:c r="E60" t="n">
        <x:v>24.07</x:v>
      </x:c>
      <x:c r="F60" t="n">
        <x:v>175.00308</x:v>
      </x:c>
      <x:c r="G60" t="n">
        <x:v>1.31314</x:v>
      </x:c>
      <x:c r="H60" t="n">
        <x:v>31.77</x:v>
      </x:c>
      <x:c r="I60" t="n">
        <x:v>174.99982</x:v>
      </x:c>
      <x:c r="J60" t="n">
        <x:v>4.56229</x:v>
      </x:c>
      <x:c r="K60" t="n">
        <x:v>41.37</x:v>
      </x:c>
      <x:c r="L60" t="n">
        <x:v>175.0012</x:v>
      </x:c>
      <x:c r="M60" t="n">
        <x:v>0.5231</x:v>
      </x:c>
      <x:c r="N60" t="n">
        <x:v>175.00308</x:v>
      </x:c>
      <x:c r="O60" t="n">
        <x:v>1.31314</x:v>
      </x:c>
      <x:c r="P60" t="n">
        <x:v>174.99982</x:v>
      </x:c>
      <x:c r="Q60" t="n">
        <x:v>4.56229</x:v>
      </x:c>
      <x:c r="R60" t="n">
        <x:v>175.00008</x:v>
      </x:c>
      <x:c r="S60" t="n">
        <x:v>0.00008</x:v>
      </x:c>
      <x:c r="T60" t="n">
        <x:v>0.5231</x:v>
      </x:c>
      <x:c r="U60" t="n">
        <x:v>1.31314</x:v>
      </x:c>
      <x:c r="V60" t="n">
        <x:v>4.56229</x:v>
      </x:c>
      <x:c r="W60" t="n">
        <x:v>4.77624</x:v>
      </x:c>
      <x:c r="X60" t="n">
        <x:v>42.5</x:v>
      </x:c>
      <x:c r="Y60" t="str">
        <x:v>Z</x:v>
      </x:c>
      <x:c r="Z60" t="n">
        <x:v>0.53832</x:v>
      </x:c>
      <x:c r="AA60" t="n">
        <x:v>25.96</x:v>
      </x:c>
      <x:c r="AB60" t="n">
        <x:v>0.461</x:v>
      </x:c>
      <x:c r="AC60" t="n">
        <x:v>2.51</x:v>
      </x:c>
      <x:c r="AD60" t="n">
        <x:v>1.32553</x:v>
      </x:c>
      <x:c r="AE60" t="n">
        <x:v>-139.48</x:v>
      </x:c>
      <x:c r="AF60" t="n">
        <x:v>0.778</x:v>
      </x:c>
      <x:c r="AG60" t="n">
        <x:v>1.68</x:v>
      </x:c>
      <x:c r="AH60" t="n">
        <x:v>4.5648</x:v>
      </x:c>
      <x:c r="AI60" t="n">
        <x:v>34.48</x:v>
      </x:c>
      <x:c r="AJ60" t="n">
        <x:v>0.962</x:v>
      </x:c>
      <x:c r="AK60" t="n">
        <x:v>0.36</x:v>
      </x:c>
      <x:c r="AL60" t="n">
        <x:v>4.78381</x:v>
      </x:c>
      <x:c r="AM60" t="n">
        <x:v>0.31</x:v>
      </x:c>
      <x:c r="AN60" t="n">
        <x:v>0.1125</x:v>
      </x:c>
      <x:c r="AO60" t="n">
        <x:v>0.2771</x:v>
      </x:c>
      <x:c r="AP60" t="n">
        <x:v>0.9542</x:v>
      </x:c>
      <x:c r="AQ60" t="n">
        <x:v>1</x:v>
      </x:c>
      <x:c r="AR60" t="n">
        <x:v>0.29038073957238</x:v>
      </x:c>
      <x:c r="AS60" t="n">
        <x:v>0.012662900254301005</x:v>
      </x:c>
      <x:c r="AT60" t="n">
        <x:v>0.07677702468272608</x:v>
      </x:c>
      <x:c r="AU60" t="n">
        <x:v>0.9105329447508925</x:v>
      </x:c>
      <x:c r="AV60" t="str">
        <x:v>YES</x:v>
      </x:c>
    </x:row>
    <x:row r="61">
      <x:c r="A61" t="n">
        <x:v>175</x:v>
      </x:c>
      <x:c r="B61" t="n">
        <x:v>29</x:v>
      </x:c>
      <x:c r="C61" t="n">
        <x:v>175.0052</x:v>
      </x:c>
      <x:c r="D61" t="n">
        <x:v>0.58024</x:v>
      </x:c>
      <x:c r="E61" t="n">
        <x:v>25.65</x:v>
      </x:c>
      <x:c r="F61" t="n">
        <x:v>174.99343</x:v>
      </x:c>
      <x:c r="G61" t="n">
        <x:v>1.43773</x:v>
      </x:c>
      <x:c r="H61" t="n">
        <x:v>31.6</x:v>
      </x:c>
      <x:c r="I61" t="n">
        <x:v>174.99604</x:v>
      </x:c>
      <x:c r="J61" t="n">
        <x:v>4.93816</x:v>
      </x:c>
      <x:c r="K61" t="n">
        <x:v>41.9</x:v>
      </x:c>
      <x:c r="L61" t="n">
        <x:v>175.0052</x:v>
      </x:c>
      <x:c r="M61" t="n">
        <x:v>0.58024</x:v>
      </x:c>
      <x:c r="N61" t="n">
        <x:v>174.99343</x:v>
      </x:c>
      <x:c r="O61" t="n">
        <x:v>1.43773</x:v>
      </x:c>
      <x:c r="P61" t="n">
        <x:v>174.99604</x:v>
      </x:c>
      <x:c r="Q61" t="n">
        <x:v>4.93816</x:v>
      </x:c>
      <x:c r="R61" t="n">
        <x:v>174.99596</x:v>
      </x:c>
      <x:c r="S61" t="n">
        <x:v>-0.00404</x:v>
      </x:c>
      <x:c r="T61" t="n">
        <x:v>0.58024</x:v>
      </x:c>
      <x:c r="U61" t="n">
        <x:v>1.43773</x:v>
      </x:c>
      <x:c r="V61" t="n">
        <x:v>4.93816</x:v>
      </x:c>
      <x:c r="W61" t="n">
        <x:v>5.17583</x:v>
      </x:c>
      <x:c r="X61" t="n">
        <x:v>41.96</x:v>
      </x:c>
      <x:c r="Y61" t="str">
        <x:v>Z</x:v>
      </x:c>
      <x:c r="Z61" t="n">
        <x:v>0.5755</x:v>
      </x:c>
      <x:c r="AA61" t="n">
        <x:v>32.34</x:v>
      </x:c>
      <x:c r="AB61" t="n">
        <x:v>0.52</x:v>
      </x:c>
      <x:c r="AC61" t="n">
        <x:v>4.27</x:v>
      </x:c>
      <x:c r="AD61" t="n">
        <x:v>1.4826</x:v>
      </x:c>
      <x:c r="AE61" t="n">
        <x:v>-139.18</x:v>
      </x:c>
      <x:c r="AF61" t="n">
        <x:v>0.795</x:v>
      </x:c>
      <x:c r="AG61" t="n">
        <x:v>2.37</x:v>
      </x:c>
      <x:c r="AH61" t="n">
        <x:v>4.96715</x:v>
      </x:c>
      <x:c r="AI61" t="n">
        <x:v>34.98</x:v>
      </x:c>
      <x:c r="AJ61" t="n">
        <x:v>0.967</x:v>
      </x:c>
      <x:c r="AK61" t="n">
        <x:v>1.15</x:v>
      </x:c>
      <x:c r="AL61" t="n">
        <x:v>5.21566</x:v>
      </x:c>
      <x:c r="AM61" t="n">
        <x:v>1.14</x:v>
      </x:c>
      <x:c r="AN61" t="n">
        <x:v>0.1103</x:v>
      </x:c>
      <x:c r="AO61" t="n">
        <x:v>0.2843</x:v>
      </x:c>
      <x:c r="AP61" t="n">
        <x:v>0.9524</x:v>
      </x:c>
      <x:c r="AQ61" t="n">
        <x:v>1</x:v>
      </x:c>
      <x:c r="AR61" t="n">
        <x:v>0.29848102030339324</x:v>
      </x:c>
      <x:c r="AS61" t="n">
        <x:v>0.012175088043486108</x:v>
      </x:c>
      <x:c r="AT61" t="n">
        <x:v>0.08080336482726028</x:v>
      </x:c>
      <x:c r="AU61" t="n">
        <x:v>0.9069764382011025</x:v>
      </x:c>
      <x:c r="AV61" t="str">
        <x:v>YES</x:v>
      </x:c>
    </x:row>
    <x:row r="62">
      <x:c r="A62" t="n">
        <x:v>200</x:v>
      </x:c>
      <x:c r="B62" t="n">
        <x:v>1</x:v>
      </x:c>
      <x:c r="C62" t="n">
        <x:v>359.89832</x:v>
      </x:c>
      <x:c r="D62" t="n">
        <x:v>0.3623</x:v>
      </x:c>
      <x:c r="E62" t="n">
        <x:v>28.58</x:v>
      </x:c>
      <x:c r="F62" t="n">
        <x:v>400.03915</x:v>
      </x:c>
      <x:c r="G62" t="n">
        <x:v>0.19693</x:v>
      </x:c>
      <x:c r="H62" t="n">
        <x:v>22.68</x:v>
      </x:c>
      <x:c r="I62" t="n">
        <x:v>19.95038</x:v>
      </x:c>
      <x:c r="J62" t="n">
        <x:v>0.10397</x:v>
      </x:c>
      <x:c r="K62" t="n">
        <x:v>16.73</x:v>
      </x:c>
      <x:c r="L62" t="n">
        <x:v>203.68227</x:v>
      </x:c>
      <x:c r="M62" t="n">
        <x:v>0.00932</x:v>
      </x:c>
      <x:c r="N62" t="n">
        <x:v>191.54035</x:v>
      </x:c>
      <x:c r="O62" t="n">
        <x:v>0.01201</x:v>
      </x:c>
      <x:c r="P62" t="n">
        <x:v>207.87762</x:v>
      </x:c>
      <x:c r="Q62" t="n">
        <x:v>0.0197</x:v>
      </x:c>
      <x:c r="R62" t="n">
        <x:v>207.8125</x:v>
      </x:c>
      <x:c r="S62" t="n">
        <x:v>7.8125</x:v>
      </x:c>
      <x:c r="T62" t="n">
        <x:v>0.00631</x:v>
      </x:c>
      <x:c r="U62" t="n">
        <x:v>0.01099</x:v>
      </x:c>
      <x:c r="V62" t="n">
        <x:v>0.0197</x:v>
      </x:c>
      <x:c r="W62" t="n">
        <x:v>0.02343</x:v>
      </x:c>
      <x:c r="X62" t="n">
        <x:v>2.43</x:v>
      </x:c>
      <x:c r="Y62" t="str">
        <x:v>Z</x:v>
      </x:c>
      <x:c r="Z62" t="n">
        <x:v>0.01326</x:v>
      </x:c>
      <x:c r="AA62" t="n">
        <x:v>-40.05</x:v>
      </x:c>
      <x:c r="AB62" t="n">
        <x:v>0.02</x:v>
      </x:c>
      <x:c r="AC62" t="n">
        <x:v>51.96</x:v>
      </x:c>
      <x:c r="AD62" t="n">
        <x:v>0.01468</x:v>
      </x:c>
      <x:c r="AE62" t="n">
        <x:v>129.4</x:v>
      </x:c>
      <x:c r="AF62" t="n">
        <x:v>0.025</x:v>
      </x:c>
      <x:c r="AG62" t="n">
        <x:v>17.71</x:v>
      </x:c>
      <x:c r="AH62" t="n">
        <x:v>0.02374</x:v>
      </x:c>
      <x:c r="AI62" t="n">
        <x:v>-104.64</x:v>
      </x:c>
      <x:c r="AJ62" t="n">
        <x:v>0.061</x:v>
      </x:c>
      <x:c r="AK62" t="n">
        <x:v>57.72</x:v>
      </x:c>
      <x:c r="AL62" t="n">
        <x:v>0.03185</x:v>
      </x:c>
      <x:c r="AM62" t="n">
        <x:v>40.66</x:v>
      </x:c>
      <x:c r="AN62" t="n">
        <x:v>0.4164</x:v>
      </x:c>
      <x:c r="AO62" t="n">
        <x:v>0.461</x:v>
      </x:c>
      <x:c r="AP62" t="n">
        <x:v>0.7453</x:v>
      </x:c>
      <x:c r="AQ62" t="n">
        <x:v>0</x:v>
      </x:c>
      <x:c r="AR62" t="n">
        <x:v>0.6183656276326874</x:v>
      </x:c>
      <x:c r="AS62" t="n">
        <x:v>0.17332778009162841</x:v>
      </x:c>
      <x:c r="AT62" t="n">
        <x:v>0.21243850565223066</x:v>
      </x:c>
      <x:c r="AU62" t="n">
        <x:v>0.5555748221278608</x:v>
      </x:c>
      <x:c r="AV62" t="str">
        <x:v>NO</x:v>
      </x:c>
    </x:row>
    <x:row r="63">
      <x:c r="A63" t="n">
        <x:v>200</x:v>
      </x:c>
      <x:c r="B63" t="n">
        <x:v>3</x:v>
      </x:c>
      <x:c r="C63" t="n">
        <x:v>160.09903</x:v>
      </x:c>
      <x:c r="D63" t="n">
        <x:v>0.48507</x:v>
      </x:c>
      <x:c r="E63" t="n">
        <x:v>26.22</x:v>
      </x:c>
      <x:c r="F63" t="n">
        <x:v>160.03403</x:v>
      </x:c>
      <x:c r="G63" t="n">
        <x:v>0.40097</x:v>
      </x:c>
      <x:c r="H63" t="n">
        <x:v>25.54</x:v>
      </x:c>
      <x:c r="I63" t="n">
        <x:v>599.98321</x:v>
      </x:c>
      <x:c r="J63" t="n">
        <x:v>0.35505</x:v>
      </x:c>
      <x:c r="K63" t="n">
        <x:v>25.44</x:v>
      </x:c>
      <x:c r="L63" t="n">
        <x:v>200.07398</x:v>
      </x:c>
      <x:c r="M63" t="n">
        <x:v>0.01647</x:v>
      </x:c>
      <x:c r="N63" t="n">
        <x:v>200.07381</x:v>
      </x:c>
      <x:c r="O63" t="n">
        <x:v>0.04554</x:v>
      </x:c>
      <x:c r="P63" t="n">
        <x:v>199.87757</x:v>
      </x:c>
      <x:c r="Q63" t="n">
        <x:v>0.09147</x:v>
      </x:c>
      <x:c r="R63" t="n">
        <x:v>199.91967</x:v>
      </x:c>
      <x:c r="S63" t="n">
        <x:v>-0.08033</x:v>
      </x:c>
      <x:c r="T63" t="n">
        <x:v>0.01647</x:v>
      </x:c>
      <x:c r="U63" t="n">
        <x:v>0.04554</x:v>
      </x:c>
      <x:c r="V63" t="n">
        <x:v>0.09147</x:v>
      </x:c>
      <x:c r="W63" t="n">
        <x:v>0.1035</x:v>
      </x:c>
      <x:c r="X63" t="n">
        <x:v>17.44</x:v>
      </x:c>
      <x:c r="Y63" t="str">
        <x:v>Z</x:v>
      </x:c>
      <x:c r="Z63" t="n">
        <x:v>0.04416</x:v>
      </x:c>
      <x:c r="AA63" t="n">
        <x:v>85.61</x:v>
      </x:c>
      <x:c r="AB63" t="n">
        <x:v>0.04</x:v>
      </x:c>
      <x:c r="AC63" t="n">
        <x:v>55.95</x:v>
      </x:c>
      <x:c r="AD63" t="n">
        <x:v>0.03388</x:v>
      </x:c>
      <x:c r="AE63" t="n">
        <x:v>50.44</x:v>
      </x:c>
      <x:c r="AF63" t="n">
        <x:v>0.037</x:v>
      </x:c>
      <x:c r="AG63" t="n">
        <x:v>52.47</x:v>
      </x:c>
      <x:c r="AH63" t="n">
        <x:v>0.11043</x:v>
      </x:c>
      <x:c r="AI63" t="n">
        <x:v>43.4</x:v>
      </x:c>
      <x:c r="AJ63" t="n">
        <x:v>0.172</x:v>
      </x:c>
      <x:c r="AK63" t="n">
        <x:v>32.92</x:v>
      </x:c>
      <x:c r="AL63" t="n">
        <x:v>0.12639</x:v>
      </x:c>
      <x:c r="AM63" t="n">
        <x:v>29.58</x:v>
      </x:c>
      <x:c r="AN63" t="n">
        <x:v>0.3494</x:v>
      </x:c>
      <x:c r="AO63" t="n">
        <x:v>0.268</x:v>
      </x:c>
      <x:c r="AP63" t="n">
        <x:v>0.8738</x:v>
      </x:c>
      <x:c r="AQ63" t="n">
        <x:v>1</x:v>
      </x:c>
      <x:c r="AR63" t="n">
        <x:v>0.30680068821878115</x:v>
      </x:c>
      <x:c r="AS63" t="n">
        <x:v>0.12207667776809415</x:v>
      </x:c>
      <x:c r="AT63" t="n">
        <x:v>0.07185572499945082</x:v>
      </x:c>
      <x:c r="AU63" t="n">
        <x:v>0.7633939550189079</x:v>
      </x:c>
      <x:c r="AV63" t="str">
        <x:v>NO</x:v>
      </x:c>
    </x:row>
    <x:row r="64">
      <x:c r="A64" t="n">
        <x:v>200</x:v>
      </x:c>
      <x:c r="B64" t="n">
        <x:v>5</x:v>
      </x:c>
      <x:c r="C64" t="n">
        <x:v>220.11416</x:v>
      </x:c>
      <x:c r="D64" t="n">
        <x:v>0.37732</x:v>
      </x:c>
      <x:c r="E64" t="n">
        <x:v>26.26</x:v>
      </x:c>
      <x:c r="F64" t="n">
        <x:v>139.94141</x:v>
      </x:c>
      <x:c r="G64" t="n">
        <x:v>0.38985</x:v>
      </x:c>
      <x:c r="H64" t="n">
        <x:v>25.25</x:v>
      </x:c>
      <x:c r="I64" t="n">
        <x:v>599.99464</x:v>
      </x:c>
      <x:c r="J64" t="n">
        <x:v>0.3754</x:v>
      </x:c>
      <x:c r="K64" t="n">
        <x:v>25.65</x:v>
      </x:c>
      <x:c r="L64" t="n">
        <x:v>199.94458</x:v>
      </x:c>
      <x:c r="M64" t="n">
        <x:v>0.08247</x:v>
      </x:c>
      <x:c r="N64" t="n">
        <x:v>200.03261</x:v>
      </x:c>
      <x:c r="O64" t="n">
        <x:v>0.07021</x:v>
      </x:c>
      <x:c r="P64" t="n">
        <x:v>199.99117</x:v>
      </x:c>
      <x:c r="Q64" t="n">
        <x:v>0.32579</x:v>
      </x:c>
      <x:c r="R64" t="n">
        <x:v>199.99016</x:v>
      </x:c>
      <x:c r="S64" t="n">
        <x:v>-0.00984</x:v>
      </x:c>
      <x:c r="T64" t="n">
        <x:v>0.08247</x:v>
      </x:c>
      <x:c r="U64" t="n">
        <x:v>0.07021</x:v>
      </x:c>
      <x:c r="V64" t="n">
        <x:v>0.32579</x:v>
      </x:c>
      <x:c r="W64" t="n">
        <x:v>0.34332</x:v>
      </x:c>
      <x:c r="X64" t="n">
        <x:v>27.33</x:v>
      </x:c>
      <x:c r="Y64" t="str">
        <x:v>Z</x:v>
      </x:c>
      <x:c r="Z64" t="n">
        <x:v>0.06988</x:v>
      </x:c>
      <x:c r="AA64" t="n">
        <x:v>76.39</x:v>
      </x:c>
      <x:c r="AB64" t="n">
        <x:v>0.084</x:v>
      </x:c>
      <x:c r="AC64" t="n">
        <x:v>46.88</x:v>
      </x:c>
      <x:c r="AD64" t="n">
        <x:v>0.06234</x:v>
      </x:c>
      <x:c r="AE64" t="n">
        <x:v>137.58</x:v>
      </x:c>
      <x:c r="AF64" t="n">
        <x:v>0.065</x:v>
      </x:c>
      <x:c r="AG64" t="n">
        <x:v>25.81</x:v>
      </x:c>
      <x:c r="AH64" t="n">
        <x:v>0.42465</x:v>
      </x:c>
      <x:c r="AI64" t="n">
        <x:v>23.51</x:v>
      </x:c>
      <x:c r="AJ64" t="n">
        <x:v>0.57</x:v>
      </x:c>
      <x:c r="AK64" t="n">
        <x:v>4.43</x:v>
      </x:c>
      <x:c r="AL64" t="n">
        <x:v>0.43612</x:v>
      </x:c>
      <x:c r="AM64" t="n">
        <x:v>4</x:v>
      </x:c>
      <x:c r="AN64" t="n">
        <x:v>0.1602</x:v>
      </x:c>
      <x:c r="AO64" t="n">
        <x:v>0.143</x:v>
      </x:c>
      <x:c r="AP64" t="n">
        <x:v>0.9737</x:v>
      </x:c>
      <x:c r="AQ64" t="n">
        <x:v>1</x:v>
      </x:c>
      <x:c r="AR64" t="n">
        <x:v>0.14680324973507594</x:v>
      </x:c>
      <x:c r="AS64" t="n">
        <x:v>0.025674014715692795</x:v>
      </x:c>
      <x:c r="AT64" t="n">
        <x:v>0.02043250383264717</x:v>
      </x:c>
      <x:c r="AU64" t="n">
        <x:v>0.9480914935274799</x:v>
      </x:c>
      <x:c r="AV64" t="str">
        <x:v>NO</x:v>
      </x:c>
    </x:row>
    <x:row r="65">
      <x:c r="A65" t="n">
        <x:v>200</x:v>
      </x:c>
      <x:c r="B65" t="n">
        <x:v>7</x:v>
      </x:c>
      <x:c r="C65" t="n">
        <x:v>559.71962</x:v>
      </x:c>
      <x:c r="D65" t="n">
        <x:v>0.68343</x:v>
      </x:c>
      <x:c r="E65" t="n">
        <x:v>29.06</x:v>
      </x:c>
      <x:c r="F65" t="n">
        <x:v>159.71947</x:v>
      </x:c>
      <x:c r="G65" t="n">
        <x:v>0.46724</x:v>
      </x:c>
      <x:c r="H65" t="n">
        <x:v>24.54</x:v>
      </x:c>
      <x:c r="I65" t="n">
        <x:v>199.99939</x:v>
      </x:c>
      <x:c r="J65" t="n">
        <x:v>1.09844</x:v>
      </x:c>
      <x:c r="K65" t="n">
        <x:v>33.94</x:v>
      </x:c>
      <x:c r="L65" t="n">
        <x:v>200.00558</x:v>
      </x:c>
      <x:c r="M65" t="n">
        <x:v>0.16902</x:v>
      </x:c>
      <x:c r="N65" t="n">
        <x:v>200.02294</x:v>
      </x:c>
      <x:c r="O65" t="n">
        <x:v>0.26256</x:v>
      </x:c>
      <x:c r="P65" t="n">
        <x:v>199.99939</x:v>
      </x:c>
      <x:c r="Q65" t="n">
        <x:v>1.09844</x:v>
      </x:c>
      <x:c r="R65" t="n">
        <x:v>200.00077</x:v>
      </x:c>
      <x:c r="S65" t="n">
        <x:v>0.00077</x:v>
      </x:c>
      <x:c r="T65" t="n">
        <x:v>0.16902</x:v>
      </x:c>
      <x:c r="U65" t="n">
        <x:v>0.26256</x:v>
      </x:c>
      <x:c r="V65" t="n">
        <x:v>1.09844</x:v>
      </x:c>
      <x:c r="W65" t="n">
        <x:v>1.14196</x:v>
      </x:c>
      <x:c r="X65" t="n">
        <x:v>36.97</x:v>
      </x:c>
      <x:c r="Y65" t="str">
        <x:v>Z</x:v>
      </x:c>
      <x:c r="Z65" t="n">
        <x:v>0.15563</x:v>
      </x:c>
      <x:c r="AA65" t="n">
        <x:v>85.31</x:v>
      </x:c>
      <x:c r="AB65" t="n">
        <x:v>0.124</x:v>
      </x:c>
      <x:c r="AC65" t="n">
        <x:v>14.2</x:v>
      </x:c>
      <x:c r="AD65" t="n">
        <x:v>0.31963</x:v>
      </x:c>
      <x:c r="AE65" t="n">
        <x:v>178.15</x:v>
      </x:c>
      <x:c r="AF65" t="n">
        <x:v>0.25</x:v>
      </x:c>
      <x:c r="AG65" t="n">
        <x:v>10.35</x:v>
      </x:c>
      <x:c r="AH65" t="n">
        <x:v>1.10603</x:v>
      </x:c>
      <x:c r="AI65" t="n">
        <x:v>24.4</x:v>
      </x:c>
      <x:c r="AJ65" t="n">
        <x:v>0.857</x:v>
      </x:c>
      <x:c r="AK65" t="n">
        <x:v>3.55</x:v>
      </x:c>
      <x:c r="AL65" t="n">
        <x:v>1.16247</x:v>
      </x:c>
      <x:c r="AM65" t="n">
        <x:v>2.81</x:v>
      </x:c>
      <x:c r="AN65" t="n">
        <x:v>0.1339</x:v>
      </x:c>
      <x:c r="AO65" t="n">
        <x:v>0.275</x:v>
      </x:c>
      <x:c r="AP65" t="n">
        <x:v>0.9515</x:v>
      </x:c>
      <x:c r="AQ65" t="n">
        <x:v>1</x:v>
      </x:c>
      <x:c r="AR65" t="n">
        <x:v>0.2889885446145222</x:v>
      </x:c>
      <x:c r="AS65" t="n">
        <x:v>0.017923512673467222</x:v>
      </x:c>
      <x:c r="AT65" t="n">
        <x:v>0.07560170011833359</x:v>
      </x:c>
      <x:c r="AU65" t="n">
        <x:v>0.9052536952012116</x:v>
      </x:c>
      <x:c r="AV65" t="str">
        <x:v>YES</x:v>
      </x:c>
    </x:row>
    <x:row r="66">
      <x:c r="A66" t="n">
        <x:v>200</x:v>
      </x:c>
      <x:c r="B66" t="n">
        <x:v>9</x:v>
      </x:c>
      <x:c r="C66" t="n">
        <x:v>559.9756</x:v>
      </x:c>
      <x:c r="D66" t="n">
        <x:v>0.62024</x:v>
      </x:c>
      <x:c r="E66" t="n">
        <x:v>27.95</x:v>
      </x:c>
      <x:c r="F66" t="n">
        <x:v>200.01981</x:v>
      </x:c>
      <x:c r="G66" t="n">
        <x:v>0.50814</x:v>
      </x:c>
      <x:c r="H66" t="n">
        <x:v>26.22</x:v>
      </x:c>
      <x:c r="I66" t="n">
        <x:v>199.99415</x:v>
      </x:c>
      <x:c r="J66" t="n">
        <x:v>1.68155</x:v>
      </x:c>
      <x:c r="K66" t="n">
        <x:v>37.12</x:v>
      </x:c>
      <x:c r="L66" t="n">
        <x:v>200.0384</x:v>
      </x:c>
      <x:c r="M66" t="n">
        <x:v>0.24363</x:v>
      </x:c>
      <x:c r="N66" t="n">
        <x:v>200.01981</x:v>
      </x:c>
      <x:c r="O66" t="n">
        <x:v>0.50814</x:v>
      </x:c>
      <x:c r="P66" t="n">
        <x:v>199.99415</x:v>
      </x:c>
      <x:c r="Q66" t="n">
        <x:v>1.68155</x:v>
      </x:c>
      <x:c r="R66" t="n">
        <x:v>199.99709</x:v>
      </x:c>
      <x:c r="S66" t="n">
        <x:v>-0.00291</x:v>
      </x:c>
      <x:c r="T66" t="n">
        <x:v>0.24363</x:v>
      </x:c>
      <x:c r="U66" t="n">
        <x:v>0.50814</x:v>
      </x:c>
      <x:c r="V66" t="n">
        <x:v>1.68155</x:v>
      </x:c>
      <x:c r="W66" t="n">
        <x:v>1.77347</x:v>
      </x:c>
      <x:c r="X66" t="n">
        <x:v>38.24</x:v>
      </x:c>
      <x:c r="Y66" t="str">
        <x:v>Z</x:v>
      </x:c>
      <x:c r="Z66" t="n">
        <x:v>0.20878</x:v>
      </x:c>
      <x:c r="AA66" t="n">
        <x:v>84.41</x:v>
      </x:c>
      <x:c r="AB66" t="n">
        <x:v>0.173</x:v>
      </x:c>
      <x:c r="AC66" t="n">
        <x:v>12.12</x:v>
      </x:c>
      <x:c r="AD66" t="n">
        <x:v>0.51285</x:v>
      </x:c>
      <x:c r="AE66" t="n">
        <x:v>-173.46</x:v>
      </x:c>
      <x:c r="AF66" t="n">
        <x:v>0.463</x:v>
      </x:c>
      <x:c r="AG66" t="n">
        <x:v>5.07</x:v>
      </x:c>
      <x:c r="AH66" t="n">
        <x:v>1.69444</x:v>
      </x:c>
      <x:c r="AI66" t="n">
        <x:v>26.68</x:v>
      </x:c>
      <x:c r="AJ66" t="n">
        <x:v>0.898</x:v>
      </x:c>
      <x:c r="AK66" t="n">
        <x:v>1.5</x:v>
      </x:c>
      <x:c r="AL66" t="n">
        <x:v>1.78294</x:v>
      </x:c>
      <x:c r="AM66" t="n">
        <x:v>1.32</x:v>
      </x:c>
      <x:c r="AN66" t="n">
        <x:v>0.1171</x:v>
      </x:c>
      <x:c r="AO66" t="n">
        <x:v>0.2876</x:v>
      </x:c>
      <x:c r="AP66" t="n">
        <x:v>0.9504</x:v>
      </x:c>
      <x:c r="AQ66" t="n">
        <x:v>1</x:v>
      </x:c>
      <x:c r="AR66" t="n">
        <x:v>0.30266636764948895</x:v>
      </x:c>
      <x:c r="AS66" t="n">
        <x:v>0.01371211129791261</x:v>
      </x:c>
      <x:c r="AT66" t="n">
        <x:v>0.0827384275545923</x:v>
      </x:c>
      <x:c r="AU66" t="n">
        <x:v>0.9031896108594811</x:v>
      </x:c>
      <x:c r="AV66" t="str">
        <x:v>YES</x:v>
      </x:c>
    </x:row>
    <x:row r="67">
      <x:c r="A67" t="n">
        <x:v>200</x:v>
      </x:c>
      <x:c r="B67" t="n">
        <x:v>11</x:v>
      </x:c>
      <x:c r="C67" t="n">
        <x:v>559.77398</x:v>
      </x:c>
      <x:c r="D67" t="n">
        <x:v>0.51711</x:v>
      </x:c>
      <x:c r="E67" t="n">
        <x:v>26.27</x:v>
      </x:c>
      <x:c r="F67" t="n">
        <x:v>199.9926</x:v>
      </x:c>
      <x:c r="G67" t="n">
        <x:v>0.70444</x:v>
      </x:c>
      <x:c r="H67" t="n">
        <x:v>28.24</x:v>
      </x:c>
      <x:c r="I67" t="n">
        <x:v>200.00535</x:v>
      </x:c>
      <x:c r="J67" t="n">
        <x:v>2.3105</x:v>
      </x:c>
      <x:c r="K67" t="n">
        <x:v>39.36</x:v>
      </x:c>
      <x:c r="L67" t="n">
        <x:v>200.00671</x:v>
      </x:c>
      <x:c r="M67" t="n">
        <x:v>0.27585</x:v>
      </x:c>
      <x:c r="N67" t="n">
        <x:v>199.9926</x:v>
      </x:c>
      <x:c r="O67" t="n">
        <x:v>0.70444</x:v>
      </x:c>
      <x:c r="P67" t="n">
        <x:v>200.00535</x:v>
      </x:c>
      <x:c r="Q67" t="n">
        <x:v>2.3105</x:v>
      </x:c>
      <x:c r="R67" t="n">
        <x:v>200.0043</x:v>
      </x:c>
      <x:c r="S67" t="n">
        <x:v>0.0043</x:v>
      </x:c>
      <x:c r="T67" t="n">
        <x:v>0.27585</x:v>
      </x:c>
      <x:c r="U67" t="n">
        <x:v>0.70444</x:v>
      </x:c>
      <x:c r="V67" t="n">
        <x:v>2.3105</x:v>
      </x:c>
      <x:c r="W67" t="n">
        <x:v>2.4312</x:v>
      </x:c>
      <x:c r="X67" t="n">
        <x:v>41.3</x:v>
      </x:c>
      <x:c r="Y67" t="str">
        <x:v>Z</x:v>
      </x:c>
      <x:c r="Z67" t="n">
        <x:v>0.30901</x:v>
      </x:c>
      <x:c r="AA67" t="n">
        <x:v>81.23</x:v>
      </x:c>
      <x:c r="AB67" t="n">
        <x:v>0.267</x:v>
      </x:c>
      <x:c r="AC67" t="n">
        <x:v>19.14</x:v>
      </x:c>
      <x:c r="AD67" t="n">
        <x:v>0.72017</x:v>
      </x:c>
      <x:c r="AE67" t="n">
        <x:v>-174.28</x:v>
      </x:c>
      <x:c r="AF67" t="n">
        <x:v>0.567</x:v>
      </x:c>
      <x:c r="AG67" t="n">
        <x:v>3.64</x:v>
      </x:c>
      <x:c r="AH67" t="n">
        <x:v>2.35038</x:v>
      </x:c>
      <x:c r="AI67" t="n">
        <x:v>26.49</x:v>
      </x:c>
      <x:c r="AJ67" t="n">
        <x:v>0.962</x:v>
      </x:c>
      <x:c r="AK67" t="n">
        <x:v>0.98</x:v>
      </x:c>
      <x:c r="AL67" t="n">
        <x:v>2.47828</x:v>
      </x:c>
      <x:c r="AM67" t="n">
        <x:v>0.82</x:v>
      </x:c>
      <x:c r="AN67" t="n">
        <x:v>0.1247</x:v>
      </x:c>
      <x:c r="AO67" t="n">
        <x:v>0.2906</x:v>
      </x:c>
      <x:c r="AP67" t="n">
        <x:v>0.9484</x:v>
      </x:c>
      <x:c r="AQ67" t="n">
        <x:v>1</x:v>
      </x:c>
      <x:c r="AR67" t="n">
        <x:v>0.30640577268356606</x:v>
      </x:c>
      <x:c r="AS67" t="n">
        <x:v>0.015546918570777044</x:v>
      </x:c>
      <x:c r="AT67" t="n">
        <x:v>0.08444409934002116</x:v>
      </x:c>
      <x:c r="AU67" t="n">
        <x:v>0.8994466771216199</x:v>
      </x:c>
      <x:c r="AV67" t="str">
        <x:v>YES</x:v>
      </x:c>
    </x:row>
    <x:row r="68">
      <x:c r="A68" t="n">
        <x:v>200</x:v>
      </x:c>
      <x:c r="B68" t="n">
        <x:v>13</x:v>
      </x:c>
      <x:c r="C68" t="n">
        <x:v>359.63722</x:v>
      </x:c>
      <x:c r="D68" t="n">
        <x:v>0.4063</x:v>
      </x:c>
      <x:c r="E68" t="n">
        <x:v>25.27</x:v>
      </x:c>
      <x:c r="F68" t="n">
        <x:v>199.99982</x:v>
      </x:c>
      <x:c r="G68" t="n">
        <x:v>0.89375</x:v>
      </x:c>
      <x:c r="H68" t="n">
        <x:v>30.24</x:v>
      </x:c>
      <x:c r="I68" t="n">
        <x:v>200.00082</x:v>
      </x:c>
      <x:c r="J68" t="n">
        <x:v>2.88514</x:v>
      </x:c>
      <x:c r="K68" t="n">
        <x:v>40.92</x:v>
      </x:c>
      <x:c r="L68" t="n">
        <x:v>199.98265</x:v>
      </x:c>
      <x:c r="M68" t="n">
        <x:v>0.37418</x:v>
      </x:c>
      <x:c r="N68" t="n">
        <x:v>199.99982</x:v>
      </x:c>
      <x:c r="O68" t="n">
        <x:v>0.89375</x:v>
      </x:c>
      <x:c r="P68" t="n">
        <x:v>200.00082</x:v>
      </x:c>
      <x:c r="Q68" t="n">
        <x:v>2.88514</x:v>
      </x:c>
      <x:c r="R68" t="n">
        <x:v>200.00046</x:v>
      </x:c>
      <x:c r="S68" t="n">
        <x:v>0.00046</x:v>
      </x:c>
      <x:c r="T68" t="n">
        <x:v>0.37418</x:v>
      </x:c>
      <x:c r="U68" t="n">
        <x:v>0.89375</x:v>
      </x:c>
      <x:c r="V68" t="n">
        <x:v>2.88514</x:v>
      </x:c>
      <x:c r="W68" t="n">
        <x:v>3.04349</x:v>
      </x:c>
      <x:c r="X68" t="n">
        <x:v>44.89</x:v>
      </x:c>
      <x:c r="Y68" t="str">
        <x:v>Z</x:v>
      </x:c>
      <x:c r="Z68" t="n">
        <x:v>0.38005</x:v>
      </x:c>
      <x:c r="AA68" t="n">
        <x:v>79.52</x:v>
      </x:c>
      <x:c r="AB68" t="n">
        <x:v>0.396</x:v>
      </x:c>
      <x:c r="AC68" t="n">
        <x:v>5.21</x:v>
      </x:c>
      <x:c r="AD68" t="n">
        <x:v>0.86602</x:v>
      </x:c>
      <x:c r="AE68" t="n">
        <x:v>-170.9</x:v>
      </x:c>
      <x:c r="AF68" t="n">
        <x:v>0.622</x:v>
      </x:c>
      <x:c r="AG68" t="n">
        <x:v>2.7</x:v>
      </x:c>
      <x:c r="AH68" t="n">
        <x:v>2.83345</x:v>
      </x:c>
      <x:c r="AI68" t="n">
        <x:v>28.5</x:v>
      </x:c>
      <x:c r="AJ68" t="n">
        <x:v>0.949</x:v>
      </x:c>
      <x:c r="AK68" t="n">
        <x:v>1.7</x:v>
      </x:c>
      <x:c r="AL68" t="n">
        <x:v>2.98723</x:v>
      </x:c>
      <x:c r="AM68" t="n">
        <x:v>1.65</x:v>
      </x:c>
      <x:c r="AN68" t="n">
        <x:v>0.1272</x:v>
      </x:c>
      <x:c r="AO68" t="n">
        <x:v>0.2899</x:v>
      </x:c>
      <x:c r="AP68" t="n">
        <x:v>0.9485</x:v>
      </x:c>
      <x:c r="AQ68" t="n">
        <x:v>1</x:v>
      </x:c>
      <x:c r="AR68" t="n">
        <x:v>0.3056415324074891</x:v>
      </x:c>
      <x:c r="AS68" t="n">
        <x:v>0.01618617194090151</x:v>
      </x:c>
      <x:c r="AT68" t="n">
        <x:v>0.08404628456130328</x:v>
      </x:c>
      <x:c r="AU68" t="n">
        <x:v>0.8996918417844196</x:v>
      </x:c>
      <x:c r="AV68" t="str">
        <x:v>YES</x:v>
      </x:c>
    </x:row>
    <x:row r="69">
      <x:c r="A69" t="n">
        <x:v>200</x:v>
      </x:c>
      <x:c r="B69" t="n">
        <x:v>15</x:v>
      </x:c>
      <x:c r="C69" t="n">
        <x:v>199.99654</x:v>
      </x:c>
      <x:c r="D69" t="n">
        <x:v>0.46037</x:v>
      </x:c>
      <x:c r="E69" t="n">
        <x:v>25.16</x:v>
      </x:c>
      <x:c r="F69" t="n">
        <x:v>199.99925</x:v>
      </x:c>
      <x:c r="G69" t="n">
        <x:v>1.04288</x:v>
      </x:c>
      <x:c r="H69" t="n">
        <x:v>30.47</x:v>
      </x:c>
      <x:c r="I69" t="n">
        <x:v>199.99801</x:v>
      </x:c>
      <x:c r="J69" t="n">
        <x:v>3.4436</x:v>
      </x:c>
      <x:c r="K69" t="n">
        <x:v>41.21</x:v>
      </x:c>
      <x:c r="L69" t="n">
        <x:v>199.99654</x:v>
      </x:c>
      <x:c r="M69" t="n">
        <x:v>0.46037</x:v>
      </x:c>
      <x:c r="N69" t="n">
        <x:v>199.99925</x:v>
      </x:c>
      <x:c r="O69" t="n">
        <x:v>1.04288</x:v>
      </x:c>
      <x:c r="P69" t="n">
        <x:v>199.99801</x:v>
      </x:c>
      <x:c r="Q69" t="n">
        <x:v>3.4436</x:v>
      </x:c>
      <x:c r="R69" t="n">
        <x:v>199.99809</x:v>
      </x:c>
      <x:c r="S69" t="n">
        <x:v>-0.00191</x:v>
      </x:c>
      <x:c r="T69" t="n">
        <x:v>0.46037</x:v>
      </x:c>
      <x:c r="U69" t="n">
        <x:v>1.04288</x:v>
      </x:c>
      <x:c r="V69" t="n">
        <x:v>3.4436</x:v>
      </x:c>
      <x:c r="W69" t="n">
        <x:v>3.62739</x:v>
      </x:c>
      <x:c r="X69" t="n">
        <x:v>46.26</x:v>
      </x:c>
      <x:c r="Y69" t="str">
        <x:v>Z</x:v>
      </x:c>
      <x:c r="Z69" t="n">
        <x:v>0.43286</x:v>
      </x:c>
      <x:c r="AA69" t="n">
        <x:v>80.52</x:v>
      </x:c>
      <x:c r="AB69" t="n">
        <x:v>0.373</x:v>
      </x:c>
      <x:c r="AC69" t="n">
        <x:v>6.57</x:v>
      </x:c>
      <x:c r="AD69" t="n">
        <x:v>1.09221</x:v>
      </x:c>
      <x:c r="AE69" t="n">
        <x:v>-172.57</x:v>
      </x:c>
      <x:c r="AF69" t="n">
        <x:v>0.666</x:v>
      </x:c>
      <x:c r="AG69" t="n">
        <x:v>2.59</x:v>
      </x:c>
      <x:c r="AH69" t="n">
        <x:v>3.4694</x:v>
      </x:c>
      <x:c r="AI69" t="n">
        <x:v>26.77</x:v>
      </x:c>
      <x:c r="AJ69" t="n">
        <x:v>0.962</x:v>
      </x:c>
      <x:c r="AK69" t="n">
        <x:v>2</x:v>
      </x:c>
      <x:c r="AL69" t="n">
        <x:v>3.66316</x:v>
      </x:c>
      <x:c r="AM69" t="n">
        <x:v>1.78</x:v>
      </x:c>
      <x:c r="AN69" t="n">
        <x:v>0.1182</x:v>
      </x:c>
      <x:c r="AO69" t="n">
        <x:v>0.2982</x:v>
      </x:c>
      <x:c r="AP69" t="n">
        <x:v>0.9471</x:v>
      </x:c>
      <x:c r="AQ69" t="n">
        <x:v>1</x:v>
      </x:c>
      <x:c r="AR69" t="n">
        <x:v>0.31481235948579006</x:v>
      </x:c>
      <x:c r="AS69" t="n">
        <x:v>0.013963141326629748</x:v>
      </x:c>
      <x:c r="AT69" t="n">
        <x:v>0.08889974607902537</x:v>
      </x:c>
      <x:c r="AU69" t="n">
        <x:v>0.8970093538220212</x:v>
      </x:c>
      <x:c r="AV69" t="str">
        <x:v>YES</x:v>
      </x:c>
    </x:row>
    <x:row r="70">
      <x:c r="A70" t="n">
        <x:v>200</x:v>
      </x:c>
      <x:c r="B70" t="n">
        <x:v>17</x:v>
      </x:c>
      <x:c r="C70" t="n">
        <x:v>559.59345</x:v>
      </x:c>
      <x:c r="D70" t="n">
        <x:v>0.86311</x:v>
      </x:c>
      <x:c r="E70" t="n">
        <x:v>28.69</x:v>
      </x:c>
      <x:c r="F70" t="n">
        <x:v>200.00531</x:v>
      </x:c>
      <x:c r="G70" t="n">
        <x:v>1.22587</x:v>
      </x:c>
      <x:c r="H70" t="n">
        <x:v>31.52</x:v>
      </x:c>
      <x:c r="I70" t="n">
        <x:v>199.99576</x:v>
      </x:c>
      <x:c r="J70" t="n">
        <x:v>3.99446</x:v>
      </x:c>
      <x:c r="K70" t="n">
        <x:v>41.62</x:v>
      </x:c>
      <x:c r="L70" t="n">
        <x:v>199.98792</x:v>
      </x:c>
      <x:c r="M70" t="n">
        <x:v>0.53892</x:v>
      </x:c>
      <x:c r="N70" t="n">
        <x:v>200.00531</x:v>
      </x:c>
      <x:c r="O70" t="n">
        <x:v>1.22587</x:v>
      </x:c>
      <x:c r="P70" t="n">
        <x:v>199.99576</x:v>
      </x:c>
      <x:c r="Q70" t="n">
        <x:v>3.99446</x:v>
      </x:c>
      <x:c r="R70" t="n">
        <x:v>199.99644</x:v>
      </x:c>
      <x:c r="S70" t="n">
        <x:v>-0.00356</x:v>
      </x:c>
      <x:c r="T70" t="n">
        <x:v>0.53892</x:v>
      </x:c>
      <x:c r="U70" t="n">
        <x:v>1.22587</x:v>
      </x:c>
      <x:c r="V70" t="n">
        <x:v>3.99446</x:v>
      </x:c>
      <x:c r="W70" t="n">
        <x:v>4.21294</x:v>
      </x:c>
      <x:c r="X70" t="n">
        <x:v>43.53</x:v>
      </x:c>
      <x:c r="Y70" t="str">
        <x:v>Z</x:v>
      </x:c>
      <x:c r="Z70" t="n">
        <x:v>0.50652</x:v>
      </x:c>
      <x:c r="AA70" t="n">
        <x:v>78.56</x:v>
      </x:c>
      <x:c r="AB70" t="n">
        <x:v>0.316</x:v>
      </x:c>
      <x:c r="AC70" t="n">
        <x:v>5.3</x:v>
      </x:c>
      <x:c r="AD70" t="n">
        <x:v>1.26611</x:v>
      </x:c>
      <x:c r="AE70" t="n">
        <x:v>-172.49</x:v>
      </x:c>
      <x:c r="AF70" t="n">
        <x:v>0.687</x:v>
      </x:c>
      <x:c r="AG70" t="n">
        <x:v>2.34</x:v>
      </x:c>
      <x:c r="AH70" t="n">
        <x:v>3.98518</x:v>
      </x:c>
      <x:c r="AI70" t="n">
        <x:v>26.37</x:v>
      </x:c>
      <x:c r="AJ70" t="n">
        <x:v>0.955</x:v>
      </x:c>
      <x:c r="AK70" t="n">
        <x:v>2.06</x:v>
      </x:c>
      <x:c r="AL70" t="n">
        <x:v>4.21214</x:v>
      </x:c>
      <x:c r="AM70" t="n">
        <x:v>2.03</x:v>
      </x:c>
      <x:c r="AN70" t="n">
        <x:v>0.1203</x:v>
      </x:c>
      <x:c r="AO70" t="n">
        <x:v>0.3006</x:v>
      </x:c>
      <x:c r="AP70" t="n">
        <x:v>0.9461</x:v>
      </x:c>
      <x:c r="AQ70" t="n">
        <x:v>1</x:v>
      </x:c>
      <x:c r="AR70" t="n">
        <x:v>0.31770459552642544</x:v>
      </x:c>
      <x:c r="AS70" t="n">
        <x:v>0.014460642895483248</x:v>
      </x:c>
      <x:c r="AT70" t="n">
        <x:v>0.09035189857507016</x:v>
      </x:c>
      <x:c r="AU70" t="n">
        <x:v>0.8951386084182478</x:v>
      </x:c>
      <x:c r="AV70" t="str">
        <x:v>YES</x:v>
      </x:c>
    </x:row>
    <x:row r="71">
      <x:c r="A71" t="n">
        <x:v>200</x:v>
      </x:c>
      <x:c r="B71" t="n">
        <x:v>19</x:v>
      </x:c>
      <x:c r="C71" t="n">
        <x:v>199.99922</x:v>
      </x:c>
      <x:c r="D71" t="n">
        <x:v>0.5827</x:v>
      </x:c>
      <x:c r="E71" t="n">
        <x:v>28</x:v>
      </x:c>
      <x:c r="F71" t="n">
        <x:v>199.99732</x:v>
      </x:c>
      <x:c r="G71" t="n">
        <x:v>1.4335</x:v>
      </x:c>
      <x:c r="H71" t="n">
        <x:v>34.34</x:v>
      </x:c>
      <x:c r="I71" t="n">
        <x:v>199.99928</x:v>
      </x:c>
      <x:c r="J71" t="n">
        <x:v>4.53549</x:v>
      </x:c>
      <x:c r="K71" t="n">
        <x:v>42.17</x:v>
      </x:c>
      <x:c r="L71" t="n">
        <x:v>199.99922</x:v>
      </x:c>
      <x:c r="M71" t="n">
        <x:v>0.5827</x:v>
      </x:c>
      <x:c r="N71" t="n">
        <x:v>199.99732</x:v>
      </x:c>
      <x:c r="O71" t="n">
        <x:v>1.4335</x:v>
      </x:c>
      <x:c r="P71" t="n">
        <x:v>199.99928</x:v>
      </x:c>
      <x:c r="Q71" t="n">
        <x:v>4.53549</x:v>
      </x:c>
      <x:c r="R71" t="n">
        <x:v>199.99911</x:v>
      </x:c>
      <x:c r="S71" t="n">
        <x:v>-0.00089</x:v>
      </x:c>
      <x:c r="T71" t="n">
        <x:v>0.5827</x:v>
      </x:c>
      <x:c r="U71" t="n">
        <x:v>1.4335</x:v>
      </x:c>
      <x:c r="V71" t="n">
        <x:v>4.53549</x:v>
      </x:c>
      <x:c r="W71" t="n">
        <x:v>4.7922</x:v>
      </x:c>
      <x:c r="X71" t="n">
        <x:v>47.2</x:v>
      </x:c>
      <x:c r="Y71" t="str">
        <x:v>Z</x:v>
      </x:c>
      <x:c r="Z71" t="n">
        <x:v>0.56155</x:v>
      </x:c>
      <x:c r="AA71" t="n">
        <x:v>79.18</x:v>
      </x:c>
      <x:c r="AB71" t="n">
        <x:v>0.534</x:v>
      </x:c>
      <x:c r="AC71" t="n">
        <x:v>6.36</x:v>
      </x:c>
      <x:c r="AD71" t="n">
        <x:v>1.42897</x:v>
      </x:c>
      <x:c r="AE71" t="n">
        <x:v>-171.72</x:v>
      </x:c>
      <x:c r="AF71" t="n">
        <x:v>0.82</x:v>
      </x:c>
      <x:c r="AG71" t="n">
        <x:v>1.41</x:v>
      </x:c>
      <x:c r="AH71" t="n">
        <x:v>4.52668</x:v>
      </x:c>
      <x:c r="AI71" t="n">
        <x:v>27.52</x:v>
      </x:c>
      <x:c r="AJ71" t="n">
        <x:v>0.962</x:v>
      </x:c>
      <x:c r="AK71" t="n">
        <x:v>1.65</x:v>
      </x:c>
      <x:c r="AL71" t="n">
        <x:v>4.78014</x:v>
      </x:c>
      <x:c r="AM71" t="n">
        <x:v>1.52</x:v>
      </x:c>
      <x:c r="AN71" t="n">
        <x:v>0.1175</x:v>
      </x:c>
      <x:c r="AO71" t="n">
        <x:v>0.2989</x:v>
      </x:c>
      <x:c r="AP71" t="n">
        <x:v>0.947</x:v>
      </x:c>
      <x:c r="AQ71" t="n">
        <x:v>1</x:v>
      </x:c>
      <x:c r="AR71" t="n">
        <x:v>0.31567727341009305</x:v>
      </x:c>
      <x:c r="AS71" t="n">
        <x:v>0.013800525708841799</x:v>
      </x:c>
      <x:c r="AT71" t="n">
        <x:v>0.08936449176803074</x:v>
      </x:c>
      <x:c r="AU71" t="n">
        <x:v>0.8967643938025748</x:v>
      </x:c>
      <x:c r="AV71" t="str">
        <x:v>YES</x:v>
      </x:c>
    </x:row>
    <x:row r="72">
      <x:c r="A72" t="n">
        <x:v>200</x:v>
      </x:c>
      <x:c r="B72" t="n">
        <x:v>21</x:v>
      </x:c>
      <x:c r="C72" t="n">
        <x:v>159.6551</x:v>
      </x:c>
      <x:c r="D72" t="n">
        <x:v>0.70385</x:v>
      </x:c>
      <x:c r="E72" t="n">
        <x:v>30.93</x:v>
      </x:c>
      <x:c r="F72" t="n">
        <x:v>200.00506</x:v>
      </x:c>
      <x:c r="G72" t="n">
        <x:v>1.61478</x:v>
      </x:c>
      <x:c r="H72" t="n">
        <x:v>36.75</x:v>
      </x:c>
      <x:c r="I72" t="n">
        <x:v>200.00211</x:v>
      </x:c>
      <x:c r="J72" t="n">
        <x:v>5.11975</x:v>
      </x:c>
      <x:c r="K72" t="n">
        <x:v>43.33</x:v>
      </x:c>
      <x:c r="L72" t="n">
        <x:v>200.00269</x:v>
      </x:c>
      <x:c r="M72" t="n">
        <x:v>0.66101</x:v>
      </x:c>
      <x:c r="N72" t="n">
        <x:v>200.00506</x:v>
      </x:c>
      <x:c r="O72" t="n">
        <x:v>1.61478</x:v>
      </x:c>
      <x:c r="P72" t="n">
        <x:v>200.00211</x:v>
      </x:c>
      <x:c r="Q72" t="n">
        <x:v>5.11975</x:v>
      </x:c>
      <x:c r="R72" t="n">
        <x:v>200.00238</x:v>
      </x:c>
      <x:c r="S72" t="n">
        <x:v>0.00238</x:v>
      </x:c>
      <x:c r="T72" t="n">
        <x:v>0.66101</x:v>
      </x:c>
      <x:c r="U72" t="n">
        <x:v>1.61478</x:v>
      </x:c>
      <x:c r="V72" t="n">
        <x:v>5.11975</x:v>
      </x:c>
      <x:c r="W72" t="n">
        <x:v>5.4089</x:v>
      </x:c>
      <x:c r="X72" t="n">
        <x:v>48.67</x:v>
      </x:c>
      <x:c r="Y72" t="str">
        <x:v>Z</x:v>
      </x:c>
      <x:c r="Z72" t="n">
        <x:v>0.62088</x:v>
      </x:c>
      <x:c r="AA72" t="n">
        <x:v>78.99</x:v>
      </x:c>
      <x:c r="AB72" t="n">
        <x:v>0.506</x:v>
      </x:c>
      <x:c r="AC72" t="n">
        <x:v>8.78</x:v>
      </x:c>
      <x:c r="AD72" t="n">
        <x:v>1.63979</x:v>
      </x:c>
      <x:c r="AE72" t="n">
        <x:v>-172.35</x:v>
      </x:c>
      <x:c r="AF72" t="n">
        <x:v>0.849</x:v>
      </x:c>
      <x:c r="AG72" t="n">
        <x:v>2.68</x:v>
      </x:c>
      <x:c r="AH72" t="n">
        <x:v>5.04935</x:v>
      </x:c>
      <x:c r="AI72" t="n">
        <x:v>26.17</x:v>
      </x:c>
      <x:c r="AJ72" t="n">
        <x:v>0.96</x:v>
      </x:c>
      <x:c r="AK72" t="n">
        <x:v>1.65</x:v>
      </x:c>
      <x:c r="AL72" t="n">
        <x:v>5.3455</x:v>
      </x:c>
      <x:c r="AM72" t="n">
        <x:v>1.55</x:v>
      </x:c>
      <x:c r="AN72" t="n">
        <x:v>0.1162</x:v>
      </x:c>
      <x:c r="AO72" t="n">
        <x:v>0.3068</x:v>
      </x:c>
      <x:c r="AP72" t="n">
        <x:v>0.9446</x:v>
      </x:c>
      <x:c r="AQ72" t="n">
        <x:v>1</x:v>
      </x:c>
      <x:c r="AR72" t="n">
        <x:v>0.32475269094041814</x:v>
      </x:c>
      <x:c r="AS72" t="n">
        <x:v>0.013490830104995924</x:v>
      </x:c>
      <x:c r="AT72" t="n">
        <x:v>0.09410220489811144</x:v>
      </x:c>
      <x:c r="AU72" t="n">
        <x:v>0.8922658732085266</x:v>
      </x:c>
      <x:c r="AV72" t="str">
        <x:v>YES</x:v>
      </x:c>
    </x:row>
    <x:row r="73">
      <x:c r="A73" t="n">
        <x:v>200</x:v>
      </x:c>
      <x:c r="B73" t="n">
        <x:v>23</x:v>
      </x:c>
      <x:c r="C73" t="n">
        <x:v>199.99786</x:v>
      </x:c>
      <x:c r="D73" t="n">
        <x:v>0.71817</x:v>
      </x:c>
      <x:c r="E73" t="n">
        <x:v>30.64</x:v>
      </x:c>
      <x:c r="F73" t="n">
        <x:v>200.00158</x:v>
      </x:c>
      <x:c r="G73" t="n">
        <x:v>1.79325</x:v>
      </x:c>
      <x:c r="H73" t="n">
        <x:v>37.1</x:v>
      </x:c>
      <x:c r="I73" t="n">
        <x:v>199.99997</x:v>
      </x:c>
      <x:c r="J73" t="n">
        <x:v>5.61513</x:v>
      </x:c>
      <x:c r="K73" t="n">
        <x:v>43.2</x:v>
      </x:c>
      <x:c r="L73" t="n">
        <x:v>199.99786</x:v>
      </x:c>
      <x:c r="M73" t="n">
        <x:v>0.71817</x:v>
      </x:c>
      <x:c r="N73" t="n">
        <x:v>200.00158</x:v>
      </x:c>
      <x:c r="O73" t="n">
        <x:v>1.79325</x:v>
      </x:c>
      <x:c r="P73" t="n">
        <x:v>199.99997</x:v>
      </x:c>
      <x:c r="Q73" t="n">
        <x:v>5.61513</x:v>
      </x:c>
      <x:c r="R73" t="n">
        <x:v>200.00008</x:v>
      </x:c>
      <x:c r="S73" t="n">
        <x:v>0.00008</x:v>
      </x:c>
      <x:c r="T73" t="n">
        <x:v>0.71817</x:v>
      </x:c>
      <x:c r="U73" t="n">
        <x:v>1.79325</x:v>
      </x:c>
      <x:c r="V73" t="n">
        <x:v>5.61513</x:v>
      </x:c>
      <x:c r="W73" t="n">
        <x:v>5.93811</x:v>
      </x:c>
      <x:c r="X73" t="n">
        <x:v>47.81</x:v>
      </x:c>
      <x:c r="Y73" t="str">
        <x:v>Z</x:v>
      </x:c>
      <x:c r="Z73" t="n">
        <x:v>0.75724</x:v>
      </x:c>
      <x:c r="AA73" t="n">
        <x:v>60.55</x:v>
      </x:c>
      <x:c r="AB73" t="n">
        <x:v>0.619</x:v>
      </x:c>
      <x:c r="AC73" t="n">
        <x:v>6.56</x:v>
      </x:c>
      <x:c r="AD73" t="n">
        <x:v>1.72432</x:v>
      </x:c>
      <x:c r="AE73" t="n">
        <x:v>-168.24</x:v>
      </x:c>
      <x:c r="AF73" t="n">
        <x:v>0.88</x:v>
      </x:c>
      <x:c r="AG73" t="n">
        <x:v>3.85</x:v>
      </x:c>
      <x:c r="AH73" t="n">
        <x:v>5.64847</x:v>
      </x:c>
      <x:c r="AI73" t="n">
        <x:v>24.23</x:v>
      </x:c>
      <x:c r="AJ73" t="n">
        <x:v>0.97</x:v>
      </x:c>
      <x:c r="AK73" t="n">
        <x:v>1.68</x:v>
      </x:c>
      <x:c r="AL73" t="n">
        <x:v>5.9544</x:v>
      </x:c>
      <x:c r="AM73" t="n">
        <x:v>1.85</x:v>
      </x:c>
      <x:c r="AN73" t="n">
        <x:v>0.1272</x:v>
      </x:c>
      <x:c r="AO73" t="n">
        <x:v>0.2896</x:v>
      </x:c>
      <x:c r="AP73" t="n">
        <x:v>0.9486</x:v>
      </x:c>
      <x:c r="AQ73" t="n">
        <x:v>1</x:v>
      </x:c>
      <x:c r="AR73" t="n">
        <x:v>0.30527204712072475</x:v>
      </x:c>
      <x:c r="AS73" t="n">
        <x:v>0.016173018437821023</x:v>
      </x:c>
      <x:c r="AT73" t="n">
        <x:v>0.08386093863724828</x:v>
      </x:c>
      <x:c r="AU73" t="n">
        <x:v>0.8998821577403331</x:v>
      </x:c>
      <x:c r="AV73" t="str">
        <x:v>YES</x:v>
      </x:c>
    </x:row>
    <x:row r="74">
      <x:c r="A74" t="n">
        <x:v>200</x:v>
      </x:c>
      <x:c r="B74" t="n">
        <x:v>25</x:v>
      </x:c>
      <x:c r="C74" t="n">
        <x:v>200.00344</x:v>
      </x:c>
      <x:c r="D74" t="n">
        <x:v>0.8609</x:v>
      </x:c>
      <x:c r="E74" t="n">
        <x:v>31.16</x:v>
      </x:c>
      <x:c r="F74" t="n">
        <x:v>199.99376</x:v>
      </x:c>
      <x:c r="G74" t="n">
        <x:v>1.89178</x:v>
      </x:c>
      <x:c r="H74" t="n">
        <x:v>36.68</x:v>
      </x:c>
      <x:c r="I74" t="n">
        <x:v>200.00021</x:v>
      </x:c>
      <x:c r="J74" t="n">
        <x:v>6.22232</x:v>
      </x:c>
      <x:c r="K74" t="n">
        <x:v>42.63</x:v>
      </x:c>
      <x:c r="L74" t="n">
        <x:v>200.00344</x:v>
      </x:c>
      <x:c r="M74" t="n">
        <x:v>0.8609</x:v>
      </x:c>
      <x:c r="N74" t="n">
        <x:v>199.99376</x:v>
      </x:c>
      <x:c r="O74" t="n">
        <x:v>1.89178</x:v>
      </x:c>
      <x:c r="P74" t="n">
        <x:v>200.00021</x:v>
      </x:c>
      <x:c r="Q74" t="n">
        <x:v>6.22232</x:v>
      </x:c>
      <x:c r="R74" t="n">
        <x:v>199.99973</x:v>
      </x:c>
      <x:c r="S74" t="n">
        <x:v>-0.00027</x:v>
      </x:c>
      <x:c r="T74" t="n">
        <x:v>0.8609</x:v>
      </x:c>
      <x:c r="U74" t="n">
        <x:v>1.89178</x:v>
      </x:c>
      <x:c r="V74" t="n">
        <x:v>6.22232</x:v>
      </x:c>
      <x:c r="W74" t="n">
        <x:v>6.56028</x:v>
      </x:c>
      <x:c r="X74" t="n">
        <x:v>47.61</x:v>
      </x:c>
      <x:c r="Y74" t="str">
        <x:v>Z</x:v>
      </x:c>
      <x:c r="Z74" t="n">
        <x:v>0.78687</x:v>
      </x:c>
      <x:c r="AA74" t="n">
        <x:v>68.81</x:v>
      </x:c>
      <x:c r="AB74" t="n">
        <x:v>0.576</x:v>
      </x:c>
      <x:c r="AC74" t="n">
        <x:v>8.23</x:v>
      </x:c>
      <x:c r="AD74" t="n">
        <x:v>1.95147</x:v>
      </x:c>
      <x:c r="AE74" t="n">
        <x:v>-169.05</x:v>
      </x:c>
      <x:c r="AF74" t="n">
        <x:v>0.88</x:v>
      </x:c>
      <x:c r="AG74" t="n">
        <x:v>1.05</x:v>
      </x:c>
      <x:c r="AH74" t="n">
        <x:v>6.22447</x:v>
      </x:c>
      <x:c r="AI74" t="n">
        <x:v>23.97</x:v>
      </x:c>
      <x:c r="AJ74" t="n">
        <x:v>0.964</x:v>
      </x:c>
      <x:c r="AK74" t="n">
        <x:v>1.57</x:v>
      </x:c>
      <x:c r="AL74" t="n">
        <x:v>6.57073</x:v>
      </x:c>
      <x:c r="AM74" t="n">
        <x:v>1.55</x:v>
      </x:c>
      <x:c r="AN74" t="n">
        <x:v>0.1198</x:v>
      </x:c>
      <x:c r="AO74" t="n">
        <x:v>0.297</x:v>
      </x:c>
      <x:c r="AP74" t="n">
        <x:v>0.9473</x:v>
      </x:c>
      <x:c r="AQ74" t="n">
        <x:v>1</x:v>
      </x:c>
      <x:c r="AR74" t="n">
        <x:v>0.31351584954221</x:v>
      </x:c>
      <x:c r="AS74" t="n">
        <x:v>0.014340976759830737</x:v>
      </x:c>
      <x:c r="AT74" t="n">
        <x:v>0.0882056723737262</x:v>
      </x:c>
      <x:c r="AU74" t="n">
        <x:v>0.8973823275838079</x:v>
      </x:c>
      <x:c r="AV74" t="str">
        <x:v>YES</x:v>
      </x:c>
    </x:row>
    <x:row r="75">
      <x:c r="A75" t="n">
        <x:v>200</x:v>
      </x:c>
      <x:c r="B75" t="n">
        <x:v>27</x:v>
      </x:c>
      <x:c r="C75" t="n">
        <x:v>199.99399</x:v>
      </x:c>
      <x:c r="D75" t="n">
        <x:v>0.86278</x:v>
      </x:c>
      <x:c r="E75" t="n">
        <x:v>32.37</x:v>
      </x:c>
      <x:c r="F75" t="n">
        <x:v>200.00104</x:v>
      </x:c>
      <x:c r="G75" t="n">
        <x:v>2.08095</x:v>
      </x:c>
      <x:c r="H75" t="n">
        <x:v>36.56</x:v>
      </x:c>
      <x:c r="I75" t="n">
        <x:v>200.00238</x:v>
      </x:c>
      <x:c r="J75" t="n">
        <x:v>6.75225</x:v>
      </x:c>
      <x:c r="K75" t="n">
        <x:v>43.31</x:v>
      </x:c>
      <x:c r="L75" t="n">
        <x:v>199.99399</x:v>
      </x:c>
      <x:c r="M75" t="n">
        <x:v>0.86278</x:v>
      </x:c>
      <x:c r="N75" t="n">
        <x:v>200.00104</x:v>
      </x:c>
      <x:c r="O75" t="n">
        <x:v>2.08095</x:v>
      </x:c>
      <x:c r="P75" t="n">
        <x:v>200.00238</x:v>
      </x:c>
      <x:c r="Q75" t="n">
        <x:v>6.75225</x:v>
      </x:c>
      <x:c r="R75" t="n">
        <x:v>200.00214</x:v>
      </x:c>
      <x:c r="S75" t="n">
        <x:v>0.00214</x:v>
      </x:c>
      <x:c r="T75" t="n">
        <x:v>0.86278</x:v>
      </x:c>
      <x:c r="U75" t="n">
        <x:v>2.08095</x:v>
      </x:c>
      <x:c r="V75" t="n">
        <x:v>6.75225</x:v>
      </x:c>
      <x:c r="W75" t="n">
        <x:v>7.11812</x:v>
      </x:c>
      <x:c r="X75" t="n">
        <x:v>49.33</x:v>
      </x:c>
      <x:c r="Y75" t="str">
        <x:v>Z</x:v>
      </x:c>
      <x:c r="Z75" t="n">
        <x:v>0.84991</x:v>
      </x:c>
      <x:c r="AA75" t="n">
        <x:v>71.89</x:v>
      </x:c>
      <x:c r="AB75" t="n">
        <x:v>0.62</x:v>
      </x:c>
      <x:c r="AC75" t="n">
        <x:v>4.81</x:v>
      </x:c>
      <x:c r="AD75" t="n">
        <x:v>2.10682</x:v>
      </x:c>
      <x:c r="AE75" t="n">
        <x:v>-168.62</x:v>
      </x:c>
      <x:c r="AF75" t="n">
        <x:v>0.865</x:v>
      </x:c>
      <x:c r="AG75" t="n">
        <x:v>1.78</x:v>
      </x:c>
      <x:c r="AH75" t="n">
        <x:v>6.77847</x:v>
      </x:c>
      <x:c r="AI75" t="n">
        <x:v>25.65</x:v>
      </x:c>
      <x:c r="AJ75" t="n">
        <x:v>0.97</x:v>
      </x:c>
      <x:c r="AK75" t="n">
        <x:v>1.8</x:v>
      </x:c>
      <x:c r="AL75" t="n">
        <x:v>7.1493</x:v>
      </x:c>
      <x:c r="AM75" t="n">
        <x:v>1.61</x:v>
      </x:c>
      <x:c r="AN75" t="n">
        <x:v>0.1189</x:v>
      </x:c>
      <x:c r="AO75" t="n">
        <x:v>0.2947</x:v>
      </x:c>
      <x:c r="AP75" t="n">
        <x:v>0.9481</x:v>
      </x:c>
      <x:c r="AQ75" t="n">
        <x:v>1</x:v>
      </x:c>
      <x:c r="AR75" t="n">
        <x:v>0.31081055164365995</x:v>
      </x:c>
      <x:c r="AS75" t="n">
        <x:v>0.014132494839814642</x:v>
      </x:c>
      <x:c r="AT75" t="n">
        <x:v>0.08684160113990953</x:v>
      </x:c>
      <x:c r="AU75" t="n">
        <x:v>0.8989516085092648</x:v>
      </x:c>
      <x:c r="AV75" t="str">
        <x:v>YES</x:v>
      </x:c>
    </x:row>
    <x:row r="76">
      <x:c r="A76" t="n">
        <x:v>200</x:v>
      </x:c>
      <x:c r="B76" t="n">
        <x:v>29</x:v>
      </x:c>
      <x:c r="C76" t="n">
        <x:v>199.95725</x:v>
      </x:c>
      <x:c r="D76" t="n">
        <x:v>1.11513</x:v>
      </x:c>
      <x:c r="E76" t="n">
        <x:v>33.85</x:v>
      </x:c>
      <x:c r="F76" t="n">
        <x:v>200.01599</x:v>
      </x:c>
      <x:c r="G76" t="n">
        <x:v>2.58332</x:v>
      </x:c>
      <x:c r="H76" t="n">
        <x:v>38.75</x:v>
      </x:c>
      <x:c r="I76" t="n">
        <x:v>199.99694</x:v>
      </x:c>
      <x:c r="J76" t="n">
        <x:v>7.76878</x:v>
      </x:c>
      <x:c r="K76" t="n">
        <x:v>43.47</x:v>
      </x:c>
      <x:c r="L76" t="n">
        <x:v>199.95725</x:v>
      </x:c>
      <x:c r="M76" t="n">
        <x:v>1.11513</x:v>
      </x:c>
      <x:c r="N76" t="n">
        <x:v>200.01599</x:v>
      </x:c>
      <x:c r="O76" t="n">
        <x:v>2.58332</x:v>
      </x:c>
      <x:c r="P76" t="n">
        <x:v>199.99694</x:v>
      </x:c>
      <x:c r="Q76" t="n">
        <x:v>7.76878</x:v>
      </x:c>
      <x:c r="R76" t="n">
        <x:v>199.99808</x:v>
      </x:c>
      <x:c r="S76" t="n">
        <x:v>-0.00192</x:v>
      </x:c>
      <x:c r="T76" t="n">
        <x:v>1.11513</x:v>
      </x:c>
      <x:c r="U76" t="n">
        <x:v>2.58332</x:v>
      </x:c>
      <x:c r="V76" t="n">
        <x:v>7.76878</x:v>
      </x:c>
      <x:c r="W76" t="n">
        <x:v>8.26263</x:v>
      </x:c>
      <x:c r="X76" t="n">
        <x:v>48.47</x:v>
      </x:c>
      <x:c r="Y76" t="str">
        <x:v>Z</x:v>
      </x:c>
      <x:c r="Z76" t="n">
        <x:v>1.13952</x:v>
      </x:c>
      <x:c r="AA76" t="n">
        <x:v>21.74</x:v>
      </x:c>
      <x:c r="AB76" t="n">
        <x:v>0.809</x:v>
      </x:c>
      <x:c r="AC76" t="n">
        <x:v>3.61</x:v>
      </x:c>
      <x:c r="AD76" t="n">
        <x:v>2.73636</x:v>
      </x:c>
      <x:c r="AE76" t="n">
        <x:v>-152.01</x:v>
      </x:c>
      <x:c r="AF76" t="n">
        <x:v>0.924</x:v>
      </x:c>
      <x:c r="AG76" t="n">
        <x:v>1.74</x:v>
      </x:c>
      <x:c r="AH76" t="n">
        <x:v>7.88099</x:v>
      </x:c>
      <x:c r="AI76" t="n">
        <x:v>20.55</x:v>
      </x:c>
      <x:c r="AJ76" t="n">
        <x:v>0.961</x:v>
      </x:c>
      <x:c r="AK76" t="n">
        <x:v>1.68</x:v>
      </x:c>
      <x:c r="AL76" t="n">
        <x:v>8.42012</x:v>
      </x:c>
      <x:c r="AM76" t="n">
        <x:v>1.63</x:v>
      </x:c>
      <x:c r="AN76" t="n">
        <x:v>0.1353</x:v>
      </x:c>
      <x:c r="AO76" t="n">
        <x:v>0.325</x:v>
      </x:c>
      <x:c r="AP76" t="n">
        <x:v>0.936</x:v>
      </x:c>
      <x:c r="AQ76" t="n">
        <x:v>1</x:v>
      </x:c>
      <x:c r="AR76" t="n">
        <x:v>0.34721018552237726</x:v>
      </x:c>
      <x:c r="AS76" t="n">
        <x:v>0.01831501767577119</x:v>
      </x:c>
      <x:c r="AT76" t="n">
        <x:v>0.10561118235907445</x:v>
      </x:c>
      <x:c r="AU76" t="n">
        <x:v>0.8760421271257001</x:v>
      </x:c>
      <x:c r="AV76" t="str">
        <x:v>YES</x:v>
      </x:c>
    </x:row>
    <x:row r="77">
      <x:c r="A77" t="n">
        <x:v>225</x:v>
      </x:c>
      <x:c r="B77" t="n">
        <x:v>1</x:v>
      </x:c>
      <x:c r="C77" t="n">
        <x:v>220.25771</x:v>
      </x:c>
      <x:c r="D77" t="n">
        <x:v>0.35724</x:v>
      </x:c>
      <x:c r="E77" t="n">
        <x:v>27.15</x:v>
      </x:c>
      <x:c r="F77" t="n">
        <x:v>450.01276</x:v>
      </x:c>
      <x:c r="G77" t="n">
        <x:v>0.16909</x:v>
      </x:c>
      <x:c r="H77" t="n">
        <x:v>19.69</x:v>
      </x:c>
      <x:c r="I77" t="n">
        <x:v>450.05446</x:v>
      </x:c>
      <x:c r="J77" t="n">
        <x:v>0.17124</x:v>
      </x:c>
      <x:c r="K77" t="n">
        <x:v>20.73</x:v>
      </x:c>
      <x:c r="L77" t="n">
        <x:v>220.25771</x:v>
      </x:c>
      <x:c r="M77" t="n">
        <x:v>0.35724</x:v>
      </x:c>
      <x:c r="N77" t="n">
        <x:v>220.23893</x:v>
      </x:c>
      <x:c r="O77" t="n">
        <x:v>0.15625</x:v>
      </x:c>
      <x:c r="P77" t="n">
        <x:v>220.29256</x:v>
      </x:c>
      <x:c r="Q77" t="n">
        <x:v>0.0668</x:v>
      </x:c>
      <x:c r="R77" t="n">
        <x:v>220.25586</x:v>
      </x:c>
      <x:c r="S77" t="n">
        <x:v>-4.74414</x:v>
      </x:c>
      <x:c r="T77" t="n">
        <x:v>0.35724</x:v>
      </x:c>
      <x:c r="U77" t="n">
        <x:v>0.15625</x:v>
      </x:c>
      <x:c r="V77" t="n">
        <x:v>0.0668</x:v>
      </x:c>
      <x:c r="W77" t="n">
        <x:v>0.3956</x:v>
      </x:c>
      <x:c r="X77" t="n">
        <x:v>25.06</x:v>
      </x:c>
      <x:c r="Y77" t="str">
        <x:v>X</x:v>
      </x:c>
      <x:c r="Z77" t="n">
        <x:v>0.05376</x:v>
      </x:c>
      <x:c r="AA77" t="n">
        <x:v>-175.8</x:v>
      </x:c>
      <x:c r="AB77" t="n">
        <x:v>0.088</x:v>
      </x:c>
      <x:c r="AC77" t="n">
        <x:v>24.95</x:v>
      </x:c>
      <x:c r="AD77" t="n">
        <x:v>0.0267</x:v>
      </x:c>
      <x:c r="AE77" t="n">
        <x:v>-91.88</x:v>
      </x:c>
      <x:c r="AF77" t="n">
        <x:v>0.04</x:v>
      </x:c>
      <x:c r="AG77" t="n">
        <x:v>49.95</x:v>
      </x:c>
      <x:c r="AH77" t="n">
        <x:v>0.02366</x:v>
      </x:c>
      <x:c r="AI77" t="n">
        <x:v>-146.73</x:v>
      </x:c>
      <x:c r="AJ77" t="n">
        <x:v>0.058</x:v>
      </x:c>
      <x:c r="AK77" t="n">
        <x:v>48.44</x:v>
      </x:c>
      <x:c r="AL77" t="n">
        <x:v>0.067</x:v>
      </x:c>
      <x:c r="AM77" t="n">
        <x:v>13.55</x:v>
      </x:c>
      <x:c r="AN77" t="n">
        <x:v>0.8025</x:v>
      </x:c>
      <x:c r="AO77" t="n">
        <x:v>0.3986</x:v>
      </x:c>
      <x:c r="AP77" t="n">
        <x:v>0.3532</x:v>
      </x:c>
      <x:c r="AQ77" t="n">
        <x:v>0</x:v>
      </x:c>
      <x:c r="AR77" t="n">
        <x:v>1.128486897717667</x:v>
      </x:c>
      <x:c r="AS77" t="n">
        <x:v>0.6438265983515259</x:v>
      </x:c>
      <x:c r="AT77" t="n">
        <x:v>0.1588081978168857</x:v>
      </x:c>
      <x:c r="AU77" t="n">
        <x:v>0.12470385386500334</x:v>
      </x:c>
      <x:c r="AV77" t="str">
        <x:v>NO</x:v>
      </x:c>
    </x:row>
    <x:row r="78">
      <x:c r="A78" t="n">
        <x:v>225</x:v>
      </x:c>
      <x:c r="B78" t="n">
        <x:v>3</x:v>
      </x:c>
      <x:c r="C78" t="n">
        <x:v>234.27706</x:v>
      </x:c>
      <x:c r="D78" t="n">
        <x:v>0.78593</x:v>
      </x:c>
      <x:c r="E78" t="n">
        <x:v>28.07</x:v>
      </x:c>
      <x:c r="F78" t="n">
        <x:v>234.27826</x:v>
      </x:c>
      <x:c r="G78" t="n">
        <x:v>0.52315</x:v>
      </x:c>
      <x:c r="H78" t="n">
        <x:v>24.09</x:v>
      </x:c>
      <x:c r="I78" t="n">
        <x:v>674.98929</x:v>
      </x:c>
      <x:c r="J78" t="n">
        <x:v>0.25896</x:v>
      </x:c>
      <x:c r="K78" t="n">
        <x:v>22.4</x:v>
      </x:c>
      <x:c r="L78" t="n">
        <x:v>220.3577</x:v>
      </x:c>
      <x:c r="M78" t="n">
        <x:v>0.40088</x:v>
      </x:c>
      <x:c r="N78" t="n">
        <x:v>232.03125</x:v>
      </x:c>
      <x:c r="O78" t="n">
        <x:v>0.26305</x:v>
      </x:c>
      <x:c r="P78" t="n">
        <x:v>225.04733</x:v>
      </x:c>
      <x:c r="Q78" t="n">
        <x:v>0.10166</x:v>
      </x:c>
      <x:c r="R78" t="n">
        <x:v>232.8125</x:v>
      </x:c>
      <x:c r="S78" t="n">
        <x:v>7.8125</x:v>
      </x:c>
      <x:c r="T78" t="n">
        <x:v>0.39206</x:v>
      </x:c>
      <x:c r="U78" t="n">
        <x:v>0.26305</x:v>
      </x:c>
      <x:c r="V78" t="n">
        <x:v>0.08341</x:v>
      </x:c>
      <x:c r="W78" t="n">
        <x:v>0.47944</x:v>
      </x:c>
      <x:c r="X78" t="n">
        <x:v>9.62</x:v>
      </x:c>
      <x:c r="Y78" t="str">
        <x:v>X</x:v>
      </x:c>
      <x:c r="Z78" t="n">
        <x:v>0.06253</x:v>
      </x:c>
      <x:c r="AA78" t="n">
        <x:v>84.86</x:v>
      </x:c>
      <x:c r="AB78" t="n">
        <x:v>0.048</x:v>
      </x:c>
      <x:c r="AC78" t="n">
        <x:v>24.88</x:v>
      </x:c>
      <x:c r="AD78" t="n">
        <x:v>0.08345</x:v>
      </x:c>
      <x:c r="AE78" t="n">
        <x:v>22.45</x:v>
      </x:c>
      <x:c r="AF78" t="n">
        <x:v>0.079</x:v>
      </x:c>
      <x:c r="AG78" t="n">
        <x:v>31.5</x:v>
      </x:c>
      <x:c r="AH78" t="n">
        <x:v>0.11363</x:v>
      </x:c>
      <x:c r="AI78" t="n">
        <x:v>29.62</x:v>
      </x:c>
      <x:c r="AJ78" t="n">
        <x:v>0.191</x:v>
      </x:c>
      <x:c r="AK78" t="n">
        <x:v>13.57</x:v>
      </x:c>
      <x:c r="AL78" t="n">
        <x:v>0.15699</x:v>
      </x:c>
      <x:c r="AM78" t="n">
        <x:v>6.17</x:v>
      </x:c>
      <x:c r="AN78" t="n">
        <x:v>0.3983</x:v>
      </x:c>
      <x:c r="AO78" t="n">
        <x:v>0.5315</x:v>
      </x:c>
      <x:c r="AP78" t="n">
        <x:v>0.7238</x:v>
      </x:c>
      <x:c r="AQ78" t="n">
        <x:v>0</x:v>
      </x:c>
      <x:c r="AR78" t="n">
        <x:v>0.734401126463082</x:v>
      </x:c>
      <x:c r="AS78" t="n">
        <x:v>0.15864737055778388</x:v>
      </x:c>
      <x:c r="AT78" t="n">
        <x:v>0.2825587125685259</x:v>
      </x:c>
      <x:c r="AU78" t="n">
        <x:v>0.5238923229950494</x:v>
      </x:c>
      <x:c r="AV78" t="str">
        <x:v>NO</x:v>
      </x:c>
    </x:row>
    <x:row r="79">
      <x:c r="A79" t="n">
        <x:v>225</x:v>
      </x:c>
      <x:c r="B79" t="n">
        <x:v>5</x:v>
      </x:c>
      <x:c r="C79" t="n">
        <x:v>134.45882</x:v>
      </x:c>
      <x:c r="D79" t="n">
        <x:v>0.41521</x:v>
      </x:c>
      <x:c r="E79" t="n">
        <x:v>22.24</x:v>
      </x:c>
      <x:c r="F79" t="n">
        <x:v>134.45375</x:v>
      </x:c>
      <x:c r="G79" t="n">
        <x:v>0.37602</x:v>
      </x:c>
      <x:c r="H79" t="n">
        <x:v>20.53</x:v>
      </x:c>
      <x:c r="I79" t="n">
        <x:v>675.03996</x:v>
      </x:c>
      <x:c r="J79" t="n">
        <x:v>0.25413</x:v>
      </x:c>
      <x:c r="K79" t="n">
        <x:v>21.86</x:v>
      </x:c>
      <x:c r="L79" t="n">
        <x:v>220.26353</x:v>
      </x:c>
      <x:c r="M79" t="n">
        <x:v>0.31497</x:v>
      </x:c>
      <x:c r="N79" t="n">
        <x:v>225.03813</x:v>
      </x:c>
      <x:c r="O79" t="n">
        <x:v>0.14527</x:v>
      </x:c>
      <x:c r="P79" t="n">
        <x:v>225.01371</x:v>
      </x:c>
      <x:c r="Q79" t="n">
        <x:v>0.24397</x:v>
      </x:c>
      <x:c r="R79" t="n">
        <x:v>220.27386</x:v>
      </x:c>
      <x:c r="S79" t="n">
        <x:v>-4.72614</x:v>
      </x:c>
      <x:c r="T79" t="n">
        <x:v>0.31497</x:v>
      </x:c>
      <x:c r="U79" t="n">
        <x:v>0.13216</x:v>
      </x:c>
      <x:c r="V79" t="n">
        <x:v>0.0475</x:v>
      </x:c>
      <x:c r="W79" t="n">
        <x:v>0.34487</x:v>
      </x:c>
      <x:c r="X79" t="n">
        <x:v>7.31</x:v>
      </x:c>
      <x:c r="Y79" t="str">
        <x:v>X</x:v>
      </x:c>
      <x:c r="Z79" t="n">
        <x:v>0.05711</x:v>
      </x:c>
      <x:c r="AA79" t="n">
        <x:v>46.33</x:v>
      </x:c>
      <x:c r="AB79" t="n">
        <x:v>0.05</x:v>
      </x:c>
      <x:c r="AC79" t="n">
        <x:v>53.67</x:v>
      </x:c>
      <x:c r="AD79" t="n">
        <x:v>0.14247</x:v>
      </x:c>
      <x:c r="AE79" t="n">
        <x:v>13.58</x:v>
      </x:c>
      <x:c r="AF79" t="n">
        <x:v>0.122</x:v>
      </x:c>
      <x:c r="AG79" t="n">
        <x:v>17.55</x:v>
      </x:c>
      <x:c r="AH79" t="n">
        <x:v>0.24118</x:v>
      </x:c>
      <x:c r="AI79" t="n">
        <x:v>27.36</x:v>
      </x:c>
      <x:c r="AJ79" t="n">
        <x:v>0.396</x:v>
      </x:c>
      <x:c r="AK79" t="n">
        <x:v>4.88</x:v>
      </x:c>
      <x:c r="AL79" t="n">
        <x:v>0.28814</x:v>
      </x:c>
      <x:c r="AM79" t="n">
        <x:v>3.17</x:v>
      </x:c>
      <x:c r="AN79" t="n">
        <x:v>0.1982</x:v>
      </x:c>
      <x:c r="AO79" t="n">
        <x:v>0.4944</x:v>
      </x:c>
      <x:c r="AP79" t="n">
        <x:v>0.837</x:v>
      </x:c>
      <x:c r="AQ79" t="n">
        <x:v>0</x:v>
      </x:c>
      <x:c r="AR79" t="n">
        <x:v>0.5907206236006303</x:v>
      </x:c>
      <x:c r="AS79" t="n">
        <x:v>0.039284136974648914</x:v>
      </x:c>
      <x:c r="AT79" t="n">
        <x:v>0.2444779779621042</x:v>
      </x:c>
      <x:c r="AU79" t="n">
        <x:v>0.7006086225495346</x:v>
      </x:c>
      <x:c r="AV79" t="str">
        <x:v>NO</x:v>
      </x:c>
    </x:row>
    <x:row r="80">
      <x:c r="A80" t="n">
        <x:v>225</x:v>
      </x:c>
      <x:c r="B80" t="n">
        <x:v>7</x:v>
      </x:c>
      <x:c r="C80" t="n">
        <x:v>234.60388</x:v>
      </x:c>
      <x:c r="D80" t="n">
        <x:v>0.58935</x:v>
      </x:c>
      <x:c r="E80" t="n">
        <x:v>25.46</x:v>
      </x:c>
      <x:c r="F80" t="n">
        <x:v>234.60648</x:v>
      </x:c>
      <x:c r="G80" t="n">
        <x:v>0.38239</x:v>
      </x:c>
      <x:c r="H80" t="n">
        <x:v>21.18</x:v>
      </x:c>
      <x:c r="I80" t="n">
        <x:v>225.01532</x:v>
      </x:c>
      <x:c r="J80" t="n">
        <x:v>0.4019</x:v>
      </x:c>
      <x:c r="K80" t="n">
        <x:v>25.63</x:v>
      </x:c>
      <x:c r="L80" t="n">
        <x:v>220.18466</x:v>
      </x:c>
      <x:c r="M80" t="n">
        <x:v>0.18833</x:v>
      </x:c>
      <x:c r="N80" t="n">
        <x:v>225.00647</x:v>
      </x:c>
      <x:c r="O80" t="n">
        <x:v>0.21011</x:v>
      </x:c>
      <x:c r="P80" t="n">
        <x:v>225.01532</x:v>
      </x:c>
      <x:c r="Q80" t="n">
        <x:v>0.4019</x:v>
      </x:c>
      <x:c r="R80" t="n">
        <x:v>225.0123</x:v>
      </x:c>
      <x:c r="S80" t="n">
        <x:v>0.0123</x:v>
      </x:c>
      <x:c r="T80" t="n">
        <x:v>0.05302</x:v>
      </x:c>
      <x:c r="U80" t="n">
        <x:v>0.21011</x:v>
      </x:c>
      <x:c r="V80" t="n">
        <x:v>0.4019</x:v>
      </x:c>
      <x:c r="W80" t="n">
        <x:v>0.45659</x:v>
      </x:c>
      <x:c r="X80" t="n">
        <x:v>12.76</x:v>
      </x:c>
      <x:c r="Y80" t="str">
        <x:v>Z</x:v>
      </x:c>
      <x:c r="Z80" t="n">
        <x:v>0.0618</x:v>
      </x:c>
      <x:c r="AA80" t="n">
        <x:v>0.34</x:v>
      </x:c>
      <x:c r="AB80" t="n">
        <x:v>0.054</x:v>
      </x:c>
      <x:c r="AC80" t="n">
        <x:v>34.24</x:v>
      </x:c>
      <x:c r="AD80" t="n">
        <x:v>0.20666</x:v>
      </x:c>
      <x:c r="AE80" t="n">
        <x:v>6.1</x:v>
      </x:c>
      <x:c r="AF80" t="n">
        <x:v>0.187</x:v>
      </x:c>
      <x:c r="AG80" t="n">
        <x:v>9.82</x:v>
      </x:c>
      <x:c r="AH80" t="n">
        <x:v>0.40376</x:v>
      </x:c>
      <x:c r="AI80" t="n">
        <x:v>25.49</x:v>
      </x:c>
      <x:c r="AJ80" t="n">
        <x:v>0.585</x:v>
      </x:c>
      <x:c r="AK80" t="n">
        <x:v>5.49</x:v>
      </x:c>
      <x:c r="AL80" t="n">
        <x:v>0.45876</x:v>
      </x:c>
      <x:c r="AM80" t="n">
        <x:v>3.21</x:v>
      </x:c>
      <x:c r="AN80" t="n">
        <x:v>0.1347</x:v>
      </x:c>
      <x:c r="AO80" t="n">
        <x:v>0.4505</x:v>
      </x:c>
      <x:c r="AP80" t="n">
        <x:v>0.8801</x:v>
      </x:c>
      <x:c r="AQ80" t="n">
        <x:v>1</x:v>
      </x:c>
      <x:c r="AR80" t="n">
        <x:v>0.5118387160689518</x:v>
      </x:c>
      <x:c r="AS80" t="n">
        <x:v>0.018147042738483686</x:v>
      </x:c>
      <x:c r="AT80" t="n">
        <x:v>0.20292790041043743</x:v>
      </x:c>
      <x:c r="AU80" t="n">
        <x:v>0.7745964376017658</x:v>
      </x:c>
      <x:c r="AV80" t="str">
        <x:v>NO</x:v>
      </x:c>
    </x:row>
    <x:row r="81">
      <x:c r="A81" t="n">
        <x:v>225</x:v>
      </x:c>
      <x:c r="B81" t="n">
        <x:v>9</x:v>
      </x:c>
      <x:c r="C81" t="n">
        <x:v>234.36149</x:v>
      </x:c>
      <x:c r="D81" t="n">
        <x:v>0.53053</x:v>
      </x:c>
      <x:c r="E81" t="n">
        <x:v>24.18</x:v>
      </x:c>
      <x:c r="F81" t="n">
        <x:v>234.32667</x:v>
      </x:c>
      <x:c r="G81" t="n">
        <x:v>0.33809</x:v>
      </x:c>
      <x:c r="H81" t="n">
        <x:v>19.64</x:v>
      </x:c>
      <x:c r="I81" t="n">
        <x:v>225.00281</x:v>
      </x:c>
      <x:c r="J81" t="n">
        <x:v>1.28788</x:v>
      </x:c>
      <x:c r="K81" t="n">
        <x:v>33.06</x:v>
      </x:c>
      <x:c r="L81" t="n">
        <x:v>232.03125</x:v>
      </x:c>
      <x:c r="M81" t="n">
        <x:v>0.23235</x:v>
      </x:c>
      <x:c r="N81" t="n">
        <x:v>224.99671</x:v>
      </x:c>
      <x:c r="O81" t="n">
        <x:v>0.21489</x:v>
      </x:c>
      <x:c r="P81" t="n">
        <x:v>225.00281</x:v>
      </x:c>
      <x:c r="Q81" t="n">
        <x:v>1.28788</x:v>
      </x:c>
      <x:c r="R81" t="n">
        <x:v>225.00354</x:v>
      </x:c>
      <x:c r="S81" t="n">
        <x:v>0.00354</x:v>
      </x:c>
      <x:c r="T81" t="n">
        <x:v>0.17527</x:v>
      </x:c>
      <x:c r="U81" t="n">
        <x:v>0.21489</x:v>
      </x:c>
      <x:c r="V81" t="n">
        <x:v>1.28788</x:v>
      </x:c>
      <x:c r="W81" t="n">
        <x:v>1.3174</x:v>
      </x:c>
      <x:c r="X81" t="n">
        <x:v>21.25</x:v>
      </x:c>
      <x:c r="Y81" t="str">
        <x:v>Z</x:v>
      </x:c>
      <x:c r="Z81" t="n">
        <x:v>0.18784</x:v>
      </x:c>
      <x:c r="AA81" t="n">
        <x:v>-0.74</x:v>
      </x:c>
      <x:c r="AB81" t="n">
        <x:v>0.168</x:v>
      </x:c>
      <x:c r="AC81" t="n">
        <x:v>15.28</x:v>
      </x:c>
      <x:c r="AD81" t="n">
        <x:v>0.30037</x:v>
      </x:c>
      <x:c r="AE81" t="n">
        <x:v>136.47</x:v>
      </x:c>
      <x:c r="AF81" t="n">
        <x:v>0.259</x:v>
      </x:c>
      <x:c r="AG81" t="n">
        <x:v>11.83</x:v>
      </x:c>
      <x:c r="AH81" t="n">
        <x:v>1.4559</x:v>
      </x:c>
      <x:c r="AI81" t="n">
        <x:v>-0.36</x:v>
      </x:c>
      <x:c r="AJ81" t="n">
        <x:v>0.861</x:v>
      </x:c>
      <x:c r="AK81" t="n">
        <x:v>3.75</x:v>
      </x:c>
      <x:c r="AL81" t="n">
        <x:v>1.49877</x:v>
      </x:c>
      <x:c r="AM81" t="n">
        <x:v>4.02</x:v>
      </x:c>
      <x:c r="AN81" t="n">
        <x:v>0.1253</x:v>
      </x:c>
      <x:c r="AO81" t="n">
        <x:v>0.2004</x:v>
      </x:c>
      <x:c r="AP81" t="n">
        <x:v>0.9714</x:v>
      </x:c>
      <x:c r="AQ81" t="n">
        <x:v>1</x:v>
      </x:c>
      <x:c r="AR81" t="n">
        <x:v>0.2063122467202418</x:v>
      </x:c>
      <x:c r="AS81" t="n">
        <x:v>0.01570746772982005</x:v>
      </x:c>
      <x:c r="AT81" t="n">
        <x:v>0.04016457039990984</x:v>
      </x:c>
      <x:c r="AU81" t="n">
        <x:v>0.9436112479624554</x:v>
      </x:c>
      <x:c r="AV81" t="str">
        <x:v>YES</x:v>
      </x:c>
    </x:row>
    <x:row r="82">
      <x:c r="A82" t="n">
        <x:v>225</x:v>
      </x:c>
      <x:c r="B82" t="n">
        <x:v>11</x:v>
      </x:c>
      <x:c r="C82" t="n">
        <x:v>234.23146</x:v>
      </x:c>
      <x:c r="D82" t="n">
        <x:v>0.45628</x:v>
      </x:c>
      <x:c r="E82" t="n">
        <x:v>22.41</x:v>
      </x:c>
      <x:c r="F82" t="n">
        <x:v>224.99051</x:v>
      </x:c>
      <x:c r="G82" t="n">
        <x:v>0.64089</x:v>
      </x:c>
      <x:c r="H82" t="n">
        <x:v>24.22</x:v>
      </x:c>
      <x:c r="I82" t="n">
        <x:v>224.99575</x:v>
      </x:c>
      <x:c r="J82" t="n">
        <x:v>2.32257</x:v>
      </x:c>
      <x:c r="K82" t="n">
        <x:v>36.68</x:v>
      </x:c>
      <x:c r="L82" t="n">
        <x:v>225.00802</x:v>
      </x:c>
      <x:c r="M82" t="n">
        <x:v>0.27716</x:v>
      </x:c>
      <x:c r="N82" t="n">
        <x:v>224.99051</x:v>
      </x:c>
      <x:c r="O82" t="n">
        <x:v>0.64089</x:v>
      </x:c>
      <x:c r="P82" t="n">
        <x:v>224.99575</x:v>
      </x:c>
      <x:c r="Q82" t="n">
        <x:v>2.32257</x:v>
      </x:c>
      <x:c r="R82" t="n">
        <x:v>224.99554</x:v>
      </x:c>
      <x:c r="S82" t="n">
        <x:v>-0.00446</x:v>
      </x:c>
      <x:c r="T82" t="n">
        <x:v>0.27716</x:v>
      </x:c>
      <x:c r="U82" t="n">
        <x:v>0.64089</x:v>
      </x:c>
      <x:c r="V82" t="n">
        <x:v>2.32257</x:v>
      </x:c>
      <x:c r="W82" t="n">
        <x:v>2.42526</x:v>
      </x:c>
      <x:c r="X82" t="n">
        <x:v>27.08</x:v>
      </x:c>
      <x:c r="Y82" t="str">
        <x:v>Z</x:v>
      </x:c>
      <x:c r="Z82" t="n">
        <x:v>0.26681</x:v>
      </x:c>
      <x:c r="AA82" t="n">
        <x:v>2.83</x:v>
      </x:c>
      <x:c r="AB82" t="n">
        <x:v>0.245</x:v>
      </x:c>
      <x:c r="AC82" t="n">
        <x:v>6.36</x:v>
      </x:c>
      <x:c r="AD82" t="n">
        <x:v>0.6177</x:v>
      </x:c>
      <x:c r="AE82" t="n">
        <x:v>153.41</x:v>
      </x:c>
      <x:c r="AF82" t="n">
        <x:v>0.462</x:v>
      </x:c>
      <x:c r="AG82" t="n">
        <x:v>3.4</x:v>
      </x:c>
      <x:c r="AH82" t="n">
        <x:v>2.32407</x:v>
      </x:c>
      <x:c r="AI82" t="n">
        <x:v>-0.16</x:v>
      </x:c>
      <x:c r="AJ82" t="n">
        <x:v>0.916</x:v>
      </x:c>
      <x:c r="AK82" t="n">
        <x:v>1.84</x:v>
      </x:c>
      <x:c r="AL82" t="n">
        <x:v>2.41962</x:v>
      </x:c>
      <x:c r="AM82" t="n">
        <x:v>1.8</x:v>
      </x:c>
      <x:c r="AN82" t="n">
        <x:v>0.1103</x:v>
      </x:c>
      <x:c r="AO82" t="n">
        <x:v>0.2553</x:v>
      </x:c>
      <x:c r="AP82" t="n">
        <x:v>0.9605</x:v>
      </x:c>
      <x:c r="AQ82" t="n">
        <x:v>1</x:v>
      </x:c>
      <x:c r="AR82" t="n">
        <x:v>0.2657837328479779</x:v>
      </x:c>
      <x:c r="AS82" t="n">
        <x:v>0.012159336417548489</x:v>
      </x:c>
      <x:c r="AT82" t="n">
        <x:v>0.06517197337657969</x:v>
      </x:c>
      <x:c r="AU82" t="n">
        <x:v>0.9225800903253809</x:v>
      </x:c>
      <x:c r="AV82" t="str">
        <x:v>YES</x:v>
      </x:c>
    </x:row>
    <x:row r="83">
      <x:c r="A83" t="n">
        <x:v>225</x:v>
      </x:c>
      <x:c r="B83" t="n">
        <x:v>13</x:v>
      </x:c>
      <x:c r="C83" t="n">
        <x:v>234.19156</x:v>
      </x:c>
      <x:c r="D83" t="n">
        <x:v>0.44268</x:v>
      </x:c>
      <x:c r="E83" t="n">
        <x:v>21.79</x:v>
      </x:c>
      <x:c r="F83" t="n">
        <x:v>224.99684</x:v>
      </x:c>
      <x:c r="G83" t="n">
        <x:v>0.96481</x:v>
      </x:c>
      <x:c r="H83" t="n">
        <x:v>27.12</x:v>
      </x:c>
      <x:c r="I83" t="n">
        <x:v>225.00373</x:v>
      </x:c>
      <x:c r="J83" t="n">
        <x:v>3.27515</x:v>
      </x:c>
      <x:c r="K83" t="n">
        <x:v>38.47</x:v>
      </x:c>
      <x:c r="L83" t="n">
        <x:v>224.99279</x:v>
      </x:c>
      <x:c r="M83" t="n">
        <x:v>0.3787</x:v>
      </x:c>
      <x:c r="N83" t="n">
        <x:v>224.99684</x:v>
      </x:c>
      <x:c r="O83" t="n">
        <x:v>0.96481</x:v>
      </x:c>
      <x:c r="P83" t="n">
        <x:v>225.00373</x:v>
      </x:c>
      <x:c r="Q83" t="n">
        <x:v>3.27515</x:v>
      </x:c>
      <x:c r="R83" t="n">
        <x:v>225.00305</x:v>
      </x:c>
      <x:c r="S83" t="n">
        <x:v>0.00305</x:v>
      </x:c>
      <x:c r="T83" t="n">
        <x:v>0.3787</x:v>
      </x:c>
      <x:c r="U83" t="n">
        <x:v>0.96481</x:v>
      </x:c>
      <x:c r="V83" t="n">
        <x:v>3.27515</x:v>
      </x:c>
      <x:c r="W83" t="n">
        <x:v>3.43524</x:v>
      </x:c>
      <x:c r="X83" t="n">
        <x:v>29.64</x:v>
      </x:c>
      <x:c r="Y83" t="str">
        <x:v>Z</x:v>
      </x:c>
      <x:c r="Z83" t="n">
        <x:v>0.38848</x:v>
      </x:c>
      <x:c r="AA83" t="n">
        <x:v>3.1</x:v>
      </x:c>
      <x:c r="AB83" t="n">
        <x:v>0.333</x:v>
      </x:c>
      <x:c r="AC83" t="n">
        <x:v>4.7</x:v>
      </x:c>
      <x:c r="AD83" t="n">
        <x:v>0.95589</x:v>
      </x:c>
      <x:c r="AE83" t="n">
        <x:v>160.03</x:v>
      </x:c>
      <x:c r="AF83" t="n">
        <x:v>0.605</x:v>
      </x:c>
      <x:c r="AG83" t="n">
        <x:v>1.63</x:v>
      </x:c>
      <x:c r="AH83" t="n">
        <x:v>3.26586</x:v>
      </x:c>
      <x:c r="AI83" t="n">
        <x:v>0.31</x:v>
      </x:c>
      <x:c r="AJ83" t="n">
        <x:v>0.936</x:v>
      </x:c>
      <x:c r="AK83" t="n">
        <x:v>0.66</x:v>
      </x:c>
      <x:c r="AL83" t="n">
        <x:v>3.42504</x:v>
      </x:c>
      <x:c r="AM83" t="n">
        <x:v>0.68</x:v>
      </x:c>
      <x:c r="AN83" t="n">
        <x:v>0.1134</x:v>
      </x:c>
      <x:c r="AO83" t="n">
        <x:v>0.2791</x:v>
      </x:c>
      <x:c r="AP83" t="n">
        <x:v>0.9535</x:v>
      </x:c>
      <x:c r="AQ83" t="n">
        <x:v>1</x:v>
      </x:c>
      <x:c r="AR83" t="n">
        <x:v>0.29269166467637925</x:v>
      </x:c>
      <x:c r="AS83" t="n">
        <x:v>0.012864888733541748</x:v>
      </x:c>
      <x:c r="AT83" t="n">
        <x:v>0.07789050881568199</x:v>
      </x:c>
      <x:c r="AU83" t="n">
        <x:v>0.9092092207208727</x:v>
      </x:c>
      <x:c r="AV83" t="str">
        <x:v>YES</x:v>
      </x:c>
    </x:row>
    <x:row r="84">
      <x:c r="A84" t="n">
        <x:v>225</x:v>
      </x:c>
      <x:c r="B84" t="n">
        <x:v>15</x:v>
      </x:c>
      <x:c r="C84" t="n">
        <x:v>224.98307</x:v>
      </x:c>
      <x:c r="D84" t="n">
        <x:v>0.48577</x:v>
      </x:c>
      <x:c r="E84" t="n">
        <x:v>21.7</x:v>
      </x:c>
      <x:c r="F84" t="n">
        <x:v>225.00196</x:v>
      </x:c>
      <x:c r="G84" t="n">
        <x:v>1.34852</x:v>
      </x:c>
      <x:c r="H84" t="n">
        <x:v>29.83</x:v>
      </x:c>
      <x:c r="I84" t="n">
        <x:v>225.0028</x:v>
      </x:c>
      <x:c r="J84" t="n">
        <x:v>4.20794</x:v>
      </x:c>
      <x:c r="K84" t="n">
        <x:v>39.15</x:v>
      </x:c>
      <x:c r="L84" t="n">
        <x:v>224.98307</x:v>
      </x:c>
      <x:c r="M84" t="n">
        <x:v>0.48577</x:v>
      </x:c>
      <x:c r="N84" t="n">
        <x:v>225.00196</x:v>
      </x:c>
      <x:c r="O84" t="n">
        <x:v>1.34852</x:v>
      </x:c>
      <x:c r="P84" t="n">
        <x:v>225.0028</x:v>
      </x:c>
      <x:c r="Q84" t="n">
        <x:v>4.20794</x:v>
      </x:c>
      <x:c r="R84" t="n">
        <x:v>225.00249</x:v>
      </x:c>
      <x:c r="S84" t="n">
        <x:v>0.00249</x:v>
      </x:c>
      <x:c r="T84" t="n">
        <x:v>0.48577</x:v>
      </x:c>
      <x:c r="U84" t="n">
        <x:v>1.34852</x:v>
      </x:c>
      <x:c r="V84" t="n">
        <x:v>4.20794</x:v>
      </x:c>
      <x:c r="W84" t="n">
        <x:v>4.44536</x:v>
      </x:c>
      <x:c r="X84" t="n">
        <x:v>25.65</x:v>
      </x:c>
      <x:c r="Y84" t="str">
        <x:v>Z</x:v>
      </x:c>
      <x:c r="Z84" t="n">
        <x:v>0.47246</x:v>
      </x:c>
      <x:c r="AA84" t="n">
        <x:v>3.55</x:v>
      </x:c>
      <x:c r="AB84" t="n">
        <x:v>0.369</x:v>
      </x:c>
      <x:c r="AC84" t="n">
        <x:v>2.81</x:v>
      </x:c>
      <x:c r="AD84" t="n">
        <x:v>1.33293</x:v>
      </x:c>
      <x:c r="AE84" t="n">
        <x:v>161.99</x:v>
      </x:c>
      <x:c r="AF84" t="n">
        <x:v>0.733</x:v>
      </x:c>
      <x:c r="AG84" t="n">
        <x:v>1.13</x:v>
      </x:c>
      <x:c r="AH84" t="n">
        <x:v>4.22079</x:v>
      </x:c>
      <x:c r="AI84" t="n">
        <x:v>0.05</x:v>
      </x:c>
      <x:c r="AJ84" t="n">
        <x:v>0.943</x:v>
      </x:c>
      <x:c r="AK84" t="n">
        <x:v>0.58</x:v>
      </x:c>
      <x:c r="AL84" t="n">
        <x:v>4.45143</x:v>
      </x:c>
      <x:c r="AM84" t="n">
        <x:v>0.58</x:v>
      </x:c>
      <x:c r="AN84" t="n">
        <x:v>0.1061</x:v>
      </x:c>
      <x:c r="AO84" t="n">
        <x:v>0.2994</x:v>
      </x:c>
      <x:c r="AP84" t="n">
        <x:v>0.9482</x:v>
      </x:c>
      <x:c r="AQ84" t="n">
        <x:v>1</x:v>
      </x:c>
      <x:c r="AR84" t="n">
        <x:v>0.31580107041572786</x:v>
      </x:c>
      <x:c r="AS84" t="n">
        <x:v>0.011264994772162447</x:v>
      </x:c>
      <x:c r="AT84" t="n">
        <x:v>0.08966347958300706</x:v>
      </x:c>
      <x:c r="AU84" t="n">
        <x:v>0.8990594145408176</x:v>
      </x:c>
      <x:c r="AV84" t="str">
        <x:v>YES</x:v>
      </x:c>
    </x:row>
    <x:row r="85">
      <x:c r="A85" t="n">
        <x:v>225</x:v>
      </x:c>
      <x:c r="B85" t="n">
        <x:v>17</x:v>
      </x:c>
      <x:c r="C85" t="n">
        <x:v>233.22773</x:v>
      </x:c>
      <x:c r="D85" t="n">
        <x:v>0.71105</x:v>
      </x:c>
      <x:c r="E85" t="n">
        <x:v>24.29</x:v>
      </x:c>
      <x:c r="F85" t="n">
        <x:v>225.00198</x:v>
      </x:c>
      <x:c r="G85" t="n">
        <x:v>1.73276</x:v>
      </x:c>
      <x:c r="H85" t="n">
        <x:v>31.01</x:v>
      </x:c>
      <x:c r="I85" t="n">
        <x:v>225.00222</x:v>
      </x:c>
      <x:c r="J85" t="n">
        <x:v>5.21537</x:v>
      </x:c>
      <x:c r="K85" t="n">
        <x:v>39.79</x:v>
      </x:c>
      <x:c r="L85" t="n">
        <x:v>233.22773</x:v>
      </x:c>
      <x:c r="M85" t="n">
        <x:v>0.71105</x:v>
      </x:c>
      <x:c r="N85" t="n">
        <x:v>225.00198</x:v>
      </x:c>
      <x:c r="O85" t="n">
        <x:v>1.73276</x:v>
      </x:c>
      <x:c r="P85" t="n">
        <x:v>225.00222</x:v>
      </x:c>
      <x:c r="Q85" t="n">
        <x:v>5.21537</x:v>
      </x:c>
      <x:c r="R85" t="n">
        <x:v>225.00221</x:v>
      </x:c>
      <x:c r="S85" t="n">
        <x:v>0.00221</x:v>
      </x:c>
      <x:c r="T85" t="n">
        <x:v>0.5591</x:v>
      </x:c>
      <x:c r="U85" t="n">
        <x:v>1.73276</x:v>
      </x:c>
      <x:c r="V85" t="n">
        <x:v>5.21537</x:v>
      </x:c>
      <x:c r="W85" t="n">
        <x:v>5.52405</x:v>
      </x:c>
      <x:c r="X85" t="n">
        <x:v>24.23</x:v>
      </x:c>
      <x:c r="Y85" t="str">
        <x:v>Z</x:v>
      </x:c>
      <x:c r="Z85" t="n">
        <x:v>0.55332</x:v>
      </x:c>
      <x:c r="AA85" t="n">
        <x:v>4.05</x:v>
      </x:c>
      <x:c r="AB85" t="n">
        <x:v>0.357</x:v>
      </x:c>
      <x:c r="AC85" t="n">
        <x:v>3.52</x:v>
      </x:c>
      <x:c r="AD85" t="n">
        <x:v>1.72447</x:v>
      </x:c>
      <x:c r="AE85" t="n">
        <x:v>164.58</x:v>
      </x:c>
      <x:c r="AF85" t="n">
        <x:v>0.773</x:v>
      </x:c>
      <x:c r="AG85" t="n">
        <x:v>1.61</x:v>
      </x:c>
      <x:c r="AH85" t="n">
        <x:v>5.19021</x:v>
      </x:c>
      <x:c r="AI85" t="n">
        <x:v>1.01</x:v>
      </x:c>
      <x:c r="AJ85" t="n">
        <x:v>0.942</x:v>
      </x:c>
      <x:c r="AK85" t="n">
        <x:v>0.48</x:v>
      </x:c>
      <x:c r="AL85" t="n">
        <x:v>5.49719</x:v>
      </x:c>
      <x:c r="AM85" t="n">
        <x:v>0.49</x:v>
      </x:c>
      <x:c r="AN85" t="n">
        <x:v>0.1007</x:v>
      </x:c>
      <x:c r="AO85" t="n">
        <x:v>0.3137</x:v>
      </x:c>
      <x:c r="AP85" t="n">
        <x:v>0.9442</x:v>
      </x:c>
      <x:c r="AQ85" t="n">
        <x:v>1</x:v>
      </x:c>
      <x:c r="AR85" t="n">
        <x:v>0.3322543789172307</x:v>
      </x:c>
      <x:c r="AS85" t="n">
        <x:v>0.01013144149612463</x:v>
      </x:c>
      <x:c r="AT85" t="n">
        <x:v>0.09840786085423783</x:v>
      </x:c>
      <x:c r="AU85" t="n">
        <x:v>0.8914322967786736</x:v>
      </x:c>
      <x:c r="AV85" t="str">
        <x:v>YES</x:v>
      </x:c>
    </x:row>
    <x:row r="86">
      <x:c r="A86" t="n">
        <x:v>225</x:v>
      </x:c>
      <x:c r="B86" t="n">
        <x:v>19</x:v>
      </x:c>
      <x:c r="C86" t="n">
        <x:v>234.17958</x:v>
      </x:c>
      <x:c r="D86" t="n">
        <x:v>0.67719</x:v>
      </x:c>
      <x:c r="E86" t="n">
        <x:v>23.57</x:v>
      </x:c>
      <x:c r="F86" t="n">
        <x:v>225.00038</x:v>
      </x:c>
      <x:c r="G86" t="n">
        <x:v>2.10111</x:v>
      </x:c>
      <x:c r="H86" t="n">
        <x:v>31.86</x:v>
      </x:c>
      <x:c r="I86" t="n">
        <x:v>224.99987</x:v>
      </x:c>
      <x:c r="J86" t="n">
        <x:v>6.14539</x:v>
      </x:c>
      <x:c r="K86" t="n">
        <x:v>40.49</x:v>
      </x:c>
      <x:c r="L86" t="n">
        <x:v>225.01325</x:v>
      </x:c>
      <x:c r="M86" t="n">
        <x:v>0.65959</x:v>
      </x:c>
      <x:c r="N86" t="n">
        <x:v>225.00038</x:v>
      </x:c>
      <x:c r="O86" t="n">
        <x:v>2.10111</x:v>
      </x:c>
      <x:c r="P86" t="n">
        <x:v>224.99987</x:v>
      </x:c>
      <x:c r="Q86" t="n">
        <x:v>6.14539</x:v>
      </x:c>
      <x:c r="R86" t="n">
        <x:v>225.00006</x:v>
      </x:c>
      <x:c r="S86" t="n">
        <x:v>0.00006</x:v>
      </x:c>
      <x:c r="T86" t="n">
        <x:v>0.65959</x:v>
      </x:c>
      <x:c r="U86" t="n">
        <x:v>2.10111</x:v>
      </x:c>
      <x:c r="V86" t="n">
        <x:v>6.14539</x:v>
      </x:c>
      <x:c r="W86" t="n">
        <x:v>6.52806</x:v>
      </x:c>
      <x:c r="X86" t="n">
        <x:v>31.85</x:v>
      </x:c>
      <x:c r="Y86" t="str">
        <x:v>Z</x:v>
      </x:c>
      <x:c r="Z86" t="n">
        <x:v>0.66872</x:v>
      </x:c>
      <x:c r="AA86" t="n">
        <x:v>2.22</x:v>
      </x:c>
      <x:c r="AB86" t="n">
        <x:v>0.426</x:v>
      </x:c>
      <x:c r="AC86" t="n">
        <x:v>2.56</x:v>
      </x:c>
      <x:c r="AD86" t="n">
        <x:v>2.10488</x:v>
      </x:c>
      <x:c r="AE86" t="n">
        <x:v>164.64</x:v>
      </x:c>
      <x:c r="AF86" t="n">
        <x:v>0.809</x:v>
      </x:c>
      <x:c r="AG86" t="n">
        <x:v>1.28</x:v>
      </x:c>
      <x:c r="AH86" t="n">
        <x:v>6.17147</x:v>
      </x:c>
      <x:c r="AI86" t="n">
        <x:v>0.13</x:v>
      </x:c>
      <x:c r="AJ86" t="n">
        <x:v>0.949</x:v>
      </x:c>
      <x:c r="AK86" t="n">
        <x:v>0.54</x:v>
      </x:c>
      <x:c r="AL86" t="n">
        <x:v>6.55481</x:v>
      </x:c>
      <x:c r="AM86" t="n">
        <x:v>0.51</x:v>
      </x:c>
      <x:c r="AN86" t="n">
        <x:v>0.102</x:v>
      </x:c>
      <x:c r="AO86" t="n">
        <x:v>0.3211</x:v>
      </x:c>
      <x:c r="AP86" t="n">
        <x:v>0.9415</x:v>
      </x:c>
      <x:c r="AQ86" t="n">
        <x:v>1</x:v>
      </x:c>
      <x:c r="AR86" t="n">
        <x:v>0.34106622895355565</x:v>
      </x:c>
      <x:c r="AS86" t="n">
        <x:v>0.010408026977704212</x:v>
      </x:c>
      <x:c r="AT86" t="n">
        <x:v>0.10311799686617747</x:v>
      </x:c>
      <x:c r="AU86" t="n">
        <x:v>0.8864556842294428</x:v>
      </x:c>
      <x:c r="AV86" t="str">
        <x:v>YES</x:v>
      </x:c>
    </x:row>
    <x:row r="87">
      <x:c r="A87" t="n">
        <x:v>225</x:v>
      </x:c>
      <x:c r="B87" t="n">
        <x:v>21</x:v>
      </x:c>
      <x:c r="C87" t="n">
        <x:v>225.00744</x:v>
      </x:c>
      <x:c r="D87" t="n">
        <x:v>0.75434</x:v>
      </x:c>
      <x:c r="E87" t="n">
        <x:v>25.51</x:v>
      </x:c>
      <x:c r="F87" t="n">
        <x:v>225.00099</x:v>
      </x:c>
      <x:c r="G87" t="n">
        <x:v>2.4389</x:v>
      </x:c>
      <x:c r="H87" t="n">
        <x:v>34.12</x:v>
      </x:c>
      <x:c r="I87" t="n">
        <x:v>225.00162</x:v>
      </x:c>
      <x:c r="J87" t="n">
        <x:v>7.03175</x:v>
      </x:c>
      <x:c r="K87" t="n">
        <x:v>41</x:v>
      </x:c>
      <x:c r="L87" t="n">
        <x:v>225.00744</x:v>
      </x:c>
      <x:c r="M87" t="n">
        <x:v>0.75434</x:v>
      </x:c>
      <x:c r="N87" t="n">
        <x:v>225.00099</x:v>
      </x:c>
      <x:c r="O87" t="n">
        <x:v>2.4389</x:v>
      </x:c>
      <x:c r="P87" t="n">
        <x:v>225.00162</x:v>
      </x:c>
      <x:c r="Q87" t="n">
        <x:v>7.03175</x:v>
      </x:c>
      <x:c r="R87" t="n">
        <x:v>225.00161</x:v>
      </x:c>
      <x:c r="S87" t="n">
        <x:v>0.00161</x:v>
      </x:c>
      <x:c r="T87" t="n">
        <x:v>0.75434</x:v>
      </x:c>
      <x:c r="U87" t="n">
        <x:v>2.4389</x:v>
      </x:c>
      <x:c r="V87" t="n">
        <x:v>7.03175</x:v>
      </x:c>
      <x:c r="W87" t="n">
        <x:v>7.48082</x:v>
      </x:c>
      <x:c r="X87" t="n">
        <x:v>32.24</x:v>
      </x:c>
      <x:c r="Y87" t="str">
        <x:v>Z</x:v>
      </x:c>
      <x:c r="Z87" t="n">
        <x:v>0.75981</x:v>
      </x:c>
      <x:c r="AA87" t="n">
        <x:v>4.65</x:v>
      </x:c>
      <x:c r="AB87" t="n">
        <x:v>0.512</x:v>
      </x:c>
      <x:c r="AC87" t="n">
        <x:v>2.86</x:v>
      </x:c>
      <x:c r="AD87" t="n">
        <x:v>2.44471</x:v>
      </x:c>
      <x:c r="AE87" t="n">
        <x:v>165.75</x:v>
      </x:c>
      <x:c r="AF87" t="n">
        <x:v>0.855</x:v>
      </x:c>
      <x:c r="AG87" t="n">
        <x:v>1.07</x:v>
      </x:c>
      <x:c r="AH87" t="n">
        <x:v>7.0303</x:v>
      </x:c>
      <x:c r="AI87" t="n">
        <x:v>0.8</x:v>
      </x:c>
      <x:c r="AJ87" t="n">
        <x:v>0.952</x:v>
      </x:c>
      <x:c r="AK87" t="n">
        <x:v>0.32</x:v>
      </x:c>
      <x:c r="AL87" t="n">
        <x:v>7.48197</x:v>
      </x:c>
      <x:c r="AM87" t="n">
        <x:v>0.34</x:v>
      </x:c>
      <x:c r="AN87" t="n">
        <x:v>0.1016</x:v>
      </x:c>
      <x:c r="AO87" t="n">
        <x:v>0.3267</x:v>
      </x:c>
      <x:c r="AP87" t="n">
        <x:v>0.9396</x:v>
      </x:c>
      <x:c r="AQ87" t="n">
        <x:v>1</x:v>
      </x:c>
      <x:c r="AR87" t="n">
        <x:v>0.3477390723013243</x:v>
      </x:c>
      <x:c r="AS87" t="n">
        <x:v>0.010312835376386454</x:v>
      </x:c>
      <x:c r="AT87" t="n">
        <x:v>0.10676349269202254</x:v>
      </x:c>
      <x:c r="AU87" t="n">
        <x:v>0.8829086884987274</x:v>
      </x:c>
      <x:c r="AV87" t="str">
        <x:v>YES</x:v>
      </x:c>
    </x:row>
    <x:row r="88">
      <x:c r="A88" t="n">
        <x:v>225</x:v>
      </x:c>
      <x:c r="B88" t="n">
        <x:v>23</x:v>
      </x:c>
      <x:c r="C88" t="n">
        <x:v>225.00049</x:v>
      </x:c>
      <x:c r="D88" t="n">
        <x:v>0.82601</x:v>
      </x:c>
      <x:c r="E88" t="n">
        <x:v>25.52</x:v>
      </x:c>
      <x:c r="F88" t="n">
        <x:v>224.99871</x:v>
      </x:c>
      <x:c r="G88" t="n">
        <x:v>2.7411</x:v>
      </x:c>
      <x:c r="H88" t="n">
        <x:v>34.8</x:v>
      </x:c>
      <x:c r="I88" t="n">
        <x:v>224.99816</x:v>
      </x:c>
      <x:c r="J88" t="n">
        <x:v>7.82108</x:v>
      </x:c>
      <x:c r="K88" t="n">
        <x:v>41.21</x:v>
      </x:c>
      <x:c r="L88" t="n">
        <x:v>225.00049</x:v>
      </x:c>
      <x:c r="M88" t="n">
        <x:v>0.82601</x:v>
      </x:c>
      <x:c r="N88" t="n">
        <x:v>224.99871</x:v>
      </x:c>
      <x:c r="O88" t="n">
        <x:v>2.7411</x:v>
      </x:c>
      <x:c r="P88" t="n">
        <x:v>224.99816</x:v>
      </x:c>
      <x:c r="Q88" t="n">
        <x:v>7.82108</x:v>
      </x:c>
      <x:c r="R88" t="n">
        <x:v>224.99824</x:v>
      </x:c>
      <x:c r="S88" t="n">
        <x:v>-0.00176</x:v>
      </x:c>
      <x:c r="T88" t="n">
        <x:v>0.82601</x:v>
      </x:c>
      <x:c r="U88" t="n">
        <x:v>2.7411</x:v>
      </x:c>
      <x:c r="V88" t="n">
        <x:v>7.82108</x:v>
      </x:c>
      <x:c r="W88" t="n">
        <x:v>8.32858</x:v>
      </x:c>
      <x:c r="X88" t="n">
        <x:v>30.62</x:v>
      </x:c>
      <x:c r="Y88" t="str">
        <x:v>Z</x:v>
      </x:c>
      <x:c r="Z88" t="n">
        <x:v>0.80619</x:v>
      </x:c>
      <x:c r="AA88" t="n">
        <x:v>3.37</x:v>
      </x:c>
      <x:c r="AB88" t="n">
        <x:v>0.489</x:v>
      </x:c>
      <x:c r="AC88" t="n">
        <x:v>2.67</x:v>
      </x:c>
      <x:c r="AD88" t="n">
        <x:v>2.75098</x:v>
      </x:c>
      <x:c r="AE88" t="n">
        <x:v>164.76</x:v>
      </x:c>
      <x:c r="AF88" t="n">
        <x:v>0.883</x:v>
      </x:c>
      <x:c r="AG88" t="n">
        <x:v>0.25</x:v>
      </x:c>
      <x:c r="AH88" t="n">
        <x:v>7.8257</x:v>
      </x:c>
      <x:c r="AI88" t="n">
        <x:v>-0.09</x:v>
      </x:c>
      <x:c r="AJ88" t="n">
        <x:v>0.954</x:v>
      </x:c>
      <x:c r="AK88" t="n">
        <x:v>0.63</x:v>
      </x:c>
      <x:c r="AL88" t="n">
        <x:v>8.33426</x:v>
      </x:c>
      <x:c r="AM88" t="n">
        <x:v>0.6</x:v>
      </x:c>
      <x:c r="AN88" t="n">
        <x:v>0.0967</x:v>
      </x:c>
      <x:c r="AO88" t="n">
        <x:v>0.3301</x:v>
      </x:c>
      <x:c r="AP88" t="n">
        <x:v>0.939</x:v>
      </x:c>
      <x:c r="AQ88" t="n">
        <x:v>1</x:v>
      </x:c>
      <x:c r="AR88" t="n">
        <x:v>0.3515314923904571</x:v>
      </x:c>
      <x:c r="AS88" t="n">
        <x:v>0.009357088219715422</x:v>
      </x:c>
      <x:c r="AT88" t="n">
        <x:v>0.1089533972469556</x:v>
      </x:c>
      <x:c r="AU88" t="n">
        <x:v>0.8816826619295929</x:v>
      </x:c>
      <x:c r="AV88" t="str">
        <x:v>YES</x:v>
      </x:c>
    </x:row>
    <x:row r="89">
      <x:c r="A89" t="n">
        <x:v>225</x:v>
      </x:c>
      <x:c r="B89" t="n">
        <x:v>25</x:v>
      </x:c>
      <x:c r="C89" t="n">
        <x:v>234.16986</x:v>
      </x:c>
      <x:c r="D89" t="n">
        <x:v>1.01672</x:v>
      </x:c>
      <x:c r="E89" t="n">
        <x:v>26.8</x:v>
      </x:c>
      <x:c r="F89" t="n">
        <x:v>224.99999</x:v>
      </x:c>
      <x:c r="G89" t="n">
        <x:v>3.07734</x:v>
      </x:c>
      <x:c r="H89" t="n">
        <x:v>35.33</x:v>
      </x:c>
      <x:c r="I89" t="n">
        <x:v>224.99882</x:v>
      </x:c>
      <x:c r="J89" t="n">
        <x:v>8.57951</x:v>
      </x:c>
      <x:c r="K89" t="n">
        <x:v>41.83</x:v>
      </x:c>
      <x:c r="L89" t="n">
        <x:v>224.99521</x:v>
      </x:c>
      <x:c r="M89" t="n">
        <x:v>0.8788</x:v>
      </x:c>
      <x:c r="N89" t="n">
        <x:v>224.99999</x:v>
      </x:c>
      <x:c r="O89" t="n">
        <x:v>3.07734</x:v>
      </x:c>
      <x:c r="P89" t="n">
        <x:v>224.99882</x:v>
      </x:c>
      <x:c r="Q89" t="n">
        <x:v>8.57951</x:v>
      </x:c>
      <x:c r="R89" t="n">
        <x:v>224.99892</x:v>
      </x:c>
      <x:c r="S89" t="n">
        <x:v>-0.00108</x:v>
      </x:c>
      <x:c r="T89" t="n">
        <x:v>0.8788</x:v>
      </x:c>
      <x:c r="U89" t="n">
        <x:v>3.07734</x:v>
      </x:c>
      <x:c r="V89" t="n">
        <x:v>8.57951</x:v>
      </x:c>
      <x:c r="W89" t="n">
        <x:v>9.15698</x:v>
      </x:c>
      <x:c r="X89" t="n">
        <x:v>31.78</x:v>
      </x:c>
      <x:c r="Y89" t="str">
        <x:v>Z</x:v>
      </x:c>
      <x:c r="Z89" t="n">
        <x:v>0.90337</x:v>
      </x:c>
      <x:c r="AA89" t="n">
        <x:v>4.05</x:v>
      </x:c>
      <x:c r="AB89" t="n">
        <x:v>0.469</x:v>
      </x:c>
      <x:c r="AC89" t="n">
        <x:v>1.38</x:v>
      </x:c>
      <x:c r="AD89" t="n">
        <x:v>3.04721</x:v>
      </x:c>
      <x:c r="AE89" t="n">
        <x:v>163.33</x:v>
      </x:c>
      <x:c r="AF89" t="n">
        <x:v>0.87</x:v>
      </x:c>
      <x:c r="AG89" t="n">
        <x:v>0.84</x:v>
      </x:c>
      <x:c r="AH89" t="n">
        <x:v>8.60264</x:v>
      </x:c>
      <x:c r="AI89" t="n">
        <x:v>-0.96</x:v>
      </x:c>
      <x:c r="AJ89" t="n">
        <x:v>0.955</x:v>
      </x:c>
      <x:c r="AK89" t="n">
        <x:v>0.29</x:v>
      </x:c>
      <x:c r="AL89" t="n">
        <x:v>9.17101</x:v>
      </x:c>
      <x:c r="AM89" t="n">
        <x:v>0.33</x:v>
      </x:c>
      <x:c r="AN89" t="n">
        <x:v>0.0985</x:v>
      </x:c>
      <x:c r="AO89" t="n">
        <x:v>0.3323</x:v>
      </x:c>
      <x:c r="AP89" t="n">
        <x:v>0.938</x:v>
      </x:c>
      <x:c r="AQ89" t="n">
        <x:v>1</x:v>
      </x:c>
      <x:c r="AR89" t="n">
        <x:v>0.3542180074953736</x:v>
      </x:c>
      <x:c r="AS89" t="n">
        <x:v>0.009702798088595062</x:v>
      </x:c>
      <x:c r="AT89" t="n">
        <x:v>0.11040034632044865</x:v>
      </x:c>
      <x:c r="AU89" t="n">
        <x:v>0.8798915848374754</x:v>
      </x:c>
      <x:c r="AV89" t="str">
        <x:v>YES</x:v>
      </x:c>
    </x:row>
    <x:row r="90">
      <x:c r="A90" t="n">
        <x:v>225</x:v>
      </x:c>
      <x:c r="B90" t="n">
        <x:v>27</x:v>
      </x:c>
      <x:c r="C90" t="n">
        <x:v>224.99609</x:v>
      </x:c>
      <x:c r="D90" t="n">
        <x:v>0.96672</x:v>
      </x:c>
      <x:c r="E90" t="n">
        <x:v>25.77</x:v>
      </x:c>
      <x:c r="F90" t="n">
        <x:v>224.99687</x:v>
      </x:c>
      <x:c r="G90" t="n">
        <x:v>3.33645</x:v>
      </x:c>
      <x:c r="H90" t="n">
        <x:v>35.22</x:v>
      </x:c>
      <x:c r="I90" t="n">
        <x:v>224.99981</x:v>
      </x:c>
      <x:c r="J90" t="n">
        <x:v>9.34406</x:v>
      </x:c>
      <x:c r="K90" t="n">
        <x:v>41.68</x:v>
      </x:c>
      <x:c r="L90" t="n">
        <x:v>224.99609</x:v>
      </x:c>
      <x:c r="M90" t="n">
        <x:v>0.96672</x:v>
      </x:c>
      <x:c r="N90" t="n">
        <x:v>224.99687</x:v>
      </x:c>
      <x:c r="O90" t="n">
        <x:v>3.33645</x:v>
      </x:c>
      <x:c r="P90" t="n">
        <x:v>224.99981</x:v>
      </x:c>
      <x:c r="Q90" t="n">
        <x:v>9.34406</x:v>
      </x:c>
      <x:c r="R90" t="n">
        <x:v>224.99945</x:v>
      </x:c>
      <x:c r="S90" t="n">
        <x:v>-0.00055</x:v>
      </x:c>
      <x:c r="T90" t="n">
        <x:v>0.96672</x:v>
      </x:c>
      <x:c r="U90" t="n">
        <x:v>3.33645</x:v>
      </x:c>
      <x:c r="V90" t="n">
        <x:v>9.34406</x:v>
      </x:c>
      <x:c r="W90" t="n">
        <x:v>9.96885</x:v>
      </x:c>
      <x:c r="X90" t="n">
        <x:v>31.87</x:v>
      </x:c>
      <x:c r="Y90" t="str">
        <x:v>Z</x:v>
      </x:c>
      <x:c r="Z90" t="n">
        <x:v>0.93476</x:v>
      </x:c>
      <x:c r="AA90" t="n">
        <x:v>2.23</x:v>
      </x:c>
      <x:c r="AB90" t="n">
        <x:v>0.503</x:v>
      </x:c>
      <x:c r="AC90" t="n">
        <x:v>4.47</x:v>
      </x:c>
      <x:c r="AD90" t="n">
        <x:v>3.36563</x:v>
      </x:c>
      <x:c r="AE90" t="n">
        <x:v>161.95</x:v>
      </x:c>
      <x:c r="AF90" t="n">
        <x:v>0.894</x:v>
      </x:c>
      <x:c r="AG90" t="n">
        <x:v>1.15</x:v>
      </x:c>
      <x:c r="AH90" t="n">
        <x:v>9.37669</x:v>
      </x:c>
      <x:c r="AI90" t="n">
        <x:v>-1.75</x:v>
      </x:c>
      <x:c r="AJ90" t="n">
        <x:v>0.956</x:v>
      </x:c>
      <x:c r="AK90" t="n">
        <x:v>0.5</x:v>
      </x:c>
      <x:c r="AL90" t="n">
        <x:v>10.00634</x:v>
      </x:c>
      <x:c r="AM90" t="n">
        <x:v>0.36</x:v>
      </x:c>
      <x:c r="AN90" t="n">
        <x:v>0.0934</x:v>
      </x:c>
      <x:c r="AO90" t="n">
        <x:v>0.3363</x:v>
      </x:c>
      <x:c r="AP90" t="n">
        <x:v>0.9371</x:v>
      </x:c>
      <x:c r="AQ90" t="n">
        <x:v>1</x:v>
      </x:c>
      <x:c r="AR90" t="n">
        <x:v>0.358935829167862</x:v>
      </x:c>
      <x:c r="AS90" t="n">
        <x:v>0.00872669362074204</x:v>
      </x:c>
      <x:c r="AT90" t="n">
        <x:v>0.11313115718793827</x:v>
      </x:c>
      <x:c r="AU90" t="n">
        <x:v>0.8781093579338148</x:v>
      </x:c>
      <x:c r="AV90" t="str">
        <x:v>YES</x:v>
      </x:c>
    </x:row>
    <x:row r="91">
      <x:c r="A91" t="n">
        <x:v>225</x:v>
      </x:c>
      <x:c r="B91" t="n">
        <x:v>29</x:v>
      </x:c>
      <x:c r="C91" t="n">
        <x:v>225.00541</x:v>
      </x:c>
      <x:c r="D91" t="n">
        <x:v>1.0423</x:v>
      </x:c>
      <x:c r="E91" t="n">
        <x:v>25.4</x:v>
      </x:c>
      <x:c r="F91" t="n">
        <x:v>224.99736</x:v>
      </x:c>
      <x:c r="G91" t="n">
        <x:v>3.68549</x:v>
      </x:c>
      <x:c r="H91" t="n">
        <x:v>35.82</x:v>
      </x:c>
      <x:c r="I91" t="n">
        <x:v>224.99963</x:v>
      </x:c>
      <x:c r="J91" t="n">
        <x:v>10.16168</x:v>
      </x:c>
      <x:c r="K91" t="n">
        <x:v>41.71</x:v>
      </x:c>
      <x:c r="L91" t="n">
        <x:v>225.00541</x:v>
      </x:c>
      <x:c r="M91" t="n">
        <x:v>1.0423</x:v>
      </x:c>
      <x:c r="N91" t="n">
        <x:v>224.99736</x:v>
      </x:c>
      <x:c r="O91" t="n">
        <x:v>3.68549</x:v>
      </x:c>
      <x:c r="P91" t="n">
        <x:v>224.99963</x:v>
      </x:c>
      <x:c r="Q91" t="n">
        <x:v>10.16168</x:v>
      </x:c>
      <x:c r="R91" t="n">
        <x:v>224.99942</x:v>
      </x:c>
      <x:c r="S91" t="n">
        <x:v>-0.00058</x:v>
      </x:c>
      <x:c r="T91" t="n">
        <x:v>1.0423</x:v>
      </x:c>
      <x:c r="U91" t="n">
        <x:v>3.68549</x:v>
      </x:c>
      <x:c r="V91" t="n">
        <x:v>10.16168</x:v>
      </x:c>
      <x:c r="W91" t="n">
        <x:v>10.85951</x:v>
      </x:c>
      <x:c r="X91" t="n">
        <x:v>34.72</x:v>
      </x:c>
      <x:c r="Y91" t="str">
        <x:v>Z</x:v>
      </x:c>
      <x:c r="Z91" t="n">
        <x:v>1.01835</x:v>
      </x:c>
      <x:c r="AA91" t="n">
        <x:v>1.81</x:v>
      </x:c>
      <x:c r="AB91" t="n">
        <x:v>0.515</x:v>
      </x:c>
      <x:c r="AC91" t="n">
        <x:v>1.7</x:v>
      </x:c>
      <x:c r="AD91" t="n">
        <x:v>3.69864</x:v>
      </x:c>
      <x:c r="AE91" t="n">
        <x:v>161.94</x:v>
      </x:c>
      <x:c r="AF91" t="n">
        <x:v>0.892</x:v>
      </x:c>
      <x:c r="AG91" t="n">
        <x:v>0.44</x:v>
      </x:c>
      <x:c r="AH91" t="n">
        <x:v>10.2022</x:v>
      </x:c>
      <x:c r="AI91" t="n">
        <x:v>-2.13</x:v>
      </x:c>
      <x:c r="AJ91" t="n">
        <x:v>0.957</x:v>
      </x:c>
      <x:c r="AK91" t="n">
        <x:v>0.28</x:v>
      </x:c>
      <x:c r="AL91" t="n">
        <x:v>10.89964</x:v>
      </x:c>
      <x:c r="AM91" t="n">
        <x:v>0.28</x:v>
      </x:c>
      <x:c r="AN91" t="n">
        <x:v>0.0934</x:v>
      </x:c>
      <x:c r="AO91" t="n">
        <x:v>0.3393</x:v>
      </x:c>
      <x:c r="AP91" t="n">
        <x:v>0.936</x:v>
      </x:c>
      <x:c r="AQ91" t="n">
        <x:v>1</x:v>
      </x:c>
      <x:c r="AR91" t="n">
        <x:v>0.3625335711905276</x:v>
      </x:c>
      <x:c r="AS91" t="n">
        <x:v>0.008729107208164949</x:v>
      </x:c>
      <x:c r="AT91" t="n">
        <x:v>0.11514890601204518</x:v>
      </x:c>
      <x:c r="AU91" t="n">
        <x:v>0.8761195228724048</x:v>
      </x:c>
      <x:c r="AV91" t="str">
        <x:v>YES</x:v>
      </x:c>
    </x:row>
    <x:row r="92">
      <x:c r="A92" t="n">
        <x:v>250</x:v>
      </x:c>
      <x:c r="B92" t="n">
        <x:v>1</x:v>
      </x:c>
      <x:c r="C92" t="n">
        <x:v>420.36512</x:v>
      </x:c>
      <x:c r="D92" t="n">
        <x:v>0.37064</x:v>
      </x:c>
      <x:c r="E92" t="n">
        <x:v>28.04</x:v>
      </x:c>
      <x:c r="F92" t="n">
        <x:v>420.31538</x:v>
      </x:c>
      <x:c r="G92" t="n">
        <x:v>0.21775</x:v>
      </x:c>
      <x:c r="H92" t="n">
        <x:v>21.92</x:v>
      </x:c>
      <x:c r="I92" t="n">
        <x:v>499.96755</x:v>
      </x:c>
      <x:c r="J92" t="n">
        <x:v>0.13924</x:v>
      </x:c>
      <x:c r="K92" t="n">
        <x:v>19.34</x:v>
      </x:c>
      <x:c r="L92" t="n">
        <x:v>257.70599</x:v>
      </x:c>
      <x:c r="M92" t="n">
        <x:v>0.01695</x:v>
      </x:c>
      <x:c r="N92" t="n">
        <x:v>257.03125</x:v>
      </x:c>
      <x:c r="O92" t="n">
        <x:v>0.0144</x:v>
      </x:c>
      <x:c r="P92" t="n">
        <x:v>252.80001</x:v>
      </x:c>
      <x:c r="Q92" t="n">
        <x:v>0.01688</x:v>
      </x:c>
      <x:c r="R92" t="n">
        <x:v>242.1875</x:v>
      </x:c>
      <x:c r="S92" t="n">
        <x:v>-7.8125</x:v>
      </x:c>
      <x:c r="T92" t="n">
        <x:v>0.01479</x:v>
      </x:c>
      <x:c r="U92" t="n">
        <x:v>0.0141</x:v>
      </x:c>
      <x:c r="V92" t="n">
        <x:v>0.0139</x:v>
      </x:c>
      <x:c r="W92" t="n">
        <x:v>0.02471</x:v>
      </x:c>
      <x:c r="X92" t="n">
        <x:v>2.22</x:v>
      </x:c>
      <x:c r="Y92" t="str">
        <x:v>X</x:v>
      </x:c>
      <x:c r="Z92" t="n">
        <x:v>0.01072</x:v>
      </x:c>
      <x:c r="AA92" t="n">
        <x:v>-66.18</x:v>
      </x:c>
      <x:c r="AB92" t="n">
        <x:v>0.018</x:v>
      </x:c>
      <x:c r="AC92" t="n">
        <x:v>64</x:v>
      </x:c>
      <x:c r="AD92" t="n">
        <x:v>0.01304</x:v>
      </x:c>
      <x:c r="AE92" t="n">
        <x:v>168.31</x:v>
      </x:c>
      <x:c r="AF92" t="n">
        <x:v>0.021</x:v>
      </x:c>
      <x:c r="AG92" t="n">
        <x:v>46.8</x:v>
      </x:c>
      <x:c r="AH92" t="n">
        <x:v>0.0289</x:v>
      </x:c>
      <x:c r="AI92" t="n">
        <x:v>144.03</x:v>
      </x:c>
      <x:c r="AJ92" t="n">
        <x:v>0.071</x:v>
      </x:c>
      <x:c r="AK92" t="n">
        <x:v>36.32</x:v>
      </x:c>
      <x:c r="AL92" t="n">
        <x:v>0.03436</x:v>
      </x:c>
      <x:c r="AM92" t="n">
        <x:v>31.79</x:v>
      </x:c>
      <x:c r="AN92" t="n">
        <x:v>0.3121</x:v>
      </x:c>
      <x:c r="AO92" t="n">
        <x:v>0.3794</x:v>
      </x:c>
      <x:c r="AP92" t="n">
        <x:v>0.8412</x:v>
      </x:c>
      <x:c r="AQ92" t="n">
        <x:v>0</x:v>
      </x:c>
      <x:c r="AR92" t="n">
        <x:v>0.4512110726643599</x:v>
      </x:c>
      <x:c r="AS92" t="n">
        <x:v>0.09733818867812018</x:v>
      </x:c>
      <x:c r="AT92" t="n">
        <x:v>0.14402864418517347</x:v>
      </x:c>
      <x:c r="AU92" t="n">
        <x:v>0.7074396142467415</x:v>
      </x:c>
      <x:c r="AV92" t="str">
        <x:v>NO</x:v>
      </x:c>
    </x:row>
    <x:row r="93">
      <x:c r="A93" t="n">
        <x:v>250</x:v>
      </x:c>
      <x:c r="B93" t="n">
        <x:v>3</x:v>
      </x:c>
      <x:c r="C93" t="n">
        <x:v>159.15936</x:v>
      </x:c>
      <x:c r="D93" t="n">
        <x:v>0.67748</x:v>
      </x:c>
      <x:c r="E93" t="n">
        <x:v>27.68</x:v>
      </x:c>
      <x:c r="F93" t="n">
        <x:v>159.14073</x:v>
      </x:c>
      <x:c r="G93" t="n">
        <x:v>0.48789</x:v>
      </x:c>
      <x:c r="H93" t="n">
        <x:v>24.88</x:v>
      </x:c>
      <x:c r="I93" t="n">
        <x:v>749.99658</x:v>
      </x:c>
      <x:c r="J93" t="n">
        <x:v>0.25696</x:v>
      </x:c>
      <x:c r="K93" t="n">
        <x:v>22.67</x:v>
      </x:c>
      <x:c r="L93" t="n">
        <x:v>256.31289</x:v>
      </x:c>
      <x:c r="M93" t="n">
        <x:v>0.02307</x:v>
      </x:c>
      <x:c r="N93" t="n">
        <x:v>249.99218</x:v>
      </x:c>
      <x:c r="O93" t="n">
        <x:v>0.13181</x:v>
      </x:c>
      <x:c r="P93" t="n">
        <x:v>249.94583</x:v>
      </x:c>
      <x:c r="Q93" t="n">
        <x:v>0.1327</x:v>
      </x:c>
      <x:c r="R93" t="n">
        <x:v>249.96585</x:v>
      </x:c>
      <x:c r="S93" t="n">
        <x:v>-0.03415</x:v>
      </x:c>
      <x:c r="T93" t="n">
        <x:v>0.02282</x:v>
      </x:c>
      <x:c r="U93" t="n">
        <x:v>0.13181</x:v>
      </x:c>
      <x:c r="V93" t="n">
        <x:v>0.1327</x:v>
      </x:c>
      <x:c r="W93" t="n">
        <x:v>0.18842</x:v>
      </x:c>
      <x:c r="X93" t="n">
        <x:v>18.89</x:v>
      </x:c>
      <x:c r="Y93" t="str">
        <x:v>Z</x:v>
      </x:c>
      <x:c r="Z93" t="n">
        <x:v>0.01425</x:v>
      </x:c>
      <x:c r="AA93" t="n">
        <x:v>-36.68</x:v>
      </x:c>
      <x:c r="AB93" t="n">
        <x:v>0.012</x:v>
      </x:c>
      <x:c r="AC93" t="n">
        <x:v>67.66</x:v>
      </x:c>
      <x:c r="AD93" t="n">
        <x:v>0.1371</x:v>
      </x:c>
      <x:c r="AE93" t="n">
        <x:v>5.83</x:v>
      </x:c>
      <x:c r="AF93" t="n">
        <x:v>0.13</x:v>
      </x:c>
      <x:c r="AG93" t="n">
        <x:v>7.87</x:v>
      </x:c>
      <x:c r="AH93" t="n">
        <x:v>0.11649</x:v>
      </x:c>
      <x:c r="AI93" t="n">
        <x:v>19.27</x:v>
      </x:c>
      <x:c r="AJ93" t="n">
        <x:v>0.203</x:v>
      </x:c>
      <x:c r="AK93" t="n">
        <x:v>16.98</x:v>
      </x:c>
      <x:c r="AL93" t="n">
        <x:v>0.18126</x:v>
      </x:c>
      <x:c r="AM93" t="n">
        <x:v>8.58</x:v>
      </x:c>
      <x:c r="AN93" t="n">
        <x:v>0.0786</x:v>
      </x:c>
      <x:c r="AO93" t="n">
        <x:v>0.7564</x:v>
      </x:c>
      <x:c r="AP93" t="n">
        <x:v>0.6426</x:v>
      </x:c>
      <x:c r="AQ93" t="n">
        <x:v>1</x:v>
      </x:c>
      <x:c r="AR93" t="n">
        <x:v>1.176925057944888</x:v>
      </x:c>
      <x:c r="AS93" t="n">
        <x:v>0.006180530833432222</x:v>
      </x:c>
      <x:c r="AT93" t="n">
        <x:v>0.5720986965236503</x:v>
      </x:c>
      <x:c r="AU93" t="n">
        <x:v>0.4130221463109222</x:v>
      </x:c>
      <x:c r="AV93" t="str">
        <x:v>NO</x:v>
      </x:c>
    </x:row>
    <x:row r="94">
      <x:c r="A94" t="n">
        <x:v>250</x:v>
      </x:c>
      <x:c r="B94" t="n">
        <x:v>5</x:v>
      </x:c>
      <x:c r="C94" t="n">
        <x:v>409.17537</x:v>
      </x:c>
      <x:c r="D94" t="n">
        <x:v>0.53779</x:v>
      </x:c>
      <x:c r="E94" t="n">
        <x:v>26.02</x:v>
      </x:c>
      <x:c r="F94" t="n">
        <x:v>159.14976</x:v>
      </x:c>
      <x:c r="G94" t="n">
        <x:v>0.48016</x:v>
      </x:c>
      <x:c r="H94" t="n">
        <x:v>23.63</x:v>
      </x:c>
      <x:c r="I94" t="n">
        <x:v>250.00583</x:v>
      </x:c>
      <x:c r="J94" t="n">
        <x:v>0.29094</x:v>
      </x:c>
      <x:c r="K94" t="n">
        <x:v>23.83</x:v>
      </x:c>
      <x:c r="L94" t="n">
        <x:v>250.02392</x:v>
      </x:c>
      <x:c r="M94" t="n">
        <x:v>0.03317</x:v>
      </x:c>
      <x:c r="N94" t="n">
        <x:v>249.98441</x:v>
      </x:c>
      <x:c r="O94" t="n">
        <x:v>0.27098</x:v>
      </x:c>
      <x:c r="P94" t="n">
        <x:v>250.00583</x:v>
      </x:c>
      <x:c r="Q94" t="n">
        <x:v>0.29094</x:v>
      </x:c>
      <x:c r="R94" t="n">
        <x:v>249.99605</x:v>
      </x:c>
      <x:c r="S94" t="n">
        <x:v>-0.00395</x:v>
      </x:c>
      <x:c r="T94" t="n">
        <x:v>0.03317</x:v>
      </x:c>
      <x:c r="U94" t="n">
        <x:v>0.27098</x:v>
      </x:c>
      <x:c r="V94" t="n">
        <x:v>0.29094</x:v>
      </x:c>
      <x:c r="W94" t="n">
        <x:v>0.39897</x:v>
      </x:c>
      <x:c r="X94" t="n">
        <x:v>22.93</x:v>
      </x:c>
      <x:c r="Y94" t="str">
        <x:v>Z</x:v>
      </x:c>
      <x:c r="Z94" t="n">
        <x:v>0.03015</x:v>
      </x:c>
      <x:c r="AA94" t="n">
        <x:v>-11.08</x:v>
      </x:c>
      <x:c r="AB94" t="n">
        <x:v>0.026</x:v>
      </x:c>
      <x:c r="AC94" t="n">
        <x:v>64.39</x:v>
      </x:c>
      <x:c r="AD94" t="n">
        <x:v>0.27568</x:v>
      </x:c>
      <x:c r="AE94" t="n">
        <x:v>1.51</x:v>
      </x:c>
      <x:c r="AF94" t="n">
        <x:v>0.224</x:v>
      </x:c>
      <x:c r="AG94" t="n">
        <x:v>3.27</x:v>
      </x:c>
      <x:c r="AH94" t="n">
        <x:v>0.29535</x:v>
      </x:c>
      <x:c r="AI94" t="n">
        <x:v>17.34</x:v>
      </x:c>
      <x:c r="AJ94" t="n">
        <x:v>0.46</x:v>
      </x:c>
      <x:c r="AK94" t="n">
        <x:v>3.15</x:v>
      </x:c>
      <x:c r="AL94" t="n">
        <x:v>0.40559</x:v>
      </x:c>
      <x:c r="AM94" t="n">
        <x:v>2.31</x:v>
      </x:c>
      <x:c r="AN94" t="n">
        <x:v>0.0743</x:v>
      </x:c>
      <x:c r="AO94" t="n">
        <x:v>0.6797</x:v>
      </x:c>
      <x:c r="AP94" t="n">
        <x:v>0.7282</x:v>
      </x:c>
      <x:c r="AQ94" t="n">
        <x:v>1</x:v>
      </x:c>
      <x:c r="AR94" t="n">
        <x:v>0.9334010496021669</x:v>
      </x:c>
      <x:c r="AS94" t="n">
        <x:v>0.005525863534605794</x:v>
      </x:c>
      <x:c r="AT94" t="n">
        <x:v>0.4619936887434625</x:v>
      </x:c>
      <x:c r="AU94" t="n">
        <x:v>0.53027294906039</x:v>
      </x:c>
      <x:c r="AV94" t="str">
        <x:v>NO</x:v>
      </x:c>
    </x:row>
    <x:row r="95">
      <x:c r="A95" t="n">
        <x:v>250</x:v>
      </x:c>
      <x:c r="B95" t="n">
        <x:v>7</x:v>
      </x:c>
      <x:c r="C95" t="n">
        <x:v>329.5598</x:v>
      </x:c>
      <x:c r="D95" t="n">
        <x:v>0.52741</x:v>
      </x:c>
      <x:c r="E95" t="n">
        <x:v>26.69</x:v>
      </x:c>
      <x:c r="F95" t="n">
        <x:v>159.1226</x:v>
      </x:c>
      <x:c r="G95" t="n">
        <x:v>0.44689</x:v>
      </x:c>
      <x:c r="H95" t="n">
        <x:v>24.17</x:v>
      </x:c>
      <x:c r="I95" t="n">
        <x:v>250.01157</x:v>
      </x:c>
      <x:c r="J95" t="n">
        <x:v>0.48008</x:v>
      </x:c>
      <x:c r="K95" t="n">
        <x:v>27.85</x:v>
      </x:c>
      <x:c r="L95" t="n">
        <x:v>249.96702</x:v>
      </x:c>
      <x:c r="M95" t="n">
        <x:v>0.04105</x:v>
      </x:c>
      <x:c r="N95" t="n">
        <x:v>250.006</x:v>
      </x:c>
      <x:c r="O95" t="n">
        <x:v>0.43261</x:v>
      </x:c>
      <x:c r="P95" t="n">
        <x:v>250.01157</x:v>
      </x:c>
      <x:c r="Q95" t="n">
        <x:v>0.48008</x:v>
      </x:c>
      <x:c r="R95" t="n">
        <x:v>250.0089</x:v>
      </x:c>
      <x:c r="S95" t="n">
        <x:v>0.0089</x:v>
      </x:c>
      <x:c r="T95" t="n">
        <x:v>0.04105</x:v>
      </x:c>
      <x:c r="U95" t="n">
        <x:v>0.43261</x:v>
      </x:c>
      <x:c r="V95" t="n">
        <x:v>0.48008</x:v>
      </x:c>
      <x:c r="W95" t="n">
        <x:v>0.64754</x:v>
      </x:c>
      <x:c r="X95" t="n">
        <x:v>27.94</x:v>
      </x:c>
      <x:c r="Y95" t="str">
        <x:v>Z</x:v>
      </x:c>
      <x:c r="Z95" t="n">
        <x:v>0.052</x:v>
      </x:c>
      <x:c r="AA95" t="n">
        <x:v>-11.59</x:v>
      </x:c>
      <x:c r="AB95" t="n">
        <x:v>0.048</x:v>
      </x:c>
      <x:c r="AC95" t="n">
        <x:v>29.82</x:v>
      </x:c>
      <x:c r="AD95" t="n">
        <x:v>0.42166</x:v>
      </x:c>
      <x:c r="AE95" t="n">
        <x:v>6.21</x:v>
      </x:c>
      <x:c r="AF95" t="n">
        <x:v>0.384</x:v>
      </x:c>
      <x:c r="AG95" t="n">
        <x:v>3.47</x:v>
      </x:c>
      <x:c r="AH95" t="n">
        <x:v>0.47568</x:v>
      </x:c>
      <x:c r="AI95" t="n">
        <x:v>22.16</x:v>
      </x:c>
      <x:c r="AJ95" t="n">
        <x:v>0.629</x:v>
      </x:c>
      <x:c r="AK95" t="n">
        <x:v>2.78</x:v>
      </x:c>
      <x:c r="AL95" t="n">
        <x:v>0.63802</x:v>
      </x:c>
      <x:c r="AM95" t="n">
        <x:v>2.52</x:v>
      </x:c>
      <x:c r="AN95" t="n">
        <x:v>0.0815</x:v>
      </x:c>
      <x:c r="AO95" t="n">
        <x:v>0.6609</x:v>
      </x:c>
      <x:c r="AP95" t="n">
        <x:v>0.7456</x:v>
      </x:c>
      <x:c r="AQ95" t="n">
        <x:v>1</x:v>
      </x:c>
      <x:c r="AR95" t="n">
        <x:v>0.8864362596703667</x:v>
      </x:c>
      <x:c r="AS95" t="n">
        <x:v>0.006642600009312806</x:v>
      </x:c>
      <x:c r="AT95" t="n">
        <x:v>0.4367734421022006</x:v>
      </x:c>
      <x:c r="AU95" t="n">
        <x:v>0.5558545925463988</x:v>
      </x:c>
      <x:c r="AV95" t="str">
        <x:v>NO</x:v>
      </x:c>
    </x:row>
    <x:row r="96">
      <x:c r="A96" t="n">
        <x:v>250</x:v>
      </x:c>
      <x:c r="B96" t="n">
        <x:v>9</x:v>
      </x:c>
      <x:c r="C96" t="n">
        <x:v>159.10066</x:v>
      </x:c>
      <x:c r="D96" t="n">
        <x:v>0.50631</x:v>
      </x:c>
      <x:c r="E96" t="n">
        <x:v>26.17</x:v>
      </x:c>
      <x:c r="F96" t="n">
        <x:v>249.99612</x:v>
      </x:c>
      <x:c r="G96" t="n">
        <x:v>0.56866</x:v>
      </x:c>
      <x:c r="H96" t="n">
        <x:v>25.16</x:v>
      </x:c>
      <x:c r="I96" t="n">
        <x:v>250.00028</x:v>
      </x:c>
      <x:c r="J96" t="n">
        <x:v>0.66282</x:v>
      </x:c>
      <x:c r="K96" t="n">
        <x:v>29.91</x:v>
      </x:c>
      <x:c r="L96" t="n">
        <x:v>249.94791</x:v>
      </x:c>
      <x:c r="M96" t="n">
        <x:v>0.06758</x:v>
      </x:c>
      <x:c r="N96" t="n">
        <x:v>249.99612</x:v>
      </x:c>
      <x:c r="O96" t="n">
        <x:v>0.56866</x:v>
      </x:c>
      <x:c r="P96" t="n">
        <x:v>250.00028</x:v>
      </x:c>
      <x:c r="Q96" t="n">
        <x:v>0.66282</x:v>
      </x:c>
      <x:c r="R96" t="n">
        <x:v>249.99821</x:v>
      </x:c>
      <x:c r="S96" t="n">
        <x:v>-0.00179</x:v>
      </x:c>
      <x:c r="T96" t="n">
        <x:v>0.06758</x:v>
      </x:c>
      <x:c r="U96" t="n">
        <x:v>0.56866</x:v>
      </x:c>
      <x:c r="V96" t="n">
        <x:v>0.66282</x:v>
      </x:c>
      <x:c r="W96" t="n">
        <x:v>0.87594</x:v>
      </x:c>
      <x:c r="X96" t="n">
        <x:v>29.85</x:v>
      </x:c>
      <x:c r="Y96" t="str">
        <x:v>Z</x:v>
      </x:c>
      <x:c r="Z96" t="n">
        <x:v>0.07101</x:v>
      </x:c>
      <x:c r="AA96" t="n">
        <x:v>-10.96</x:v>
      </x:c>
      <x:c r="AB96" t="n">
        <x:v>0.069</x:v>
      </x:c>
      <x:c r="AC96" t="n">
        <x:v>11.86</x:v>
      </x:c>
      <x:c r="AD96" t="n">
        <x:v>0.55994</x:v>
      </x:c>
      <x:c r="AE96" t="n">
        <x:v>2.46</x:v>
      </x:c>
      <x:c r="AF96" t="n">
        <x:v>0.452</x:v>
      </x:c>
      <x:c r="AG96" t="n">
        <x:v>2.74</x:v>
      </x:c>
      <x:c r="AH96" t="n">
        <x:v>0.64371</x:v>
      </x:c>
      <x:c r="AI96" t="n">
        <x:v>18.28</x:v>
      </x:c>
      <x:c r="AJ96" t="n">
        <x:v>0.738</x:v>
      </x:c>
      <x:c r="AK96" t="n">
        <x:v>5.05</x:v>
      </x:c>
      <x:c r="AL96" t="n">
        <x:v>0.85653</x:v>
      </x:c>
      <x:c r="AM96" t="n">
        <x:v>2.6</x:v>
      </x:c>
      <x:c r="AN96" t="n">
        <x:v>0.0829</x:v>
      </x:c>
      <x:c r="AO96" t="n">
        <x:v>0.6537</x:v>
      </x:c>
      <x:c r="AP96" t="n">
        <x:v>0.7515</x:v>
      </x:c>
      <x:c r="AQ96" t="n">
        <x:v>1</x:v>
      </x:c>
      <x:c r="AR96" t="n">
        <x:v>0.8698637585248016</x:v>
      </x:c>
      <x:c r="AS96" t="n">
        <x:v>0.006873119071562036</x:v>
      </x:c>
      <x:c r="AT96" t="n">
        <x:v>0.4273638945679028</x:v>
      </x:c>
      <x:c r="AU96" t="n">
        <x:v>0.564800866523806</x:v>
      </x:c>
      <x:c r="AV96" t="str">
        <x:v>NO</x:v>
      </x:c>
    </x:row>
    <x:row r="97">
      <x:c r="A97" t="n">
        <x:v>250</x:v>
      </x:c>
      <x:c r="B97" t="n">
        <x:v>11</x:v>
      </x:c>
      <x:c r="C97" t="n">
        <x:v>329.59399</x:v>
      </x:c>
      <x:c r="D97" t="n">
        <x:v>0.53077</x:v>
      </x:c>
      <x:c r="E97" t="n">
        <x:v>26.11</x:v>
      </x:c>
      <x:c r="F97" t="n">
        <x:v>250.00544</x:v>
      </x:c>
      <x:c r="G97" t="n">
        <x:v>0.62919</x:v>
      </x:c>
      <x:c r="H97" t="n">
        <x:v>26.57</x:v>
      </x:c>
      <x:c r="I97" t="n">
        <x:v>250.00059</x:v>
      </x:c>
      <x:c r="J97" t="n">
        <x:v>0.93529</x:v>
      </x:c>
      <x:c r="K97" t="n">
        <x:v>32.05</x:v>
      </x:c>
      <x:c r="L97" t="n">
        <x:v>249.85477</x:v>
      </x:c>
      <x:c r="M97" t="n">
        <x:v>0.08612</x:v>
      </x:c>
      <x:c r="N97" t="n">
        <x:v>250.00544</x:v>
      </x:c>
      <x:c r="O97" t="n">
        <x:v>0.62919</x:v>
      </x:c>
      <x:c r="P97" t="n">
        <x:v>250.00059</x:v>
      </x:c>
      <x:c r="Q97" t="n">
        <x:v>0.93529</x:v>
      </x:c>
      <x:c r="R97" t="n">
        <x:v>250.00123</x:v>
      </x:c>
      <x:c r="S97" t="n">
        <x:v>0.00123</x:v>
      </x:c>
      <x:c r="T97" t="n">
        <x:v>0.08612</x:v>
      </x:c>
      <x:c r="U97" t="n">
        <x:v>0.62919</x:v>
      </x:c>
      <x:c r="V97" t="n">
        <x:v>0.93529</x:v>
      </x:c>
      <x:c r="W97" t="n">
        <x:v>1.13052</x:v>
      </x:c>
      <x:c r="X97" t="n">
        <x:v>32.7</x:v>
      </x:c>
      <x:c r="Y97" t="str">
        <x:v>Z</x:v>
      </x:c>
      <x:c r="Z97" t="n">
        <x:v>0.08913</x:v>
      </x:c>
      <x:c r="AA97" t="n">
        <x:v>21.54</x:v>
      </x:c>
      <x:c r="AB97" t="n">
        <x:v>0.079</x:v>
      </x:c>
      <x:c r="AC97" t="n">
        <x:v>23.21</x:v>
      </x:c>
      <x:c r="AD97" t="n">
        <x:v>0.61592</x:v>
      </x:c>
      <x:c r="AE97" t="n">
        <x:v>3.36</x:v>
      </x:c>
      <x:c r="AF97" t="n">
        <x:v>0.513</x:v>
      </x:c>
      <x:c r="AG97" t="n">
        <x:v>2.04</x:v>
      </x:c>
      <x:c r="AH97" t="n">
        <x:v>0.95815</x:v>
      </x:c>
      <x:c r="AI97" t="n">
        <x:v>17.62</x:v>
      </x:c>
      <x:c r="AJ97" t="n">
        <x:v>0.809</x:v>
      </x:c>
      <x:c r="AK97" t="n">
        <x:v>1.19</x:v>
      </x:c>
      <x:c r="AL97" t="n">
        <x:v>1.14271</x:v>
      </x:c>
      <x:c r="AM97" t="n">
        <x:v>1.08</x:v>
      </x:c>
      <x:c r="AN97" t="n">
        <x:v>0.078</x:v>
      </x:c>
      <x:c r="AO97" t="n">
        <x:v>0.539</x:v>
      </x:c>
      <x:c r="AP97" t="n">
        <x:v>0.8385</x:v>
      </x:c>
      <x:c r="AQ97" t="n">
        <x:v>1</x:v>
      </x:c>
      <x:c r="AR97" t="n">
        <x:v>0.6428221050983667</x:v>
      </x:c>
      <x:c r="AS97" t="n">
        <x:v>0.006083811607202672</x:v>
      </x:c>
      <x:c r="AT97" t="n">
        <x:v>0.2905203490740579</x:v>
      </x:c>
      <x:c r="AU97" t="n">
        <x:v>0.7030641477152124</x:v>
      </x:c>
      <x:c r="AV97" t="str">
        <x:v>YES</x:v>
      </x:c>
    </x:row>
    <x:row r="98">
      <x:c r="A98" t="n">
        <x:v>250</x:v>
      </x:c>
      <x:c r="B98" t="n">
        <x:v>13</x:v>
      </x:c>
      <x:c r="C98" t="n">
        <x:v>409.13849</x:v>
      </x:c>
      <x:c r="D98" t="n">
        <x:v>0.76651</x:v>
      </x:c>
      <x:c r="E98" t="n">
        <x:v>28.67</x:v>
      </x:c>
      <x:c r="F98" t="n">
        <x:v>250.01633</x:v>
      </x:c>
      <x:c r="G98" t="n">
        <x:v>0.55159</x:v>
      </x:c>
      <x:c r="H98" t="n">
        <x:v>25.12</x:v>
      </x:c>
      <x:c r="I98" t="n">
        <x:v>250.00328</x:v>
      </x:c>
      <x:c r="J98" t="n">
        <x:v>2.46391</x:v>
      </x:c>
      <x:c r="K98" t="n">
        <x:v>37.47</x:v>
      </x:c>
      <x:c r="L98" t="n">
        <x:v>249.98159</x:v>
      </x:c>
      <x:c r="M98" t="n">
        <x:v>0.29895</x:v>
      </x:c>
      <x:c r="N98" t="n">
        <x:v>250.01633</x:v>
      </x:c>
      <x:c r="O98" t="n">
        <x:v>0.55159</x:v>
      </x:c>
      <x:c r="P98" t="n">
        <x:v>250.00328</x:v>
      </x:c>
      <x:c r="Q98" t="n">
        <x:v>2.46391</x:v>
      </x:c>
      <x:c r="R98" t="n">
        <x:v>250.0036</x:v>
      </x:c>
      <x:c r="S98" t="n">
        <x:v>0.0036</x:v>
      </x:c>
      <x:c r="T98" t="n">
        <x:v>0.29895</x:v>
      </x:c>
      <x:c r="U98" t="n">
        <x:v>0.55159</x:v>
      </x:c>
      <x:c r="V98" t="n">
        <x:v>2.46391</x:v>
      </x:c>
      <x:c r="W98" t="n">
        <x:v>2.54254</x:v>
      </x:c>
      <x:c r="X98" t="n">
        <x:v>39.71</x:v>
      </x:c>
      <x:c r="Y98" t="str">
        <x:v>Z</x:v>
      </x:c>
      <x:c r="Z98" t="n">
        <x:v>0.30589</x:v>
      </x:c>
      <x:c r="AA98" t="n">
        <x:v>-10.37</x:v>
      </x:c>
      <x:c r="AB98" t="n">
        <x:v>0.238</x:v>
      </x:c>
      <x:c r="AC98" t="n">
        <x:v>6.58</x:v>
      </x:c>
      <x:c r="AD98" t="n">
        <x:v>0.59081</x:v>
      </x:c>
      <x:c r="AE98" t="n">
        <x:v>102.5</x:v>
      </x:c>
      <x:c r="AF98" t="n">
        <x:v>0.488</x:v>
      </x:c>
      <x:c r="AG98" t="n">
        <x:v>3.11</x:v>
      </x:c>
      <x:c r="AH98" t="n">
        <x:v>2.57721</x:v>
      </x:c>
      <x:c r="AI98" t="n">
        <x:v>-9.64</x:v>
      </x:c>
      <x:c r="AJ98" t="n">
        <x:v>0.916</x:v>
      </x:c>
      <x:c r="AK98" t="n">
        <x:v>1.06</x:v>
      </x:c>
      <x:c r="AL98" t="n">
        <x:v>2.66177</x:v>
      </x:c>
      <x:c r="AM98" t="n">
        <x:v>1.18</x:v>
      </x:c>
      <x:c r="AN98" t="n">
        <x:v>0.1149</x:v>
      </x:c>
      <x:c r="AO98" t="n">
        <x:v>0.222</x:v>
      </x:c>
      <x:c r="AP98" t="n">
        <x:v>0.9682</x:v>
      </x:c>
      <x:c r="AQ98" t="n">
        <x:v>1</x:v>
      </x:c>
      <x:c r="AR98" t="n">
        <x:v>0.2292440274560474</x:v>
      </x:c>
      <x:c r="AS98" t="n">
        <x:v>0.013206553865589835</x:v>
      </x:c>
      <x:c r="AT98" t="n">
        <x:v>0.04926683045531789</x:v>
      </x:c>
      <x:c r="AU98" t="n">
        <x:v>0.9374725578747033</x:v>
      </x:c>
      <x:c r="AV98" t="str">
        <x:v>YES</x:v>
      </x:c>
    </x:row>
    <x:row r="99">
      <x:c r="A99" t="n">
        <x:v>250</x:v>
      </x:c>
      <x:c r="B99" t="n">
        <x:v>15</x:v>
      </x:c>
      <x:c r="C99" t="n">
        <x:v>409.04653</x:v>
      </x:c>
      <x:c r="D99" t="n">
        <x:v>0.68503</x:v>
      </x:c>
      <x:c r="E99" t="n">
        <x:v>26.92</x:v>
      </x:c>
      <x:c r="F99" t="n">
        <x:v>250.00484</x:v>
      </x:c>
      <x:c r="G99" t="n">
        <x:v>1.01389</x:v>
      </x:c>
      <x:c r="H99" t="n">
        <x:v>29.33</x:v>
      </x:c>
      <x:c r="I99" t="n">
        <x:v>249.99864</x:v>
      </x:c>
      <x:c r="J99" t="n">
        <x:v>3.58491</x:v>
      </x:c>
      <x:c r="K99" t="n">
        <x:v>38.71</x:v>
      </x:c>
      <x:c r="L99" t="n">
        <x:v>250.0137</x:v>
      </x:c>
      <x:c r="M99" t="n">
        <x:v>0.42416</x:v>
      </x:c>
      <x:c r="N99" t="n">
        <x:v>250.00484</x:v>
      </x:c>
      <x:c r="O99" t="n">
        <x:v>1.01389</x:v>
      </x:c>
      <x:c r="P99" t="n">
        <x:v>249.99864</x:v>
      </x:c>
      <x:c r="Q99" t="n">
        <x:v>3.58491</x:v>
      </x:c>
      <x:c r="R99" t="n">
        <x:v>249.99929</x:v>
      </x:c>
      <x:c r="S99" t="n">
        <x:v>-0.00071</x:v>
      </x:c>
      <x:c r="T99" t="n">
        <x:v>0.42416</x:v>
      </x:c>
      <x:c r="U99" t="n">
        <x:v>1.01389</x:v>
      </x:c>
      <x:c r="V99" t="n">
        <x:v>3.58491</x:v>
      </x:c>
      <x:c r="W99" t="n">
        <x:v>3.74959</x:v>
      </x:c>
      <x:c r="X99" t="n">
        <x:v>42.43</x:v>
      </x:c>
      <x:c r="Y99" t="str">
        <x:v>Z</x:v>
      </x:c>
      <x:c r="Z99" t="n">
        <x:v>0.43746</x:v>
      </x:c>
      <x:c r="AA99" t="n">
        <x:v>-14.85</x:v>
      </x:c>
      <x:c r="AB99" t="n">
        <x:v>0.33</x:v>
      </x:c>
      <x:c r="AC99" t="n">
        <x:v>6.05</x:v>
      </x:c>
      <x:c r="AD99" t="n">
        <x:v>1.06548</x:v>
      </x:c>
      <x:c r="AE99" t="n">
        <x:v>114.14</x:v>
      </x:c>
      <x:c r="AF99" t="n">
        <x:v>0.667</x:v>
      </x:c>
      <x:c r="AG99" t="n">
        <x:v>0.57</x:v>
      </x:c>
      <x:c r="AH99" t="n">
        <x:v>3.65459</x:v>
      </x:c>
      <x:c r="AI99" t="n">
        <x:v>-15.37</x:v>
      </x:c>
      <x:c r="AJ99" t="n">
        <x:v>0.933</x:v>
      </x:c>
      <x:c r="AK99" t="n">
        <x:v>0.89</x:v>
      </x:c>
      <x:c r="AL99" t="n">
        <x:v>3.83189</x:v>
      </x:c>
      <x:c r="AM99" t="n">
        <x:v>0.79</x:v>
      </x:c>
      <x:c r="AN99" t="n">
        <x:v>0.1142</x:v>
      </x:c>
      <x:c r="AO99" t="n">
        <x:v>0.2781</x:v>
      </x:c>
      <x:c r="AP99" t="n">
        <x:v>0.9537</x:v>
      </x:c>
      <x:c r="AQ99" t="n">
        <x:v>1</x:v>
      </x:c>
      <x:c r="AR99" t="n">
        <x:v>0.29154570006485</x:v>
      </x:c>
      <x:c r="AS99" t="n">
        <x:v>0.013033187108856328</x:v>
      </x:c>
      <x:c r="AT99" t="n">
        <x:v>0.07731513828845633</x:v>
      </x:c>
      <x:c r="AU99" t="n">
        <x:v>0.9096016846173157</x:v>
      </x:c>
      <x:c r="AV99" t="str">
        <x:v>YES</x:v>
      </x:c>
    </x:row>
    <x:row r="100">
      <x:c r="A100" t="n">
        <x:v>250</x:v>
      </x:c>
      <x:c r="B100" t="n">
        <x:v>17</x:v>
      </x:c>
      <x:c r="C100" t="n">
        <x:v>409.17737</x:v>
      </x:c>
      <x:c r="D100" t="n">
        <x:v>0.67787</x:v>
      </x:c>
      <x:c r="E100" t="n">
        <x:v>26.04</x:v>
      </x:c>
      <x:c r="F100" t="n">
        <x:v>250.00235</x:v>
      </x:c>
      <x:c r="G100" t="n">
        <x:v>1.50529</x:v>
      </x:c>
      <x:c r="H100" t="n">
        <x:v>32.4</x:v>
      </x:c>
      <x:c r="I100" t="n">
        <x:v>250.00088</x:v>
      </x:c>
      <x:c r="J100" t="n">
        <x:v>4.64204</x:v>
      </x:c>
      <x:c r="K100" t="n">
        <x:v>39.56</x:v>
      </x:c>
      <x:c r="L100" t="n">
        <x:v>250.00978</x:v>
      </x:c>
      <x:c r="M100" t="n">
        <x:v>0.55875</x:v>
      </x:c>
      <x:c r="N100" t="n">
        <x:v>250.00235</x:v>
      </x:c>
      <x:c r="O100" t="n">
        <x:v>1.50529</x:v>
      </x:c>
      <x:c r="P100" t="n">
        <x:v>250.00088</x:v>
      </x:c>
      <x:c r="Q100" t="n">
        <x:v>4.64204</x:v>
      </x:c>
      <x:c r="R100" t="n">
        <x:v>250.00114</x:v>
      </x:c>
      <x:c r="S100" t="n">
        <x:v>0.00114</x:v>
      </x:c>
      <x:c r="T100" t="n">
        <x:v>0.55875</x:v>
      </x:c>
      <x:c r="U100" t="n">
        <x:v>1.50529</x:v>
      </x:c>
      <x:c r="V100" t="n">
        <x:v>4.64204</x:v>
      </x:c>
      <x:c r="W100" t="n">
        <x:v>4.91189</x:v>
      </x:c>
      <x:c r="X100" t="n">
        <x:v>44.38</x:v>
      </x:c>
      <x:c r="Y100" t="str">
        <x:v>Z</x:v>
      </x:c>
      <x:c r="Z100" t="n">
        <x:v>0.56918</x:v>
      </x:c>
      <x:c r="AA100" t="n">
        <x:v>-15.14</x:v>
      </x:c>
      <x:c r="AB100" t="n">
        <x:v>0.386</x:v>
      </x:c>
      <x:c r="AC100" t="n">
        <x:v>4.93</x:v>
      </x:c>
      <x:c r="AD100" t="n">
        <x:v>1.48706</x:v>
      </x:c>
      <x:c r="AE100" t="n">
        <x:v>118.27</x:v>
      </x:c>
      <x:c r="AF100" t="n">
        <x:v>0.786</x:v>
      </x:c>
      <x:c r="AG100" t="n">
        <x:v>0.88</x:v>
      </x:c>
      <x:c r="AH100" t="n">
        <x:v>4.627</x:v>
      </x:c>
      <x:c r="AI100" t="n">
        <x:v>-16.75</x:v>
      </x:c>
      <x:c r="AJ100" t="n">
        <x:v>0.937</x:v>
      </x:c>
      <x:c r="AK100" t="n">
        <x:v>1.08</x:v>
      </x:c>
      <x:c r="AL100" t="n">
        <x:v>4.89341</x:v>
      </x:c>
      <x:c r="AM100" t="n">
        <x:v>0.95</x:v>
      </x:c>
      <x:c r="AN100" t="n">
        <x:v>0.1163</x:v>
      </x:c>
      <x:c r="AO100" t="n">
        <x:v>0.3039</x:v>
      </x:c>
      <x:c r="AP100" t="n">
        <x:v>0.9456</x:v>
      </x:c>
      <x:c r="AQ100" t="n">
        <x:v>1</x:v>
      </x:c>
      <x:c r="AR100" t="n">
        <x:v>0.3213875081046034</x:v>
      </x:c>
      <x:c r="AS100" t="n">
        <x:v>0.013529322597217777</x:v>
      </x:c>
      <x:c r="AT100" t="n">
        <x:v>0.09234933518570594</x:v>
      </x:c>
      <x:c r="AU100" t="n">
        <x:v>0.8940787824984813</x:v>
      </x:c>
      <x:c r="AV100" t="str">
        <x:v>YES</x:v>
      </x:c>
    </x:row>
    <x:row r="101">
      <x:c r="A101" t="n">
        <x:v>250</x:v>
      </x:c>
      <x:c r="B101" t="n">
        <x:v>19</x:v>
      </x:c>
      <x:c r="C101" t="n">
        <x:v>409.13633</x:v>
      </x:c>
      <x:c r="D101" t="n">
        <x:v>0.69363</x:v>
      </x:c>
      <x:c r="E101" t="n">
        <x:v>26.32</x:v>
      </x:c>
      <x:c r="F101" t="n">
        <x:v>250.00332</x:v>
      </x:c>
      <x:c r="G101" t="n">
        <x:v>1.88797</x:v>
      </x:c>
      <x:c r="H101" t="n">
        <x:v>34.22</x:v>
      </x:c>
      <x:c r="I101" t="n">
        <x:v>250.00286</x:v>
      </x:c>
      <x:c r="J101" t="n">
        <x:v>5.48493</x:v>
      </x:c>
      <x:c r="K101" t="n">
        <x:v>40.03</x:v>
      </x:c>
      <x:c r="L101" t="n">
        <x:v>250.0059</x:v>
      </x:c>
      <x:c r="M101" t="n">
        <x:v>0.67316</x:v>
      </x:c>
      <x:c r="N101" t="n">
        <x:v>250.00332</x:v>
      </x:c>
      <x:c r="O101" t="n">
        <x:v>1.88797</x:v>
      </x:c>
      <x:c r="P101" t="n">
        <x:v>250.00286</x:v>
      </x:c>
      <x:c r="Q101" t="n">
        <x:v>5.48493</x:v>
      </x:c>
      <x:c r="R101" t="n">
        <x:v>250.00295</x:v>
      </x:c>
      <x:c r="S101" t="n">
        <x:v>0.00295</x:v>
      </x:c>
      <x:c r="T101" t="n">
        <x:v>0.67316</x:v>
      </x:c>
      <x:c r="U101" t="n">
        <x:v>1.88797</x:v>
      </x:c>
      <x:c r="V101" t="n">
        <x:v>5.48493</x:v>
      </x:c>
      <x:c r="W101" t="n">
        <x:v>5.8397</x:v>
      </x:c>
      <x:c r="X101" t="n">
        <x:v>43.9</x:v>
      </x:c>
      <x:c r="Y101" t="str">
        <x:v>Z</x:v>
      </x:c>
      <x:c r="Z101" t="n">
        <x:v>0.66409</x:v>
      </x:c>
      <x:c r="AA101" t="n">
        <x:v>-18.34</x:v>
      </x:c>
      <x:c r="AB101" t="n">
        <x:v>0.478</x:v>
      </x:c>
      <x:c r="AC101" t="n">
        <x:v>3.75</x:v>
      </x:c>
      <x:c r="AD101" t="n">
        <x:v>1.8247</x:v>
      </x:c>
      <x:c r="AE101" t="n">
        <x:v>117.79</x:v>
      </x:c>
      <x:c r="AF101" t="n">
        <x:v>0.84</x:v>
      </x:c>
      <x:c r="AG101" t="n">
        <x:v>0.75</x:v>
      </x:c>
      <x:c r="AH101" t="n">
        <x:v>5.39883</x:v>
      </x:c>
      <x:c r="AI101" t="n">
        <x:v>-18.68</x:v>
      </x:c>
      <x:c r="AJ101" t="n">
        <x:v>0.938</x:v>
      </x:c>
      <x:c r="AK101" t="n">
        <x:v>0.67</x:v>
      </x:c>
      <x:c r="AL101" t="n">
        <x:v>5.73748</x:v>
      </x:c>
      <x:c r="AM101" t="n">
        <x:v>0.62</x:v>
      </x:c>
      <x:c r="AN101" t="n">
        <x:v>0.1157</x:v>
      </x:c>
      <x:c r="AO101" t="n">
        <x:v>0.318</x:v>
      </x:c>
      <x:c r="AP101" t="n">
        <x:v>0.941</x:v>
      </x:c>
      <x:c r="AQ101" t="n">
        <x:v>1</x:v>
      </x:c>
      <x:c r="AR101" t="n">
        <x:v>0.33798063654532556</x:v>
      </x:c>
      <x:c r="AS101" t="n">
        <x:v>0.013397121987737286</x:v>
      </x:c>
      <x:c r="AT101" t="n">
        <x:v>0.10114410476598343</x:v>
      </x:c>
      <x:c r="AU101" t="n">
        <x:v>0.885435510968582</x:v>
      </x:c>
      <x:c r="AV101" t="str">
        <x:v>YES</x:v>
      </x:c>
    </x:row>
    <x:row r="102">
      <x:c r="A102" t="n">
        <x:v>250</x:v>
      </x:c>
      <x:c r="B102" t="n">
        <x:v>21</x:v>
      </x:c>
      <x:c r="C102" t="n">
        <x:v>249.98708</x:v>
      </x:c>
      <x:c r="D102" t="n">
        <x:v>0.74989</x:v>
      </x:c>
      <x:c r="E102" t="n">
        <x:v>29.76</x:v>
      </x:c>
      <x:c r="F102" t="n">
        <x:v>249.99651</x:v>
      </x:c>
      <x:c r="G102" t="n">
        <x:v>2.15304</x:v>
      </x:c>
      <x:c r="H102" t="n">
        <x:v>35.75</x:v>
      </x:c>
      <x:c r="I102" t="n">
        <x:v>249.99559</x:v>
      </x:c>
      <x:c r="J102" t="n">
        <x:v>6.14274</x:v>
      </x:c>
      <x:c r="K102" t="n">
        <x:v>40.44</x:v>
      </x:c>
      <x:c r="L102" t="n">
        <x:v>249.98708</x:v>
      </x:c>
      <x:c r="M102" t="n">
        <x:v>0.74989</x:v>
      </x:c>
      <x:c r="N102" t="n">
        <x:v>249.99651</x:v>
      </x:c>
      <x:c r="O102" t="n">
        <x:v>2.15304</x:v>
      </x:c>
      <x:c r="P102" t="n">
        <x:v>249.99559</x:v>
      </x:c>
      <x:c r="Q102" t="n">
        <x:v>6.14274</x:v>
      </x:c>
      <x:c r="R102" t="n">
        <x:v>249.99558</x:v>
      </x:c>
      <x:c r="S102" t="n">
        <x:v>-0.00442</x:v>
      </x:c>
      <x:c r="T102" t="n">
        <x:v>0.74989</x:v>
      </x:c>
      <x:c r="U102" t="n">
        <x:v>2.15304</x:v>
      </x:c>
      <x:c r="V102" t="n">
        <x:v>6.14274</x:v>
      </x:c>
      <x:c r="W102" t="n">
        <x:v>6.55219</x:v>
      </x:c>
      <x:c r="X102" t="n">
        <x:v>45.17</x:v>
      </x:c>
      <x:c r="Y102" t="str">
        <x:v>Z</x:v>
      </x:c>
      <x:c r="Z102" t="n">
        <x:v>0.74832</x:v>
      </x:c>
      <x:c r="AA102" t="n">
        <x:v>-19.93</x:v>
      </x:c>
      <x:c r="AB102" t="n">
        <x:v>0.658</x:v>
      </x:c>
      <x:c r="AC102" t="n">
        <x:v>2</x:v>
      </x:c>
      <x:c r="AD102" t="n">
        <x:v>2.15413</x:v>
      </x:c>
      <x:c r="AE102" t="n">
        <x:v>116.17</x:v>
      </x:c>
      <x:c r="AF102" t="n">
        <x:v>0.883</x:v>
      </x:c>
      <x:c r="AG102" t="n">
        <x:v>0.8</x:v>
      </x:c>
      <x:c r="AH102" t="n">
        <x:v>6.14431</x:v>
      </x:c>
      <x:c r="AI102" t="n">
        <x:v>-21.17</x:v>
      </x:c>
      <x:c r="AJ102" t="n">
        <x:v>0.943</x:v>
      </x:c>
      <x:c r="AK102" t="n">
        <x:v>0.6</x:v>
      </x:c>
      <x:c r="AL102" t="n">
        <x:v>6.55388</x:v>
      </x:c>
      <x:c r="AM102" t="n">
        <x:v>0.54</x:v>
      </x:c>
      <x:c r="AN102" t="n">
        <x:v>0.1142</x:v>
      </x:c>
      <x:c r="AO102" t="n">
        <x:v>0.3287</x:v>
      </x:c>
      <x:c r="AP102" t="n">
        <x:v>0.9375</x:v>
      </x:c>
      <x:c r="AQ102" t="n">
        <x:v>1</x:v>
      </x:c>
      <x:c r="AR102" t="n">
        <x:v>0.3505894071099928</x:v>
      </x:c>
      <x:c r="AS102" t="n">
        <x:v>0.013037002072010716</x:v>
      </x:c>
      <x:c r="AT102" t="n">
        <x:v>0.10803061477713465</x:v>
      </x:c>
      <x:c r="AU102" t="n">
        <x:v>0.87891983933094</x:v>
      </x:c>
      <x:c r="AV102" t="str">
        <x:v>YES</x:v>
      </x:c>
    </x:row>
    <x:row r="103">
      <x:c r="A103" t="n">
        <x:v>250</x:v>
      </x:c>
      <x:c r="B103" t="n">
        <x:v>23</x:v>
      </x:c>
      <x:c r="C103" t="n">
        <x:v>250.00653</x:v>
      </x:c>
      <x:c r="D103" t="n">
        <x:v>0.82079</x:v>
      </x:c>
      <x:c r="E103" t="n">
        <x:v>27.68</x:v>
      </x:c>
      <x:c r="F103" t="n">
        <x:v>250.00186</x:v>
      </x:c>
      <x:c r="G103" t="n">
        <x:v>2.43898</x:v>
      </x:c>
      <x:c r="H103" t="n">
        <x:v>36.42</x:v>
      </x:c>
      <x:c r="I103" t="n">
        <x:v>249.9997</x:v>
      </x:c>
      <x:c r="J103" t="n">
        <x:v>6.81716</x:v>
      </x:c>
      <x:c r="K103" t="n">
        <x:v>40.52</x:v>
      </x:c>
      <x:c r="L103" t="n">
        <x:v>250.00653</x:v>
      </x:c>
      <x:c r="M103" t="n">
        <x:v>0.82079</x:v>
      </x:c>
      <x:c r="N103" t="n">
        <x:v>250.00186</x:v>
      </x:c>
      <x:c r="O103" t="n">
        <x:v>2.43898</x:v>
      </x:c>
      <x:c r="P103" t="n">
        <x:v>249.9997</x:v>
      </x:c>
      <x:c r="Q103" t="n">
        <x:v>6.81716</x:v>
      </x:c>
      <x:c r="R103" t="n">
        <x:v>250.00003</x:v>
      </x:c>
      <x:c r="S103" t="n">
        <x:v>0.00003</x:v>
      </x:c>
      <x:c r="T103" t="n">
        <x:v>0.82079</x:v>
      </x:c>
      <x:c r="U103" t="n">
        <x:v>2.43898</x:v>
      </x:c>
      <x:c r="V103" t="n">
        <x:v>6.81716</x:v>
      </x:c>
      <x:c r="W103" t="n">
        <x:v>7.2867</x:v>
      </x:c>
      <x:c r="X103" t="n">
        <x:v>46.4</x:v>
      </x:c>
      <x:c r="Y103" t="str">
        <x:v>Z</x:v>
      </x:c>
      <x:c r="Z103" t="n">
        <x:v>0.83043</x:v>
      </x:c>
      <x:c r="AA103" t="n">
        <x:v>-20.56</x:v>
      </x:c>
      <x:c r="AB103" t="n">
        <x:v>0.55</x:v>
      </x:c>
      <x:c r="AC103" t="n">
        <x:v>2.19</x:v>
      </x:c>
      <x:c r="AD103" t="n">
        <x:v>2.43483</x:v>
      </x:c>
      <x:c r="AE103" t="n">
        <x:v>115.48</x:v>
      </x:c>
      <x:c r="AF103" t="n">
        <x:v>0.898</x:v>
      </x:c>
      <x:c r="AG103" t="n">
        <x:v>0.68</x:v>
      </x:c>
      <x:c r="AH103" t="n">
        <x:v>6.81001</x:v>
      </x:c>
      <x:c r="AI103" t="n">
        <x:v>-22.15</x:v>
      </x:c>
      <x:c r="AJ103" t="n">
        <x:v>0.944</x:v>
      </x:c>
      <x:c r="AK103" t="n">
        <x:v>0.62</x:v>
      </x:c>
      <x:c r="AL103" t="n">
        <x:v>7.27976</x:v>
      </x:c>
      <x:c r="AM103" t="n">
        <x:v>0.55</x:v>
      </x:c>
      <x:c r="AN103" t="n">
        <x:v>0.1141</x:v>
      </x:c>
      <x:c r="AO103" t="n">
        <x:v>0.3345</x:v>
      </x:c>
      <x:c r="AP103" t="n">
        <x:v>0.9355</x:v>
      </x:c>
      <x:c r="AQ103" t="n">
        <x:v>1</x:v>
      </x:c>
      <x:c r="AR103" t="n">
        <x:v>0.3575369199164171</x:v>
      </x:c>
      <x:c r="AS103" t="n">
        <x:v>0.013012835410173102</x:v>
      </x:c>
      <x:c r="AT103" t="n">
        <x:v>0.11186730224983066</x:v>
      </x:c>
      <x:c r="AU103" t="n">
        <x:v>0.8751074395666782</x:v>
      </x:c>
      <x:c r="AV103" t="str">
        <x:v>YES</x:v>
      </x:c>
    </x:row>
    <x:row r="104">
      <x:c r="A104" t="n">
        <x:v>250</x:v>
      </x:c>
      <x:c r="B104" t="n">
        <x:v>25</x:v>
      </x:c>
      <x:c r="C104" t="n">
        <x:v>249.99872</x:v>
      </x:c>
      <x:c r="D104" t="n">
        <x:v>0.90657</x:v>
      </x:c>
      <x:c r="E104" t="n">
        <x:v>29.49</x:v>
      </x:c>
      <x:c r="F104" t="n">
        <x:v>249.99853</x:v>
      </x:c>
      <x:c r="G104" t="n">
        <x:v>2.71332</x:v>
      </x:c>
      <x:c r="H104" t="n">
        <x:v>36.19</x:v>
      </x:c>
      <x:c r="I104" t="n">
        <x:v>249.99884</x:v>
      </x:c>
      <x:c r="J104" t="n">
        <x:v>7.40058</x:v>
      </x:c>
      <x:c r="K104" t="n">
        <x:v>40.86</x:v>
      </x:c>
      <x:c r="L104" t="n">
        <x:v>249.99872</x:v>
      </x:c>
      <x:c r="M104" t="n">
        <x:v>0.90657</x:v>
      </x:c>
      <x:c r="N104" t="n">
        <x:v>249.99853</x:v>
      </x:c>
      <x:c r="O104" t="n">
        <x:v>2.71332</x:v>
      </x:c>
      <x:c r="P104" t="n">
        <x:v>249.99884</x:v>
      </x:c>
      <x:c r="Q104" t="n">
        <x:v>7.40058</x:v>
      </x:c>
      <x:c r="R104" t="n">
        <x:v>249.9988</x:v>
      </x:c>
      <x:c r="S104" t="n">
        <x:v>-0.0012</x:v>
      </x:c>
      <x:c r="T104" t="n">
        <x:v>0.90657</x:v>
      </x:c>
      <x:c r="U104" t="n">
        <x:v>2.71332</x:v>
      </x:c>
      <x:c r="V104" t="n">
        <x:v>7.40058</x:v>
      </x:c>
      <x:c r="W104" t="n">
        <x:v>7.93427</x:v>
      </x:c>
      <x:c r="X104" t="n">
        <x:v>46.18</x:v>
      </x:c>
      <x:c r="Y104" t="str">
        <x:v>Z</x:v>
      </x:c>
      <x:c r="Z104" t="n">
        <x:v>0.88713</x:v>
      </x:c>
      <x:c r="AA104" t="n">
        <x:v>-22.1</x:v>
      </x:c>
      <x:c r="AB104" t="n">
        <x:v>0.638</x:v>
      </x:c>
      <x:c r="AC104" t="n">
        <x:v>2.15</x:v>
      </x:c>
      <x:c r="AD104" t="n">
        <x:v>2.69022</x:v>
      </x:c>
      <x:c r="AE104" t="n">
        <x:v>114.26</x:v>
      </x:c>
      <x:c r="AF104" t="n">
        <x:v>0.893</x:v>
      </x:c>
      <x:c r="AG104" t="n">
        <x:v>0.35</x:v>
      </x:c>
      <x:c r="AH104" t="n">
        <x:v>7.37713</x:v>
      </x:c>
      <x:c r="AI104" t="n">
        <x:v>-23.03</x:v>
      </x:c>
      <x:c r="AJ104" t="n">
        <x:v>0.946</x:v>
      </x:c>
      <x:c r="AK104" t="n">
        <x:v>0.4</x:v>
      </x:c>
      <x:c r="AL104" t="n">
        <x:v>7.90233</x:v>
      </x:c>
      <x:c r="AM104" t="n">
        <x:v>0.32</x:v>
      </x:c>
      <x:c r="AN104" t="n">
        <x:v>0.1123</x:v>
      </x:c>
      <x:c r="AO104" t="n">
        <x:v>0.3404</x:v>
      </x:c>
      <x:c r="AP104" t="n">
        <x:v>0.9335</x:v>
      </x:c>
      <x:c r="AQ104" t="n">
        <x:v>1</x:v>
      </x:c>
      <x:c r="AR104" t="n">
        <x:v>0.36467027150124776</x:v>
      </x:c>
      <x:c r="AS104" t="n">
        <x:v>0.012602717706000275</x:v>
      </x:c>
      <x:c r="AT104" t="n">
        <x:v>0.11589515230059308</x:v>
      </x:c>
      <x:c r="AU104" t="n">
        <x:v>0.8714942976217267</x:v>
      </x:c>
      <x:c r="AV104" t="str">
        <x:v>YES</x:v>
      </x:c>
    </x:row>
    <x:row r="105">
      <x:c r="A105" t="n">
        <x:v>250</x:v>
      </x:c>
      <x:c r="B105" t="n">
        <x:v>27</x:v>
      </x:c>
      <x:c r="C105" t="n">
        <x:v>249.99646</x:v>
      </x:c>
      <x:c r="D105" t="n">
        <x:v>0.98652</x:v>
      </x:c>
      <x:c r="E105" t="n">
        <x:v>28.48</x:v>
      </x:c>
      <x:c r="F105" t="n">
        <x:v>249.99892</x:v>
      </x:c>
      <x:c r="G105" t="n">
        <x:v>3.00234</x:v>
      </x:c>
      <x:c r="H105" t="n">
        <x:v>36.14</x:v>
      </x:c>
      <x:c r="I105" t="n">
        <x:v>249.99876</x:v>
      </x:c>
      <x:c r="J105" t="n">
        <x:v>8.092</x:v>
      </x:c>
      <x:c r="K105" t="n">
        <x:v>40.88</x:v>
      </x:c>
      <x:c r="L105" t="n">
        <x:v>249.99646</x:v>
      </x:c>
      <x:c r="M105" t="n">
        <x:v>0.98652</x:v>
      </x:c>
      <x:c r="N105" t="n">
        <x:v>249.99892</x:v>
      </x:c>
      <x:c r="O105" t="n">
        <x:v>3.00234</x:v>
      </x:c>
      <x:c r="P105" t="n">
        <x:v>249.99876</x:v>
      </x:c>
      <x:c r="Q105" t="n">
        <x:v>8.092</x:v>
      </x:c>
      <x:c r="R105" t="n">
        <x:v>249.99875</x:v>
      </x:c>
      <x:c r="S105" t="n">
        <x:v>-0.00125</x:v>
      </x:c>
      <x:c r="T105" t="n">
        <x:v>0.98652</x:v>
      </x:c>
      <x:c r="U105" t="n">
        <x:v>3.00234</x:v>
      </x:c>
      <x:c r="V105" t="n">
        <x:v>8.092</x:v>
      </x:c>
      <x:c r="W105" t="n">
        <x:v>8.68722</x:v>
      </x:c>
      <x:c r="X105" t="n">
        <x:v>45.29</x:v>
      </x:c>
      <x:c r="Y105" t="str">
        <x:v>Z</x:v>
      </x:c>
      <x:c r="Z105" t="n">
        <x:v>0.98155</x:v>
      </x:c>
      <x:c r="AA105" t="n">
        <x:v>-22.83</x:v>
      </x:c>
      <x:c r="AB105" t="n">
        <x:v>0.66</x:v>
      </x:c>
      <x:c r="AC105" t="n">
        <x:v>4.09</x:v>
      </x:c>
      <x:c r="AD105" t="n">
        <x:v>2.98</x:v>
      </x:c>
      <x:c r="AE105" t="n">
        <x:v>113.96</x:v>
      </x:c>
      <x:c r="AF105" t="n">
        <x:v>0.905</x:v>
      </x:c>
      <x:c r="AG105" t="n">
        <x:v>0.36</x:v>
      </x:c>
      <x:c r="AH105" t="n">
        <x:v>8.06993</x:v>
      </x:c>
      <x:c r="AI105" t="n">
        <x:v>-23.3</x:v>
      </x:c>
      <x:c r="AJ105" t="n">
        <x:v>0.945</x:v>
      </x:c>
      <x:c r="AK105" t="n">
        <x:v>0.35</x:v>
      </x:c>
      <x:c r="AL105" t="n">
        <x:v>8.65847</x:v>
      </x:c>
      <x:c r="AM105" t="n">
        <x:v>0.31</x:v>
      </x:c>
      <x:c r="AN105" t="n">
        <x:v>0.1134</x:v>
      </x:c>
      <x:c r="AO105" t="n">
        <x:v>0.3442</x:v>
      </x:c>
      <x:c r="AP105" t="n">
        <x:v>0.932</x:v>
      </x:c>
      <x:c r="AQ105" t="n">
        <x:v>1</x:v>
      </x:c>
      <x:c r="AR105" t="n">
        <x:v>0.36927210025365775</x:v>
      </x:c>
      <x:c r="AS105" t="n">
        <x:v>0.012851166244175783</x:v>
      </x:c>
      <x:c r="AT105" t="n">
        <x:v>0.11845413210681562</x:v>
      </x:c>
      <x:c r="AU105" t="n">
        <x:v>0.8686747983362377</x:v>
      </x:c>
      <x:c r="AV105" t="str">
        <x:v>YES</x:v>
      </x:c>
    </x:row>
    <x:row r="106">
      <x:c r="A106" t="n">
        <x:v>250</x:v>
      </x:c>
      <x:c r="B106" t="n">
        <x:v>29</x:v>
      </x:c>
      <x:c r="C106" t="n">
        <x:v>250.02455</x:v>
      </x:c>
      <x:c r="D106" t="n">
        <x:v>1.04505</x:v>
      </x:c>
      <x:c r="E106" t="n">
        <x:v>24.94</x:v>
      </x:c>
      <x:c r="F106" t="n">
        <x:v>249.99998</x:v>
      </x:c>
      <x:c r="G106" t="n">
        <x:v>3.27048</x:v>
      </x:c>
      <x:c r="H106" t="n">
        <x:v>35.01</x:v>
      </x:c>
      <x:c r="I106" t="n">
        <x:v>249.99988</x:v>
      </x:c>
      <x:c r="J106" t="n">
        <x:v>8.65495</x:v>
      </x:c>
      <x:c r="K106" t="n">
        <x:v>40.32</x:v>
      </x:c>
      <x:c r="L106" t="n">
        <x:v>250.02455</x:v>
      </x:c>
      <x:c r="M106" t="n">
        <x:v>1.04505</x:v>
      </x:c>
      <x:c r="N106" t="n">
        <x:v>249.99998</x:v>
      </x:c>
      <x:c r="O106" t="n">
        <x:v>3.27048</x:v>
      </x:c>
      <x:c r="P106" t="n">
        <x:v>249.99988</x:v>
      </x:c>
      <x:c r="Q106" t="n">
        <x:v>8.65495</x:v>
      </x:c>
      <x:c r="R106" t="n">
        <x:v>250.0002</x:v>
      </x:c>
      <x:c r="S106" t="n">
        <x:v>0.0002</x:v>
      </x:c>
      <x:c r="T106" t="n">
        <x:v>1.04505</x:v>
      </x:c>
      <x:c r="U106" t="n">
        <x:v>3.27048</x:v>
      </x:c>
      <x:c r="V106" t="n">
        <x:v>8.65495</x:v>
      </x:c>
      <x:c r="W106" t="n">
        <x:v>9.31109</x:v>
      </x:c>
      <x:c r="X106" t="n">
        <x:v>41.85</x:v>
      </x:c>
      <x:c r="Y106" t="str">
        <x:v>Z</x:v>
      </x:c>
      <x:c r="Z106" t="n">
        <x:v>1.01189</x:v>
      </x:c>
      <x:c r="AA106" t="n">
        <x:v>-21.83</x:v>
      </x:c>
      <x:c r="AB106" t="n">
        <x:v>0.567</x:v>
      </x:c>
      <x:c r="AC106" t="n">
        <x:v>4.77</x:v>
      </x:c>
      <x:c r="AD106" t="n">
        <x:v>3.18142</x:v>
      </x:c>
      <x:c r="AE106" t="n">
        <x:v>112.64</x:v>
      </x:c>
      <x:c r="AF106" t="n">
        <x:v>0.893</x:v>
      </x:c>
      <x:c r="AG106" t="n">
        <x:v>1.13</x:v>
      </x:c>
      <x:c r="AH106" t="n">
        <x:v>8.50032</x:v>
      </x:c>
      <x:c r="AI106" t="n">
        <x:v>-23.52</x:v>
      </x:c>
      <x:c r="AJ106" t="n">
        <x:v>0.944</x:v>
      </x:c>
      <x:c r="AK106" t="n">
        <x:v>0.91</x:v>
      </x:c>
      <x:c r="AL106" t="n">
        <x:v>9.13253</x:v>
      </x:c>
      <x:c r="AM106" t="n">
        <x:v>0.9</x:v>
      </x:c>
      <x:c r="AN106" t="n">
        <x:v>0.1108</x:v>
      </x:c>
      <x:c r="AO106" t="n">
        <x:v>0.3484</x:v>
      </x:c>
      <x:c r="AP106" t="n">
        <x:v>0.9308</x:v>
      </x:c>
      <x:c r="AQ106" t="n">
        <x:v>1</x:v>
      </x:c>
      <x:c r="AR106" t="n">
        <x:v>0.37427061569446796</x:v>
      </x:c>
      <x:c r="AS106" t="n">
        <x:v>0.01227677772800393</x:v>
      </x:c>
      <x:c r="AT106" t="n">
        <x:v>0.12135559357622547</x:v>
      </x:c>
      <x:c r="AU106" t="n">
        <x:v>0.8663399377600182</x:v>
      </x:c>
      <x:c r="AV106" t="str">
        <x:v>YES</x:v>
      </x:c>
    </x:row>
    <x:row r="107">
      <x:c r="A107" t="n">
        <x:v>268</x:v>
      </x:c>
      <x:c r="B107" t="n">
        <x:v>1</x:v>
      </x:c>
      <x:c r="C107" t="n">
        <x:v>479.11826</x:v>
      </x:c>
      <x:c r="D107" t="n">
        <x:v>0.24046</x:v>
      </x:c>
      <x:c r="E107" t="n">
        <x:v>22.09</x:v>
      </x:c>
      <x:c r="F107" t="n">
        <x:v>450.48914</x:v>
      </x:c>
      <x:c r="G107" t="n">
        <x:v>0.29202</x:v>
      </x:c>
      <x:c r="H107" t="n">
        <x:v>22.42</x:v>
      </x:c>
      <x:c r="I107" t="n">
        <x:v>535.99161</x:v>
      </x:c>
      <x:c r="J107" t="n">
        <x:v>0.15666</x:v>
      </x:c>
      <x:c r="K107" t="n">
        <x:v>20.24</x:v>
      </x:c>
      <x:c r="L107" t="n">
        <x:v>262.72863</x:v>
      </x:c>
      <x:c r="M107" t="n">
        <x:v>0.02374</x:v>
      </x:c>
      <x:c r="N107" t="n">
        <x:v>266.14527</x:v>
      </x:c>
      <x:c r="O107" t="n">
        <x:v>0.02047</x:v>
      </x:c>
      <x:c r="P107" t="n">
        <x:v>267.75387</x:v>
      </x:c>
      <x:c r="Q107" t="n">
        <x:v>0.02518</x:v>
      </x:c>
      <x:c r="R107" t="n">
        <x:v>267.37736</x:v>
      </x:c>
      <x:c r="S107" t="n">
        <x:v>-0.62264</x:v>
      </x:c>
      <x:c r="T107" t="n">
        <x:v>0.01219</x:v>
      </x:c>
      <x:c r="U107" t="n">
        <x:v>0.01835</x:v>
      </x:c>
      <x:c r="V107" t="n">
        <x:v>0.02518</x:v>
      </x:c>
      <x:c r="W107" t="n">
        <x:v>0.03345</x:v>
      </x:c>
      <x:c r="X107" t="n">
        <x:v>2.75</x:v>
      </x:c>
      <x:c r="Y107" t="str">
        <x:v>Z</x:v>
      </x:c>
      <x:c r="Z107" t="n">
        <x:v>0.02339</x:v>
      </x:c>
      <x:c r="AA107" t="n">
        <x:v>170.06</x:v>
      </x:c>
      <x:c r="AB107" t="n">
        <x:v>0.041</x:v>
      </x:c>
      <x:c r="AC107" t="n">
        <x:v>48.79</x:v>
      </x:c>
      <x:c r="AD107" t="n">
        <x:v>0.02974</x:v>
      </x:c>
      <x:c r="AE107" t="n">
        <x:v>-36.01</x:v>
      </x:c>
      <x:c r="AF107" t="n">
        <x:v>0.043</x:v>
      </x:c>
      <x:c r="AG107" t="n">
        <x:v>20.95</x:v>
      </x:c>
      <x:c r="AH107" t="n">
        <x:v>0.0237</x:v>
      </x:c>
      <x:c r="AI107" t="n">
        <x:v>-164.61</x:v>
      </x:c>
      <x:c r="AJ107" t="n">
        <x:v>0.06</x:v>
      </x:c>
      <x:c r="AK107" t="n">
        <x:v>30.84</x:v>
      </x:c>
      <x:c r="AL107" t="n">
        <x:v>0.04591</x:v>
      </x:c>
      <x:c r="AM107" t="n">
        <x:v>19.35</x:v>
      </x:c>
      <x:c r="AN107" t="n">
        <x:v>0.5095</x:v>
      </x:c>
      <x:c r="AO107" t="n">
        <x:v>0.6477</x:v>
      </x:c>
      <x:c r="AP107" t="n">
        <x:v>0.5162</x:v>
      </x:c>
      <x:c r="AQ107" t="n">
        <x:v>0</x:v>
      </x:c>
      <x:c r="AR107" t="n">
        <x:v>1.2548523206751054</x:v>
      </x:c>
      <x:c r="AS107" t="n">
        <x:v>0.2595648366599088</x:v>
      </x:c>
      <x:c r="AT107" t="n">
        <x:v>0.41963078634288736</x:v>
      </x:c>
      <x:c r="AU107" t="n">
        <x:v>0.26649072999501217</x:v>
      </x:c>
      <x:c r="AV107" t="str">
        <x:v>NO</x:v>
      </x:c>
    </x:row>
    <x:row r="108">
      <x:c r="A108" t="n">
        <x:v>268</x:v>
      </x:c>
      <x:c r="B108" t="n">
        <x:v>3</x:v>
      </x:c>
      <x:c r="C108" t="n">
        <x:v>210.97357</x:v>
      </x:c>
      <x:c r="D108" t="n">
        <x:v>0.34964</x:v>
      </x:c>
      <x:c r="E108" t="n">
        <x:v>22.22</x:v>
      </x:c>
      <x:c r="F108" t="n">
        <x:v>210.9548</x:v>
      </x:c>
      <x:c r="G108" t="n">
        <x:v>0.24967</x:v>
      </x:c>
      <x:c r="H108" t="n">
        <x:v>17.86</x:v>
      </x:c>
      <x:c r="I108" t="n">
        <x:v>268.04703</x:v>
      </x:c>
      <x:c r="J108" t="n">
        <x:v>0.12611</x:v>
      </x:c>
      <x:c r="K108" t="n">
        <x:v>17.49</x:v>
      </x:c>
      <x:c r="L108" t="n">
        <x:v>267.04859</x:v>
      </x:c>
      <x:c r="M108" t="n">
        <x:v>0.02184</x:v>
      </x:c>
      <x:c r="N108" t="n">
        <x:v>267.70604</x:v>
      </x:c>
      <x:c r="O108" t="n">
        <x:v>0.18825</x:v>
      </x:c>
      <x:c r="P108" t="n">
        <x:v>268.04703</x:v>
      </x:c>
      <x:c r="Q108" t="n">
        <x:v>0.12611</x:v>
      </x:c>
      <x:c r="R108" t="n">
        <x:v>267.80501</x:v>
      </x:c>
      <x:c r="S108" t="n">
        <x:v>-0.19499</x:v>
      </x:c>
      <x:c r="T108" t="n">
        <x:v>0.02184</x:v>
      </x:c>
      <x:c r="U108" t="n">
        <x:v>0.18825</x:v>
      </x:c>
      <x:c r="V108" t="n">
        <x:v>0.12088</x:v>
      </x:c>
      <x:c r="W108" t="n">
        <x:v>0.22479</x:v>
      </x:c>
      <x:c r="X108" t="n">
        <x:v>19.17</x:v>
      </x:c>
      <x:c r="Y108" t="str">
        <x:v>Y</x:v>
      </x:c>
      <x:c r="Z108" t="n">
        <x:v>0.01632</x:v>
      </x:c>
      <x:c r="AA108" t="n">
        <x:v>-149.94</x:v>
      </x:c>
      <x:c r="AB108" t="n">
        <x:v>0.018</x:v>
      </x:c>
      <x:c r="AC108" t="n">
        <x:v>76.13</x:v>
      </x:c>
      <x:c r="AD108" t="n">
        <x:v>0.17202</x:v>
      </x:c>
      <x:c r="AE108" t="n">
        <x:v>-4.03</x:v>
      </x:c>
      <x:c r="AF108" t="n">
        <x:v>0.184</x:v>
      </x:c>
      <x:c r="AG108" t="n">
        <x:v>32.15</x:v>
      </x:c>
      <x:c r="AH108" t="n">
        <x:v>0.15749</x:v>
      </x:c>
      <x:c r="AI108" t="n">
        <x:v>14.19</x:v>
      </x:c>
      <x:c r="AJ108" t="n">
        <x:v>0.305</x:v>
      </x:c>
      <x:c r="AK108" t="n">
        <x:v>11.34</x:v>
      </x:c>
      <x:c r="AL108" t="n">
        <x:v>0.23715</x:v>
      </x:c>
      <x:c r="AM108" t="n">
        <x:v>16.64</x:v>
      </x:c>
      <x:c r="AN108" t="n">
        <x:v>0.0688</x:v>
      </x:c>
      <x:c r="AO108" t="n">
        <x:v>0.7254</x:v>
      </x:c>
      <x:c r="AP108" t="n">
        <x:v>0.6641</x:v>
      </x:c>
      <x:c r="AQ108" t="n">
        <x:v>1</x:v>
      </x:c>
      <x:c r="AR108" t="n">
        <x:v>1.0922598260207</x:v>
      </x:c>
      <x:c r="AS108" t="n">
        <x:v>0.004735807607815933</x:v>
      </x:c>
      <x:c r="AT108" t="n">
        <x:v>0.526152488376959</x:v>
      </x:c>
      <x:c r="AU108" t="n">
        <x:v>0.4410214451435449</x:v>
      </x:c>
      <x:c r="AV108" t="str">
        <x:v>NO</x:v>
      </x:c>
    </x:row>
    <x:row r="109">
      <x:c r="A109" t="n">
        <x:v>268</x:v>
      </x:c>
      <x:c r="B109" t="n">
        <x:v>5</x:v>
      </x:c>
      <x:c r="C109" t="n">
        <x:v>296.68301</x:v>
      </x:c>
      <x:c r="D109" t="n">
        <x:v>0.30695</x:v>
      </x:c>
      <x:c r="E109" t="n">
        <x:v>21.09</x:v>
      </x:c>
      <x:c r="F109" t="n">
        <x:v>450.20105</x:v>
      </x:c>
      <x:c r="G109" t="n">
        <x:v>0.40044</x:v>
      </x:c>
      <x:c r="H109" t="n">
        <x:v>20.54</x:v>
      </x:c>
      <x:c r="I109" t="n">
        <x:v>267.97702</x:v>
      </x:c>
      <x:c r="J109" t="n">
        <x:v>0.27702</x:v>
      </x:c>
      <x:c r="K109" t="n">
        <x:v>23.94</x:v>
      </x:c>
      <x:c r="L109" t="n">
        <x:v>275.78125</x:v>
      </x:c>
      <x:c r="M109" t="n">
        <x:v>0.04378</x:v>
      </x:c>
      <x:c r="N109" t="n">
        <x:v>268.02368</x:v>
      </x:c>
      <x:c r="O109" t="n">
        <x:v>0.32304</x:v>
      </x:c>
      <x:c r="P109" t="n">
        <x:v>267.97702</x:v>
      </x:c>
      <x:c r="Q109" t="n">
        <x:v>0.27702</x:v>
      </x:c>
      <x:c r="R109" t="n">
        <x:v>268.0056</x:v>
      </x:c>
      <x:c r="S109" t="n">
        <x:v>0.0056</x:v>
      </x:c>
      <x:c r="T109" t="n">
        <x:v>0.02205</x:v>
      </x:c>
      <x:c r="U109" t="n">
        <x:v>0.32304</x:v>
      </x:c>
      <x:c r="V109" t="n">
        <x:v>0.27702</x:v>
      </x:c>
      <x:c r="W109" t="n">
        <x:v>0.42612</x:v>
      </x:c>
      <x:c r="X109" t="n">
        <x:v>19.06</x:v>
      </x:c>
      <x:c r="Y109" t="str">
        <x:v>Y</x:v>
      </x:c>
      <x:c r="Z109" t="n">
        <x:v>0.03035</x:v>
      </x:c>
      <x:c r="AA109" t="n">
        <x:v>5.16</x:v>
      </x:c>
      <x:c r="AB109" t="n">
        <x:v>0.036</x:v>
      </x:c>
      <x:c r="AC109" t="n">
        <x:v>22.57</x:v>
      </x:c>
      <x:c r="AD109" t="n">
        <x:v>0.37565</x:v>
      </x:c>
      <x:c r="AE109" t="n">
        <x:v>-4.86</x:v>
      </x:c>
      <x:c r="AF109" t="n">
        <x:v>0.334</x:v>
      </x:c>
      <x:c r="AG109" t="n">
        <x:v>6.56</x:v>
      </x:c>
      <x:c r="AH109" t="n">
        <x:v>0.32284</x:v>
      </x:c>
      <x:c r="AI109" t="n">
        <x:v>13.97</x:v>
      </x:c>
      <x:c r="AJ109" t="n">
        <x:v>0.536</x:v>
      </x:c>
      <x:c r="AK109" t="n">
        <x:v>4.13</x:v>
      </x:c>
      <x:c r="AL109" t="n">
        <x:v>0.49672</x:v>
      </x:c>
      <x:c r="AM109" t="n">
        <x:v>3.1</x:v>
      </x:c>
      <x:c r="AN109" t="n">
        <x:v>0.0611</x:v>
      </x:c>
      <x:c r="AO109" t="n">
        <x:v>0.7562</x:v>
      </x:c>
      <x:c r="AP109" t="n">
        <x:v>0.6499</x:v>
      </x:c>
      <x:c r="AQ109" t="n">
        <x:v>1</x:v>
      </x:c>
      <x:c r="AR109" t="n">
        <x:v>1.1635794820963945</x:v>
      </x:c>
      <x:c r="AS109" t="n">
        <x:v>0.00373331037432583</x:v>
      </x:c>
      <x:c r="AT109" t="n">
        <x:v>0.5719308099853025</x:v>
      </x:c>
      <x:c r="AU109" t="n">
        <x:v>0.4224267224560196</x:v>
      </x:c>
      <x:c r="AV109" t="str">
        <x:v>NO</x:v>
      </x:c>
    </x:row>
    <x:row r="110">
      <x:c r="A110" t="n">
        <x:v>268</x:v>
      </x:c>
      <x:c r="B110" t="n">
        <x:v>7</x:v>
      </x:c>
      <x:c r="C110" t="n">
        <x:v>296.64028</x:v>
      </x:c>
      <x:c r="D110" t="n">
        <x:v>0.35029</x:v>
      </x:c>
      <x:c r="E110" t="n">
        <x:v>21.42</x:v>
      </x:c>
      <x:c r="F110" t="n">
        <x:v>268.03654</x:v>
      </x:c>
      <x:c r="G110" t="n">
        <x:v>0.50603</x:v>
      </x:c>
      <x:c r="H110" t="n">
        <x:v>22.37</x:v>
      </x:c>
      <x:c r="I110" t="n">
        <x:v>268.01811</x:v>
      </x:c>
      <x:c r="J110" t="n">
        <x:v>0.44365</x:v>
      </x:c>
      <x:c r="K110" t="n">
        <x:v>27.31</x:v>
      </x:c>
      <x:c r="L110" t="n">
        <x:v>275.63527</x:v>
      </x:c>
      <x:c r="M110" t="n">
        <x:v>0.05348</x:v>
      </x:c>
      <x:c r="N110" t="n">
        <x:v>268.03654</x:v>
      </x:c>
      <x:c r="O110" t="n">
        <x:v>0.50603</x:v>
      </x:c>
      <x:c r="P110" t="n">
        <x:v>268.01811</x:v>
      </x:c>
      <x:c r="Q110" t="n">
        <x:v>0.44365</x:v>
      </x:c>
      <x:c r="R110" t="n">
        <x:v>268.02959</x:v>
      </x:c>
      <x:c r="S110" t="n">
        <x:v>0.02959</x:v>
      </x:c>
      <x:c r="T110" t="n">
        <x:v>0.0326</x:v>
      </x:c>
      <x:c r="U110" t="n">
        <x:v>0.50603</x:v>
      </x:c>
      <x:c r="V110" t="n">
        <x:v>0.44365</x:v>
      </x:c>
      <x:c r="W110" t="n">
        <x:v>0.67376</x:v>
      </x:c>
      <x:c r="X110" t="n">
        <x:v>22.65</x:v>
      </x:c>
      <x:c r="Y110" t="str">
        <x:v>Y</x:v>
      </x:c>
      <x:c r="Z110" t="n">
        <x:v>0.02911</x:v>
      </x:c>
      <x:c r="AA110" t="n">
        <x:v>4.05</x:v>
      </x:c>
      <x:c r="AB110" t="n">
        <x:v>0.033</x:v>
      </x:c>
      <x:c r="AC110" t="n">
        <x:v>64.62</x:v>
      </x:c>
      <x:c r="AD110" t="n">
        <x:v>0.61072</x:v>
      </x:c>
      <x:c r="AE110" t="n">
        <x:v>-5.92</x:v>
      </x:c>
      <x:c r="AF110" t="n">
        <x:v>0.49</x:v>
      </x:c>
      <x:c r="AG110" t="n">
        <x:v>1.66</x:v>
      </x:c>
      <x:c r="AH110" t="n">
        <x:v>0.52941</x:v>
      </x:c>
      <x:c r="AI110" t="n">
        <x:v>12.91</x:v>
      </x:c>
      <x:c r="AJ110" t="n">
        <x:v>0.695</x:v>
      </x:c>
      <x:c r="AK110" t="n">
        <x:v>4.8</x:v>
      </x:c>
      <x:c r="AL110" t="n">
        <x:v>0.80907</x:v>
      </x:c>
      <x:c r="AM110" t="n">
        <x:v>2.73</x:v>
      </x:c>
      <x:c r="AN110" t="n">
        <x:v>0.036</x:v>
      </x:c>
      <x:c r="AO110" t="n">
        <x:v>0.7548</x:v>
      </x:c>
      <x:c r="AP110" t="n">
        <x:v>0.6543</x:v>
      </x:c>
      <x:c r="AQ110" t="n">
        <x:v>1</x:v>
      </x:c>
      <x:c r="AR110" t="n">
        <x:v>1.1535860675091139</x:v>
      </x:c>
      <x:c r="AS110" t="n">
        <x:v>0.0012945302845411473</x:v>
      </x:c>
      <x:c r="AT110" t="n">
        <x:v>0.5697864133548111</x:v>
      </x:c>
      <x:c r="AU110" t="n">
        <x:v>0.4281659084544785</x:v>
      </x:c>
      <x:c r="AV110" t="str">
        <x:v>NO</x:v>
      </x:c>
    </x:row>
    <x:row r="111">
      <x:c r="A111" t="n">
        <x:v>268</x:v>
      </x:c>
      <x:c r="B111" t="n">
        <x:v>9</x:v>
      </x:c>
      <x:c r="C111" t="n">
        <x:v>296.68488</x:v>
      </x:c>
      <x:c r="D111" t="n">
        <x:v>0.46561</x:v>
      </x:c>
      <x:c r="E111" t="n">
        <x:v>23.21</x:v>
      </x:c>
      <x:c r="F111" t="n">
        <x:v>268.0469</x:v>
      </x:c>
      <x:c r="G111" t="n">
        <x:v>0.67203</x:v>
      </x:c>
      <x:c r="H111" t="n">
        <x:v>23.86</x:v>
      </x:c>
      <x:c r="I111" t="n">
        <x:v>268.01023</x:v>
      </x:c>
      <x:c r="J111" t="n">
        <x:v>0.59609</x:v>
      </x:c>
      <x:c r="K111" t="n">
        <x:v>29.91</x:v>
      </x:c>
      <x:c r="L111" t="n">
        <x:v>275.78125</x:v>
      </x:c>
      <x:c r="M111" t="n">
        <x:v>0.05942</x:v>
      </x:c>
      <x:c r="N111" t="n">
        <x:v>268.0469</x:v>
      </x:c>
      <x:c r="O111" t="n">
        <x:v>0.67203</x:v>
      </x:c>
      <x:c r="P111" t="n">
        <x:v>268.01023</x:v>
      </x:c>
      <x:c r="Q111" t="n">
        <x:v>0.59609</x:v>
      </x:c>
      <x:c r="R111" t="n">
        <x:v>268.03091</x:v>
      </x:c>
      <x:c r="S111" t="n">
        <x:v>0.03091</x:v>
      </x:c>
      <x:c r="T111" t="n">
        <x:v>0.02889</x:v>
      </x:c>
      <x:c r="U111" t="n">
        <x:v>0.67203</x:v>
      </x:c>
      <x:c r="V111" t="n">
        <x:v>0.59609</x:v>
      </x:c>
      <x:c r="W111" t="n">
        <x:v>0.89877</x:v>
      </x:c>
      <x:c r="X111" t="n">
        <x:v>25.43</x:v>
      </x:c>
      <x:c r="Y111" t="str">
        <x:v>Y</x:v>
      </x:c>
      <x:c r="Z111" t="n">
        <x:v>0.04186</x:v>
      </x:c>
      <x:c r="AA111" t="n">
        <x:v>13.5</x:v>
      </x:c>
      <x:c r="AB111" t="n">
        <x:v>0.043</x:v>
      </x:c>
      <x:c r="AC111" t="n">
        <x:v>22.22</x:v>
      </x:c>
      <x:c r="AD111" t="n">
        <x:v>0.81573</x:v>
      </x:c>
      <x:c r="AE111" t="n">
        <x:v>-4.33</x:v>
      </x:c>
      <x:c r="AF111" t="n">
        <x:v>0.542</x:v>
      </x:c>
      <x:c r="AG111" t="n">
        <x:v>2.61</x:v>
      </x:c>
      <x:c r="AH111" t="n">
        <x:v>0.69985</x:v>
      </x:c>
      <x:c r="AI111" t="n">
        <x:v>13.04</x:v>
      </x:c>
      <x:c r="AJ111" t="n">
        <x:v>0.775</x:v>
      </x:c>
      <x:c r="AK111" t="n">
        <x:v>2.95</x:v>
      </x:c>
      <x:c r="AL111" t="n">
        <x:v>1.07596</x:v>
      </x:c>
      <x:c r="AM111" t="n">
        <x:v>0.49</x:v>
      </x:c>
      <x:c r="AN111" t="n">
        <x:v>0.0389</x:v>
      </x:c>
      <x:c r="AO111" t="n">
        <x:v>0.7581</x:v>
      </x:c>
      <x:c r="AP111" t="n">
        <x:v>0.6504</x:v>
      </x:c>
      <x:c r="AQ111" t="n">
        <x:v>1</x:v>
      </x:c>
      <x:c r="AR111" t="n">
        <x:v>1.1655783382153317</x:v>
      </x:c>
      <x:c r="AS111" t="n">
        <x:v>0.0015135828405401228</x:v>
      </x:c>
      <x:c r="AT111" t="n">
        <x:v>0.5747786350082016</x:v>
      </x:c>
      <x:c r="AU111" t="n">
        <x:v>0.42307531003040905</x:v>
      </x:c>
      <x:c r="AV111" t="str">
        <x:v>NO</x:v>
      </x:c>
    </x:row>
    <x:row r="112">
      <x:c r="A112" t="n">
        <x:v>268</x:v>
      </x:c>
      <x:c r="B112" t="n">
        <x:v>11</x:v>
      </x:c>
      <x:c r="C112" t="n">
        <x:v>296.63436</x:v>
      </x:c>
      <x:c r="D112" t="n">
        <x:v>0.48474</x:v>
      </x:c>
      <x:c r="E112" t="n">
        <x:v>23.05</x:v>
      </x:c>
      <x:c r="F112" t="n">
        <x:v>268.03941</x:v>
      </x:c>
      <x:c r="G112" t="n">
        <x:v>0.84021</x:v>
      </x:c>
      <x:c r="H112" t="n">
        <x:v>25.12</x:v>
      </x:c>
      <x:c r="I112" t="n">
        <x:v>268.0032</x:v>
      </x:c>
      <x:c r="J112" t="n">
        <x:v>0.7697</x:v>
      </x:c>
      <x:c r="K112" t="n">
        <x:v>31.11</x:v>
      </x:c>
      <x:c r="L112" t="n">
        <x:v>275.78125</x:v>
      </x:c>
      <x:c r="M112" t="n">
        <x:v>0.06451</x:v>
      </x:c>
      <x:c r="N112" t="n">
        <x:v>268.03941</x:v>
      </x:c>
      <x:c r="O112" t="n">
        <x:v>0.84021</x:v>
      </x:c>
      <x:c r="P112" t="n">
        <x:v>268.0032</x:v>
      </x:c>
      <x:c r="Q112" t="n">
        <x:v>0.7697</x:v>
      </x:c>
      <x:c r="R112" t="n">
        <x:v>268.02304</x:v>
      </x:c>
      <x:c r="S112" t="n">
        <x:v>0.02304</x:v>
      </x:c>
      <x:c r="T112" t="n">
        <x:v>0.03575</x:v>
      </x:c>
      <x:c r="U112" t="n">
        <x:v>0.84021</x:v>
      </x:c>
      <x:c r="V112" t="n">
        <x:v>0.7697</x:v>
      </x:c>
      <x:c r="W112" t="n">
        <x:v>1.14003</x:v>
      </x:c>
      <x:c r="X112" t="n">
        <x:v>26.81</x:v>
      </x:c>
      <x:c r="Y112" t="str">
        <x:v>Y</x:v>
      </x:c>
      <x:c r="Z112" t="n">
        <x:v>0.05258</x:v>
      </x:c>
      <x:c r="AA112" t="n">
        <x:v>15.42</x:v>
      </x:c>
      <x:c r="AB112" t="n">
        <x:v>0.046</x:v>
      </x:c>
      <x:c r="AC112" t="n">
        <x:v>44.1</x:v>
      </x:c>
      <x:c r="AD112" t="n">
        <x:v>1.02902</x:v>
      </x:c>
      <x:c r="AE112" t="n">
        <x:v>-5.98</x:v>
      </x:c>
      <x:c r="AF112" t="n">
        <x:v>0.614</x:v>
      </x:c>
      <x:c r="AG112" t="n">
        <x:v>3.51</x:v>
      </x:c>
      <x:c r="AH112" t="n">
        <x:v>0.92507</x:v>
      </x:c>
      <x:c r="AI112" t="n">
        <x:v>11.71</x:v>
      </x:c>
      <x:c r="AJ112" t="n">
        <x:v>0.832</x:v>
      </x:c>
      <x:c r="AK112" t="n">
        <x:v>1.79</x:v>
      </x:c>
      <x:c r="AL112" t="n">
        <x:v>1.38499</x:v>
      </x:c>
      <x:c r="AM112" t="n">
        <x:v>2.42</x:v>
      </x:c>
      <x:c r="AN112" t="n">
        <x:v>0.038</x:v>
      </x:c>
      <x:c r="AO112" t="n">
        <x:v>0.743</x:v>
      </x:c>
      <x:c r="AP112" t="n">
        <x:v>0.6679</x:v>
      </x:c>
      <x:c r="AQ112" t="n">
        <x:v>1</x:v>
      </x:c>
      <x:c r="AR112" t="n">
        <x:v>1.112369874712184</x:v>
      </x:c>
      <x:c r="AS112" t="n">
        <x:v>0.0014412784335875524</x:v>
      </x:c>
      <x:c r="AT112" t="n">
        <x:v>0.5520194196628252</x:v>
      </x:c>
      <x:c r="AU112" t="n">
        <x:v>0.44612434021014813</x:v>
      </x:c>
      <x:c r="AV112" t="str">
        <x:v>YES</x:v>
      </x:c>
    </x:row>
    <x:row r="113">
      <x:c r="A113" t="n">
        <x:v>268</x:v>
      </x:c>
      <x:c r="B113" t="n">
        <x:v>13</x:v>
      </x:c>
      <x:c r="C113" t="n">
        <x:v>210.8658</x:v>
      </x:c>
      <x:c r="D113" t="n">
        <x:v>0.42969</x:v>
      </x:c>
      <x:c r="E113" t="n">
        <x:v>23</x:v>
      </x:c>
      <x:c r="F113" t="n">
        <x:v>268.00248</x:v>
      </x:c>
      <x:c r="G113" t="n">
        <x:v>0.99904</x:v>
      </x:c>
      <x:c r="H113" t="n">
        <x:v>27.48</x:v>
      </x:c>
      <x:c r="I113" t="n">
        <x:v>268.00981</x:v>
      </x:c>
      <x:c r="J113" t="n">
        <x:v>0.96276</x:v>
      </x:c>
      <x:c r="K113" t="n">
        <x:v>32.77</x:v>
      </x:c>
      <x:c r="L113" t="n">
        <x:v>267.68016</x:v>
      </x:c>
      <x:c r="M113" t="n">
        <x:v>0.06651</x:v>
      </x:c>
      <x:c r="N113" t="n">
        <x:v>268.00248</x:v>
      </x:c>
      <x:c r="O113" t="n">
        <x:v>0.99904</x:v>
      </x:c>
      <x:c r="P113" t="n">
        <x:v>268.00981</x:v>
      </x:c>
      <x:c r="Q113" t="n">
        <x:v>0.96276</x:v>
      </x:c>
      <x:c r="R113" t="n">
        <x:v>268.00541</x:v>
      </x:c>
      <x:c r="S113" t="n">
        <x:v>0.00541</x:v>
      </x:c>
      <x:c r="T113" t="n">
        <x:v>0.05678</x:v>
      </x:c>
      <x:c r="U113" t="n">
        <x:v>0.99904</x:v>
      </x:c>
      <x:c r="V113" t="n">
        <x:v>0.96276</x:v>
      </x:c>
      <x:c r="W113" t="n">
        <x:v>1.38861</x:v>
      </x:c>
      <x:c r="X113" t="n">
        <x:v>29.01</x:v>
      </x:c>
      <x:c r="Y113" t="str">
        <x:v>Y</x:v>
      </x:c>
      <x:c r="Z113" t="n">
        <x:v>0.08629</x:v>
      </x:c>
      <x:c r="AA113" t="n">
        <x:v>20.61</x:v>
      </x:c>
      <x:c r="AB113" t="n">
        <x:v>0.088</x:v>
      </x:c>
      <x:c r="AC113" t="n">
        <x:v>21.54</x:v>
      </x:c>
      <x:c r="AD113" t="n">
        <x:v>1.2222</x:v>
      </x:c>
      <x:c r="AE113" t="n">
        <x:v>-5.94</x:v>
      </x:c>
      <x:c r="AF113" t="n">
        <x:v>0.728</x:v>
      </x:c>
      <x:c r="AG113" t="n">
        <x:v>4.33</x:v>
      </x:c>
      <x:c r="AH113" t="n">
        <x:v>1.15724</x:v>
      </x:c>
      <x:c r="AI113" t="n">
        <x:v>13.38</x:v>
      </x:c>
      <x:c r="AJ113" t="n">
        <x:v>0.88</x:v>
      </x:c>
      <x:c r="AK113" t="n">
        <x:v>1.93</x:v>
      </x:c>
      <x:c r="AL113" t="n">
        <x:v>1.68556</x:v>
      </x:c>
      <x:c r="AM113" t="n">
        <x:v>3.13</x:v>
      </x:c>
      <x:c r="AN113" t="n">
        <x:v>0.0512</x:v>
      </x:c>
      <x:c r="AO113" t="n">
        <x:v>0.7251</x:v>
      </x:c>
      <x:c r="AP113" t="n">
        <x:v>0.6866</x:v>
      </x:c>
      <x:c r="AQ113" t="n">
        <x:v>1</x:v>
      </x:c>
      <x:c r="AR113" t="n">
        <x:v>1.0561335591579966</x:v>
      </x:c>
      <x:c r="AS113" t="n">
        <x:v>0.0026207917019678856</x:v>
      </x:c>
      <x:c r="AT113" t="n">
        <x:v>0.5257703920029646</x:v>
      </x:c>
      <x:c r="AU113" t="n">
        <x:v>0.47136620291854686</x:v>
      </x:c>
      <x:c r="AV113" t="str">
        <x:v>YES</x:v>
      </x:c>
    </x:row>
    <x:row r="114">
      <x:c r="A114" t="n">
        <x:v>268</x:v>
      </x:c>
      <x:c r="B114" t="n">
        <x:v>15</x:v>
      </x:c>
      <x:c r="C114" t="n">
        <x:v>296.8108</x:v>
      </x:c>
      <x:c r="D114" t="n">
        <x:v>0.52118</x:v>
      </x:c>
      <x:c r="E114" t="n">
        <x:v>23.92</x:v>
      </x:c>
      <x:c r="F114" t="n">
        <x:v>267.96065</x:v>
      </x:c>
      <x:c r="G114" t="n">
        <x:v>1.13492</x:v>
      </x:c>
      <x:c r="H114" t="n">
        <x:v>27.56</x:v>
      </x:c>
      <x:c r="I114" t="n">
        <x:v>268.03945</x:v>
      </x:c>
      <x:c r="J114" t="n">
        <x:v>1.21075</x:v>
      </x:c>
      <x:c r="K114" t="n">
        <x:v>33.98</x:v>
      </x:c>
      <x:c r="L114" t="n">
        <x:v>267.67332</x:v>
      </x:c>
      <x:c r="M114" t="n">
        <x:v>0.10133</x:v>
      </x:c>
      <x:c r="N114" t="n">
        <x:v>267.96065</x:v>
      </x:c>
      <x:c r="O114" t="n">
        <x:v>1.13492</x:v>
      </x:c>
      <x:c r="P114" t="n">
        <x:v>268.03945</x:v>
      </x:c>
      <x:c r="Q114" t="n">
        <x:v>1.21075</x:v>
      </x:c>
      <x:c r="R114" t="n">
        <x:v>268.00231</x:v>
      </x:c>
      <x:c r="S114" t="n">
        <x:v>0.00231</x:v>
      </x:c>
      <x:c r="T114" t="n">
        <x:v>0.08471</x:v>
      </x:c>
      <x:c r="U114" t="n">
        <x:v>1.13006</x:v>
      </x:c>
      <x:c r="V114" t="n">
        <x:v>1.21075</x:v>
      </x:c>
      <x:c r="W114" t="n">
        <x:v>1.65835</x:v>
      </x:c>
      <x:c r="X114" t="n">
        <x:v>29.2</x:v>
      </x:c>
      <x:c r="Y114" t="str">
        <x:v>Z</x:v>
      </x:c>
      <x:c r="Z114" t="n">
        <x:v>0.11563</x:v>
      </x:c>
      <x:c r="AA114" t="n">
        <x:v>20.32</x:v>
      </x:c>
      <x:c r="AB114" t="n">
        <x:v>0.11</x:v>
      </x:c>
      <x:c r="AC114" t="n">
        <x:v>8.49</x:v>
      </x:c>
      <x:c r="AD114" t="n">
        <x:v>1.35978</x:v>
      </x:c>
      <x:c r="AE114" t="n">
        <x:v>-6.42</x:v>
      </x:c>
      <x:c r="AF114" t="n">
        <x:v>0.732</x:v>
      </x:c>
      <x:c r="AG114" t="n">
        <x:v>2.86</x:v>
      </x:c>
      <x:c r="AH114" t="n">
        <x:v>1.47123</x:v>
      </x:c>
      <x:c r="AI114" t="n">
        <x:v>13.1</x:v>
      </x:c>
      <x:c r="AJ114" t="n">
        <x:v>0.914</x:v>
      </x:c>
      <x:c r="AK114" t="n">
        <x:v>3.11</x:v>
      </x:c>
      <x:c r="AL114" t="n">
        <x:v>2.00736</x:v>
      </x:c>
      <x:c r="AM114" t="n">
        <x:v>1.04</x:v>
      </x:c>
      <x:c r="AN114" t="n">
        <x:v>0.0576</x:v>
      </x:c>
      <x:c r="AO114" t="n">
        <x:v>0.6774</x:v>
      </x:c>
      <x:c r="AP114" t="n">
        <x:v>0.7329</x:v>
      </x:c>
      <x:c r="AQ114" t="n">
        <x:v>1</x:v>
      </x:c>
      <x:c r="AR114" t="n">
        <x:v>0.9242470585836341</x:v>
      </x:c>
      <x:c r="AS114" t="n">
        <x:v>0.003318108014864616</x:v>
      </x:c>
      <x:c r="AT114" t="n">
        <x:v>0.4588669372819931</x:v>
      </x:c>
      <x:c r="AU114" t="n">
        <x:v>0.537168592829821</x:v>
      </x:c>
      <x:c r="AV114" t="str">
        <x:v>YES</x:v>
      </x:c>
    </x:row>
    <x:row r="115">
      <x:c r="A115" t="n">
        <x:v>268</x:v>
      </x:c>
      <x:c r="B115" t="n">
        <x:v>17</x:v>
      </x:c>
      <x:c r="C115" t="n">
        <x:v>210.84372</x:v>
      </x:c>
      <x:c r="D115" t="n">
        <x:v>0.69615</x:v>
      </x:c>
      <x:c r="E115" t="n">
        <x:v>26.47</x:v>
      </x:c>
      <x:c r="F115" t="n">
        <x:v>268.0281</x:v>
      </x:c>
      <x:c r="G115" t="n">
        <x:v>1.14241</x:v>
      </x:c>
      <x:c r="H115" t="n">
        <x:v>28.1</x:v>
      </x:c>
      <x:c r="I115" t="n">
        <x:v>268.04757</x:v>
      </x:c>
      <x:c r="J115" t="n">
        <x:v>1.57884</x:v>
      </x:c>
      <x:c r="K115" t="n">
        <x:v>34.84</x:v>
      </x:c>
      <x:c r="L115" t="n">
        <x:v>268.04549</x:v>
      </x:c>
      <x:c r="M115" t="n">
        <x:v>0.11883</x:v>
      </x:c>
      <x:c r="N115" t="n">
        <x:v>268.0281</x:v>
      </x:c>
      <x:c r="O115" t="n">
        <x:v>1.14241</x:v>
      </x:c>
      <x:c r="P115" t="n">
        <x:v>268.04757</x:v>
      </x:c>
      <x:c r="Q115" t="n">
        <x:v>1.57884</x:v>
      </x:c>
      <x:c r="R115" t="n">
        <x:v>268.04092</x:v>
      </x:c>
      <x:c r="S115" t="n">
        <x:v>0.04092</x:v>
      </x:c>
      <x:c r="T115" t="n">
        <x:v>0.11883</x:v>
      </x:c>
      <x:c r="U115" t="n">
        <x:v>1.14241</x:v>
      </x:c>
      <x:c r="V115" t="n">
        <x:v>1.57884</x:v>
      </x:c>
      <x:c r="W115" t="n">
        <x:v>1.95242</x:v>
      </x:c>
      <x:c r="X115" t="n">
        <x:v>30.44</x:v>
      </x:c>
      <x:c r="Y115" t="str">
        <x:v>Z</x:v>
      </x:c>
      <x:c r="Z115" t="n">
        <x:v>0.136</x:v>
      </x:c>
      <x:c r="AA115" t="n">
        <x:v>17.73</x:v>
      </x:c>
      <x:c r="AB115" t="n">
        <x:v>0.119</x:v>
      </x:c>
      <x:c r="AC115" t="n">
        <x:v>12.16</x:v>
      </x:c>
      <x:c r="AD115" t="n">
        <x:v>1.45697</x:v>
      </x:c>
      <x:c r="AE115" t="n">
        <x:v>-6.26</x:v>
      </x:c>
      <x:c r="AF115" t="n">
        <x:v>0.762</x:v>
      </x:c>
      <x:c r="AG115" t="n">
        <x:v>4.22</x:v>
      </x:c>
      <x:c r="AH115" t="n">
        <x:v>1.78192</x:v>
      </x:c>
      <x:c r="AI115" t="n">
        <x:v>12.6</x:v>
      </x:c>
      <x:c r="AJ115" t="n">
        <x:v>0.91</x:v>
      </x:c>
      <x:c r="AK115" t="n">
        <x:v>1.17</x:v>
      </x:c>
      <x:c r="AL115" t="n">
        <x:v>2.30624</x:v>
      </x:c>
      <x:c r="AM115" t="n">
        <x:v>1.76</x:v>
      </x:c>
      <x:c r="AN115" t="n">
        <x:v>0.059</x:v>
      </x:c>
      <x:c r="AO115" t="n">
        <x:v>0.6317</x:v>
      </x:c>
      <x:c r="AP115" t="n">
        <x:v>0.7727</x:v>
      </x:c>
      <x:c r="AQ115" t="n">
        <x:v>1</x:v>
      </x:c>
      <x:c r="AR115" t="n">
        <x:v>0.8176405225823832</x:v>
      </x:c>
      <x:c r="AS115" t="n">
        <x:v>0.0034775134307103842</x:v>
      </x:c>
      <x:c r="AT115" t="n">
        <x:v>0.3991096403425475</x:v>
      </x:c>
      <x:c r="AU115" t="n">
        <x:v>0.596990477571901</x:v>
      </x:c>
      <x:c r="AV115" t="str">
        <x:v>YES</x:v>
      </x:c>
    </x:row>
    <x:row r="116">
      <x:c r="A116" t="n">
        <x:v>268</x:v>
      </x:c>
      <x:c r="B116" t="n">
        <x:v>19</x:v>
      </x:c>
      <x:c r="C116" t="n">
        <x:v>210.94456</x:v>
      </x:c>
      <x:c r="D116" t="n">
        <x:v>0.6264</x:v>
      </x:c>
      <x:c r="E116" t="n">
        <x:v>24.9</x:v>
      </x:c>
      <x:c r="F116" t="n">
        <x:v>268.0064</x:v>
      </x:c>
      <x:c r="G116" t="n">
        <x:v>1.18529</x:v>
      </x:c>
      <x:c r="H116" t="n">
        <x:v>28.17</x:v>
      </x:c>
      <x:c r="I116" t="n">
        <x:v>268.051</x:v>
      </x:c>
      <x:c r="J116" t="n">
        <x:v>1.87663</x:v>
      </x:c>
      <x:c r="K116" t="n">
        <x:v>35.04</x:v>
      </x:c>
      <x:c r="L116" t="n">
        <x:v>267.99942</x:v>
      </x:c>
      <x:c r="M116" t="n">
        <x:v>0.12095</x:v>
      </x:c>
      <x:c r="N116" t="n">
        <x:v>268.0064</x:v>
      </x:c>
      <x:c r="O116" t="n">
        <x:v>1.18529</x:v>
      </x:c>
      <x:c r="P116" t="n">
        <x:v>268.051</x:v>
      </x:c>
      <x:c r="Q116" t="n">
        <x:v>1.87663</x:v>
      </x:c>
      <x:c r="R116" t="n">
        <x:v>268.03814</x:v>
      </x:c>
      <x:c r="S116" t="n">
        <x:v>0.03814</x:v>
      </x:c>
      <x:c r="T116" t="n">
        <x:v>0.12095</x:v>
      </x:c>
      <x:c r="U116" t="n">
        <x:v>1.18529</x:v>
      </x:c>
      <x:c r="V116" t="n">
        <x:v>1.87663</x:v>
      </x:c>
      <x:c r="W116" t="n">
        <x:v>2.2229</x:v>
      </x:c>
      <x:c r="X116" t="n">
        <x:v>32.81</x:v>
      </x:c>
      <x:c r="Y116" t="str">
        <x:v>Z</x:v>
      </x:c>
      <x:c r="Z116" t="n">
        <x:v>0.13547</x:v>
      </x:c>
      <x:c r="AA116" t="n">
        <x:v>4.34</x:v>
      </x:c>
      <x:c r="AB116" t="n">
        <x:v>0.117</x:v>
      </x:c>
      <x:c r="AC116" t="n">
        <x:v>11.29</x:v>
      </x:c>
      <x:c r="AD116" t="n">
        <x:v>1.54126</x:v>
      </x:c>
      <x:c r="AE116" t="n">
        <x:v>-6.08</x:v>
      </x:c>
      <x:c r="AF116" t="n">
        <x:v>0.777</x:v>
      </x:c>
      <x:c r="AG116" t="n">
        <x:v>4.6</x:v>
      </x:c>
      <x:c r="AH116" t="n">
        <x:v>2.1238</x:v>
      </x:c>
      <x:c r="AI116" t="n">
        <x:v>11.16</x:v>
      </x:c>
      <x:c r="AJ116" t="n">
        <x:v>0.899</x:v>
      </x:c>
      <x:c r="AK116" t="n">
        <x:v>1.88</x:v>
      </x:c>
      <x:c r="AL116" t="n">
        <x:v>2.62847</x:v>
      </x:c>
      <x:c r="AM116" t="n">
        <x:v>1.33</x:v>
      </x:c>
      <x:c r="AN116" t="n">
        <x:v>0.0515</x:v>
      </x:c>
      <x:c r="AO116" t="n">
        <x:v>0.5864</x:v>
      </x:c>
      <x:c r="AP116" t="n">
        <x:v>0.808</x:v>
      </x:c>
      <x:c r="AQ116" t="n">
        <x:v>1</x:v>
      </x:c>
      <x:c r="AR116" t="n">
        <x:v>0.725708635464733</x:v>
      </x:c>
      <x:c r="AS116" t="n">
        <x:v>0.002656318900818733</x:v>
      </x:c>
      <x:c r="AT116" t="n">
        <x:v>0.34383158214394133</x:v>
      </x:c>
      <x:c r="AU116" t="n">
        <x:v>0.6528616883302373</x:v>
      </x:c>
      <x:c r="AV116" t="str">
        <x:v>YES</x:v>
      </x:c>
    </x:row>
    <x:row r="117">
      <x:c r="A117" t="n">
        <x:v>268</x:v>
      </x:c>
      <x:c r="B117" t="n">
        <x:v>21</x:v>
      </x:c>
      <x:c r="C117" t="n">
        <x:v>210.66185</x:v>
      </x:c>
      <x:c r="D117" t="n">
        <x:v>0.49354</x:v>
      </x:c>
      <x:c r="E117" t="n">
        <x:v>23.55</x:v>
      </x:c>
      <x:c r="F117" t="n">
        <x:v>268.02791</x:v>
      </x:c>
      <x:c r="G117" t="n">
        <x:v>1.25042</x:v>
      </x:c>
      <x:c r="H117" t="n">
        <x:v>29.47</x:v>
      </x:c>
      <x:c r="I117" t="n">
        <x:v>268.04351</x:v>
      </x:c>
      <x:c r="J117" t="n">
        <x:v>2.18351</x:v>
      </x:c>
      <x:c r="K117" t="n">
        <x:v>34.93</x:v>
      </x:c>
      <x:c r="L117" t="n">
        <x:v>268.13077</x:v>
      </x:c>
      <x:c r="M117" t="n">
        <x:v>0.1392</x:v>
      </x:c>
      <x:c r="N117" t="n">
        <x:v>268.02791</x:v>
      </x:c>
      <x:c r="O117" t="n">
        <x:v>1.25042</x:v>
      </x:c>
      <x:c r="P117" t="n">
        <x:v>268.04351</x:v>
      </x:c>
      <x:c r="Q117" t="n">
        <x:v>2.18351</x:v>
      </x:c>
      <x:c r="R117" t="n">
        <x:v>268.03994</x:v>
      </x:c>
      <x:c r="S117" t="n">
        <x:v>0.03994</x:v>
      </x:c>
      <x:c r="T117" t="n">
        <x:v>0.1392</x:v>
      </x:c>
      <x:c r="U117" t="n">
        <x:v>1.25042</x:v>
      </x:c>
      <x:c r="V117" t="n">
        <x:v>2.18351</x:v>
      </x:c>
      <x:c r="W117" t="n">
        <x:v>2.52005</x:v>
      </x:c>
      <x:c r="X117" t="n">
        <x:v>33.56</x:v>
      </x:c>
      <x:c r="Y117" t="str">
        <x:v>Z</x:v>
      </x:c>
      <x:c r="Z117" t="n">
        <x:v>0.15762</x:v>
      </x:c>
      <x:c r="AA117" t="n">
        <x:v>11.01</x:v>
      </x:c>
      <x:c r="AB117" t="n">
        <x:v>0.156</x:v>
      </x:c>
      <x:c r="AC117" t="n">
        <x:v>21</x:v>
      </x:c>
      <x:c r="AD117" t="n">
        <x:v>1.56594</x:v>
      </x:c>
      <x:c r="AE117" t="n">
        <x:v>-3.57</x:v>
      </x:c>
      <x:c r="AF117" t="n">
        <x:v>0.811</x:v>
      </x:c>
      <x:c r="AG117" t="n">
        <x:v>1.71</x:v>
      </x:c>
      <x:c r="AH117" t="n">
        <x:v>2.49691</x:v>
      </x:c>
      <x:c r="AI117" t="n">
        <x:v>8.15</x:v>
      </x:c>
      <x:c r="AJ117" t="n">
        <x:v>0.882</x:v>
      </x:c>
      <x:c r="AK117" t="n">
        <x:v>1.45</x:v>
      </x:c>
      <x:c r="AL117" t="n">
        <x:v>2.95182</x:v>
      </x:c>
      <x:c r="AM117" t="n">
        <x:v>1.1</x:v>
      </x:c>
      <x:c r="AN117" t="n">
        <x:v>0.0534</x:v>
      </x:c>
      <x:c r="AO117" t="n">
        <x:v>0.5305</x:v>
      </x:c>
      <x:c r="AP117" t="n">
        <x:v>0.8459</x:v>
      </x:c>
      <x:c r="AQ117" t="n">
        <x:v>1</x:v>
      </x:c>
      <x:c r="AR117" t="n">
        <x:v>0.6271511588323168</x:v>
      </x:c>
      <x:c r="AS117" t="n">
        <x:v>0.0028512999364133165</x:v>
      </x:c>
      <x:c r="AT117" t="n">
        <x:v>0.2814300666860066</x:v>
      </x:c>
      <x:c r="AU117" t="n">
        <x:v>0.7155270150991302</x:v>
      </x:c>
      <x:c r="AV117" t="str">
        <x:v>YES</x:v>
      </x:c>
    </x:row>
    <x:row r="118">
      <x:c r="A118" t="n">
        <x:v>268</x:v>
      </x:c>
      <x:c r="B118" t="n">
        <x:v>23</x:v>
      </x:c>
      <x:c r="C118" t="n">
        <x:v>210.3478</x:v>
      </x:c>
      <x:c r="D118" t="n">
        <x:v>0.49706</x:v>
      </x:c>
      <x:c r="E118" t="n">
        <x:v>23.56</x:v>
      </x:c>
      <x:c r="F118" t="n">
        <x:v>268.03244</x:v>
      </x:c>
      <x:c r="G118" t="n">
        <x:v>1.2503</x:v>
      </x:c>
      <x:c r="H118" t="n">
        <x:v>28.5</x:v>
      </x:c>
      <x:c r="I118" t="n">
        <x:v>268.03026</x:v>
      </x:c>
      <x:c r="J118" t="n">
        <x:v>2.54082</x:v>
      </x:c>
      <x:c r="K118" t="n">
        <x:v>35.27</x:v>
      </x:c>
      <x:c r="L118" t="n">
        <x:v>268.07586</x:v>
      </x:c>
      <x:c r="M118" t="n">
        <x:v>0.16676</x:v>
      </x:c>
      <x:c r="N118" t="n">
        <x:v>268.03244</x:v>
      </x:c>
      <x:c r="O118" t="n">
        <x:v>1.2503</x:v>
      </x:c>
      <x:c r="P118" t="n">
        <x:v>268.03026</x:v>
      </x:c>
      <x:c r="Q118" t="n">
        <x:v>2.54082</x:v>
      </x:c>
      <x:c r="R118" t="n">
        <x:v>268.03084</x:v>
      </x:c>
      <x:c r="S118" t="n">
        <x:v>0.03084</x:v>
      </x:c>
      <x:c r="T118" t="n">
        <x:v>0.16676</x:v>
      </x:c>
      <x:c r="U118" t="n">
        <x:v>1.2503</x:v>
      </x:c>
      <x:c r="V118" t="n">
        <x:v>2.54082</x:v>
      </x:c>
      <x:c r="W118" t="n">
        <x:v>2.83669</x:v>
      </x:c>
      <x:c r="X118" t="n">
        <x:v>33.4</x:v>
      </x:c>
      <x:c r="Y118" t="str">
        <x:v>Z</x:v>
      </x:c>
      <x:c r="Z118" t="n">
        <x:v>0.18173</x:v>
      </x:c>
      <x:c r="AA118" t="n">
        <x:v>1.75</x:v>
      </x:c>
      <x:c r="AB118" t="n">
        <x:v>0.162</x:v>
      </x:c>
      <x:c r="AC118" t="n">
        <x:v>14.54</x:v>
      </x:c>
      <x:c r="AD118" t="n">
        <x:v>1.56808</x:v>
      </x:c>
      <x:c r="AE118" t="n">
        <x:v>-0.04</x:v>
      </x:c>
      <x:c r="AF118" t="n">
        <x:v>0.781</x:v>
      </x:c>
      <x:c r="AG118" t="n">
        <x:v>0.99</x:v>
      </x:c>
      <x:c r="AH118" t="n">
        <x:v>2.9408</x:v>
      </x:c>
      <x:c r="AI118" t="n">
        <x:v>5.18</x:v>
      </x:c>
      <x:c r="AJ118" t="n">
        <x:v>0.866</x:v>
      </x:c>
      <x:c r="AK118" t="n">
        <x:v>0.61</x:v>
      </x:c>
      <x:c r="AL118" t="n">
        <x:v>3.33781</x:v>
      </x:c>
      <x:c r="AM118" t="n">
        <x:v>0.54</x:v>
      </x:c>
      <x:c r="AN118" t="n">
        <x:v>0.0544</x:v>
      </x:c>
      <x:c r="AO118" t="n">
        <x:v>0.4698</x:v>
      </x:c>
      <x:c r="AP118" t="n">
        <x:v>0.8811</x:v>
      </x:c>
      <x:c r="AQ118" t="n">
        <x:v>1</x:v>
      </x:c>
      <x:c r="AR118" t="n">
        <x:v>0.5332154515778019</x:v>
      </x:c>
      <x:c r="AS118" t="n">
        <x:v>0.0029643537601465515</x:v>
      </x:c>
      <x:c r="AT118" t="n">
        <x:v>0.22070552665609924</x:v>
      </x:c>
      <x:c r="AU118" t="n">
        <x:v>0.7762609805040248</x:v>
      </x:c>
      <x:c r="AV118" t="str">
        <x:v>YES</x:v>
      </x:c>
    </x:row>
    <x:row r="119">
      <x:c r="A119" t="n">
        <x:v>268</x:v>
      </x:c>
      <x:c r="B119" t="n">
        <x:v>25</x:v>
      </x:c>
      <x:c r="C119" t="n">
        <x:v>210.60368</x:v>
      </x:c>
      <x:c r="D119" t="n">
        <x:v>0.52872</x:v>
      </x:c>
      <x:c r="E119" t="n">
        <x:v>23.66</x:v>
      </x:c>
      <x:c r="F119" t="n">
        <x:v>268.01061</x:v>
      </x:c>
      <x:c r="G119" t="n">
        <x:v>1.13751</x:v>
      </x:c>
      <x:c r="H119" t="n">
        <x:v>27.97</x:v>
      </x:c>
      <x:c r="I119" t="n">
        <x:v>268.02559</x:v>
      </x:c>
      <x:c r="J119" t="n">
        <x:v>3.08704</x:v>
      </x:c>
      <x:c r="K119" t="n">
        <x:v>35.96</x:v>
      </x:c>
      <x:c r="L119" t="n">
        <x:v>267.90496</x:v>
      </x:c>
      <x:c r="M119" t="n">
        <x:v>0.19604</x:v>
      </x:c>
      <x:c r="N119" t="n">
        <x:v>268.01061</x:v>
      </x:c>
      <x:c r="O119" t="n">
        <x:v>1.13751</x:v>
      </x:c>
      <x:c r="P119" t="n">
        <x:v>268.02559</x:v>
      </x:c>
      <x:c r="Q119" t="n">
        <x:v>3.08704</x:v>
      </x:c>
      <x:c r="R119" t="n">
        <x:v>268.02342</x:v>
      </x:c>
      <x:c r="S119" t="n">
        <x:v>0.02342</x:v>
      </x:c>
      <x:c r="T119" t="n">
        <x:v>0.18932</x:v>
      </x:c>
      <x:c r="U119" t="n">
        <x:v>1.13751</x:v>
      </x:c>
      <x:c r="V119" t="n">
        <x:v>3.08704</x:v>
      </x:c>
      <x:c r="W119" t="n">
        <x:v>3.29539</x:v>
      </x:c>
      <x:c r="X119" t="n">
        <x:v>34.38</x:v>
      </x:c>
      <x:c r="Y119" t="str">
        <x:v>Z</x:v>
      </x:c>
      <x:c r="Z119" t="n">
        <x:v>0.24275</x:v>
      </x:c>
      <x:c r="AA119" t="n">
        <x:v>-4.88</x:v>
      </x:c>
      <x:c r="AB119" t="n">
        <x:v>0.211</x:v>
      </x:c>
      <x:c r="AC119" t="n">
        <x:v>7</x:v>
      </x:c>
      <x:c r="AD119" t="n">
        <x:v>1.34242</x:v>
      </x:c>
      <x:c r="AE119" t="n">
        <x:v>8.82</x:v>
      </x:c>
      <x:c r="AF119" t="n">
        <x:v>0.733</x:v>
      </x:c>
      <x:c r="AG119" t="n">
        <x:v>2</x:v>
      </x:c>
      <x:c r="AH119" t="n">
        <x:v>3.72347</x:v>
      </x:c>
      <x:c r="AI119" t="n">
        <x:v>1.97</x:v>
      </x:c>
      <x:c r="AJ119" t="n">
        <x:v>0.887</x:v>
      </x:c>
      <x:c r="AK119" t="n">
        <x:v>0.55</x:v>
      </x:c>
      <x:c r="AL119" t="n">
        <x:v>3.96564</x:v>
      </x:c>
      <x:c r="AM119" t="n">
        <x:v>0.31</x:v>
      </x:c>
      <x:c r="AN119" t="n">
        <x:v>0.0612</x:v>
      </x:c>
      <x:c r="AO119" t="n">
        <x:v>0.3385</x:v>
      </x:c>
      <x:c r="AP119" t="n">
        <x:v>0.9389</x:v>
      </x:c>
      <x:c r="AQ119" t="n">
        <x:v>1</x:v>
      </x:c>
      <x:c r="AR119" t="n">
        <x:v>0.3605292912256578</x:v>
      </x:c>
      <x:c r="AS119" t="n">
        <x:v>0.0037470708441137207</x:v>
      </x:c>
      <x:c r="AT119" t="n">
        <x:v>0.11459093280335281</x:v>
      </x:c>
      <x:c r="AU119" t="n">
        <x:v>0.8815950543662306</x:v>
      </x:c>
      <x:c r="AV119" t="str">
        <x:v>YES</x:v>
      </x:c>
    </x:row>
    <x:row r="120">
      <x:c r="A120" t="n">
        <x:v>268</x:v>
      </x:c>
      <x:c r="B120" t="n">
        <x:v>27</x:v>
      </x:c>
      <x:c r="C120" t="n">
        <x:v>296.83131</x:v>
      </x:c>
      <x:c r="D120" t="n">
        <x:v>0.57598</x:v>
      </x:c>
      <x:c r="E120" t="n">
        <x:v>24.1</x:v>
      </x:c>
      <x:c r="F120" t="n">
        <x:v>267.98387</x:v>
      </x:c>
      <x:c r="G120" t="n">
        <x:v>0.96922</x:v>
      </x:c>
      <x:c r="H120" t="n">
        <x:v>26.8</x:v>
      </x:c>
      <x:c r="I120" t="n">
        <x:v>268.01561</x:v>
      </x:c>
      <x:c r="J120" t="n">
        <x:v>3.72002</x:v>
      </x:c>
      <x:c r="K120" t="n">
        <x:v>36.83</x:v>
      </x:c>
      <x:c r="L120" t="n">
        <x:v>268.02737</x:v>
      </x:c>
      <x:c r="M120" t="n">
        <x:v>0.24022</x:v>
      </x:c>
      <x:c r="N120" t="n">
        <x:v>267.98387</x:v>
      </x:c>
      <x:c r="O120" t="n">
        <x:v>0.96922</x:v>
      </x:c>
      <x:c r="P120" t="n">
        <x:v>268.01561</x:v>
      </x:c>
      <x:c r="Q120" t="n">
        <x:v>3.72002</x:v>
      </x:c>
      <x:c r="R120" t="n">
        <x:v>268.01364</x:v>
      </x:c>
      <x:c r="S120" t="n">
        <x:v>0.01364</x:v>
      </x:c>
      <x:c r="T120" t="n">
        <x:v>0.24022</x:v>
      </x:c>
      <x:c r="U120" t="n">
        <x:v>0.96922</x:v>
      </x:c>
      <x:c r="V120" t="n">
        <x:v>3.72002</x:v>
      </x:c>
      <x:c r="W120" t="n">
        <x:v>3.85171</x:v>
      </x:c>
      <x:c r="X120" t="n">
        <x:v>34.54</x:v>
      </x:c>
      <x:c r="Y120" t="str">
        <x:v>Z</x:v>
      </x:c>
      <x:c r="Z120" t="n">
        <x:v>0.289</x:v>
      </x:c>
      <x:c r="AA120" t="n">
        <x:v>-8.61</x:v>
      </x:c>
      <x:c r="AB120" t="n">
        <x:v>0.249</x:v>
      </x:c>
      <x:c r="AC120" t="n">
        <x:v>9.11</x:v>
      </x:c>
      <x:c r="AD120" t="n">
        <x:v>1.23524</x:v>
      </x:c>
      <x:c r="AE120" t="n">
        <x:v>19.3</x:v>
      </x:c>
      <x:c r="AF120" t="n">
        <x:v>0.708</x:v>
      </x:c>
      <x:c r="AG120" t="n">
        <x:v>3.43</x:v>
      </x:c>
      <x:c r="AH120" t="n">
        <x:v>4.40504</x:v>
      </x:c>
      <x:c r="AI120" t="n">
        <x:v>0.69</x:v>
      </x:c>
      <x:c r="AJ120" t="n">
        <x:v>0.902</x:v>
      </x:c>
      <x:c r="AK120" t="n">
        <x:v>0.53</x:v>
      </x:c>
      <x:c r="AL120" t="n">
        <x:v>4.58428</x:v>
      </x:c>
      <x:c r="AM120" t="n">
        <x:v>0.52</x:v>
      </x:c>
      <x:c r="AN120" t="n">
        <x:v>0.063</x:v>
      </x:c>
      <x:c r="AO120" t="n">
        <x:v>0.2695</x:v>
      </x:c>
      <x:c r="AP120" t="n">
        <x:v>0.9609</x:v>
      </x:c>
      <x:c r="AQ120" t="n">
        <x:v>1</x:v>
      </x:c>
      <x:c r="AR120" t="n">
        <x:v>0.2804151608157928</x:v>
      </x:c>
      <x:c r="AS120" t="n">
        <x:v>0.003974233813075668</x:v>
      </x:c>
      <x:c r="AT120" t="n">
        <x:v>0.0726039789067252</x:v>
      </x:c>
      <x:c r="AU120" t="n">
        <x:v>0.9233310519644173</x:v>
      </x:c>
      <x:c r="AV120" t="str">
        <x:v>YES</x:v>
      </x:c>
    </x:row>
    <x:row r="121">
      <x:c r="A121" t="n">
        <x:v>268</x:v>
      </x:c>
      <x:c r="B121" t="n">
        <x:v>29</x:v>
      </x:c>
      <x:c r="C121" t="n">
        <x:v>210.37907</x:v>
      </x:c>
      <x:c r="D121" t="n">
        <x:v>0.45116</x:v>
      </x:c>
      <x:c r="E121" t="n">
        <x:v>20.95</x:v>
      </x:c>
      <x:c r="F121" t="n">
        <x:v>268.00962</x:v>
      </x:c>
      <x:c r="G121" t="n">
        <x:v>0.97053</x:v>
      </x:c>
      <x:c r="H121" t="n">
        <x:v>25.6</x:v>
      </x:c>
      <x:c r="I121" t="n">
        <x:v>268.02954</x:v>
      </x:c>
      <x:c r="J121" t="n">
        <x:v>4.28934</x:v>
      </x:c>
      <x:c r="K121" t="n">
        <x:v>37.36</x:v>
      </x:c>
      <x:c r="L121" t="n">
        <x:v>268.08419</x:v>
      </x:c>
      <x:c r="M121" t="n">
        <x:v>0.28568</x:v>
      </x:c>
      <x:c r="N121" t="n">
        <x:v>268.00962</x:v>
      </x:c>
      <x:c r="O121" t="n">
        <x:v>0.97053</x:v>
      </x:c>
      <x:c r="P121" t="n">
        <x:v>268.02954</x:v>
      </x:c>
      <x:c r="Q121" t="n">
        <x:v>4.28934</x:v>
      </x:c>
      <x:c r="R121" t="n">
        <x:v>268.0288</x:v>
      </x:c>
      <x:c r="S121" t="n">
        <x:v>0.0288</x:v>
      </x:c>
      <x:c r="T121" t="n">
        <x:v>0.28568</x:v>
      </x:c>
      <x:c r="U121" t="n">
        <x:v>0.97053</x:v>
      </x:c>
      <x:c r="V121" t="n">
        <x:v>4.28934</x:v>
      </x:c>
      <x:c r="W121" t="n">
        <x:v>4.40704</x:v>
      </x:c>
      <x:c r="X121" t="n">
        <x:v>36.35</x:v>
      </x:c>
      <x:c r="Y121" t="str">
        <x:v>Z</x:v>
      </x:c>
      <x:c r="Z121" t="n">
        <x:v>0.32707</x:v>
      </x:c>
      <x:c r="AA121" t="n">
        <x:v>-11.22</x:v>
      </x:c>
      <x:c r="AB121" t="n">
        <x:v>0.26</x:v>
      </x:c>
      <x:c r="AC121" t="n">
        <x:v>4.99</x:v>
      </x:c>
      <x:c r="AD121" t="n">
        <x:v>1.15971</x:v>
      </x:c>
      <x:c r="AE121" t="n">
        <x:v>33.33</x:v>
      </x:c>
      <x:c r="AF121" t="n">
        <x:v>0.644</x:v>
      </x:c>
      <x:c r="AG121" t="n">
        <x:v>3.04</x:v>
      </x:c>
      <x:c r="AH121" t="n">
        <x:v>5.11903</x:v>
      </x:c>
      <x:c r="AI121" t="n">
        <x:v>-2.39</x:v>
      </x:c>
      <x:c r="AJ121" t="n">
        <x:v>0.913</x:v>
      </x:c>
      <x:c r="AK121" t="n">
        <x:v>0.59</x:v>
      </x:c>
      <x:c r="AL121" t="n">
        <x:v>5.25905</x:v>
      </x:c>
      <x:c r="AM121" t="n">
        <x:v>0.58</x:v>
      </x:c>
      <x:c r="AN121" t="n">
        <x:v>0.0622</x:v>
      </x:c>
      <x:c r="AO121" t="n">
        <x:v>0.2205</x:v>
      </x:c>
      <x:c r="AP121" t="n">
        <x:v>0.9734</x:v>
      </x:c>
      <x:c r="AQ121" t="n">
        <x:v>1</x:v>
      </x:c>
      <x:c r="AR121" t="n">
        <x:v>0.22654877974928841</x:v>
      </x:c>
      <x:c r="AS121" t="n">
        <x:v>0.0038678250535960305</x:v>
      </x:c>
      <x:c r="AT121" t="n">
        <x:v>0.048627753255775376</x:v>
      </x:c>
      <x:c r="AU121" t="n">
        <x:v>0.9474597073158688</x:v>
      </x:c>
      <x:c r="AV121" t="str">
        <x:v>YES</x:v>
      </x:c>
    </x:row>
    <x:row r="122">
      <x:c r="A122" t="n">
        <x:v>270</x:v>
      </x:c>
      <x:c r="B122" t="n">
        <x:v>1</x:v>
      </x:c>
      <x:c r="C122" t="n">
        <x:v>580.99286</x:v>
      </x:c>
      <x:c r="D122" t="n">
        <x:v>0.22901</x:v>
      </x:c>
      <x:c r="E122" t="n">
        <x:v>22.29</x:v>
      </x:c>
      <x:c r="F122" t="n">
        <x:v>417.44351</x:v>
      </x:c>
      <x:c r="G122" t="n">
        <x:v>0.35716</x:v>
      </x:c>
      <x:c r="H122" t="n">
        <x:v>25</x:v>
      </x:c>
      <x:c r="I122" t="n">
        <x:v>540.07858</x:v>
      </x:c>
      <x:c r="J122" t="n">
        <x:v>0.13893</x:v>
      </x:c>
      <x:c r="K122" t="n">
        <x:v>19.6</x:v>
      </x:c>
      <x:c r="L122" t="n">
        <x:v>261.71875</x:v>
      </x:c>
      <x:c r="M122" t="n">
        <x:v>0.01516</x:v>
      </x:c>
      <x:c r="N122" t="n">
        <x:v>270.29639</x:v>
      </x:c>
      <x:c r="O122" t="n">
        <x:v>0.02247</x:v>
      </x:c>
      <x:c r="P122" t="n">
        <x:v>267.11289</x:v>
      </x:c>
      <x:c r="Q122" t="n">
        <x:v>0.02189</x:v>
      </x:c>
      <x:c r="R122" t="n">
        <x:v>271.5294</x:v>
      </x:c>
      <x:c r="S122" t="n">
        <x:v>1.5294</x:v>
      </x:c>
      <x:c r="T122" t="n">
        <x:v>0.01509</x:v>
      </x:c>
      <x:c r="U122" t="n">
        <x:v>0.01681</x:v>
      </x:c>
      <x:c r="V122" t="n">
        <x:v>0.01515</x:v>
      </x:c>
      <x:c r="W122" t="n">
        <x:v>0.0272</x:v>
      </x:c>
      <x:c r="X122" t="n">
        <x:v>2.71</x:v>
      </x:c>
      <x:c r="Y122" t="str">
        <x:v>Y</x:v>
      </x:c>
      <x:c r="Z122" t="n">
        <x:v>0.01631</x:v>
      </x:c>
      <x:c r="AA122" t="n">
        <x:v>45.96</x:v>
      </x:c>
      <x:c r="AB122" t="n">
        <x:v>0.03</x:v>
      </x:c>
      <x:c r="AC122" t="n">
        <x:v>53.5</x:v>
      </x:c>
      <x:c r="AD122" t="n">
        <x:v>0.01999</x:v>
      </x:c>
      <x:c r="AE122" t="n">
        <x:v>-33.49</x:v>
      </x:c>
      <x:c r="AF122" t="n">
        <x:v>0.028</x:v>
      </x:c>
      <x:c r="AG122" t="n">
        <x:v>34.98</x:v>
      </x:c>
      <x:c r="AH122" t="n">
        <x:v>0.03403</x:v>
      </x:c>
      <x:c r="AI122" t="n">
        <x:v>171.66</x:v>
      </x:c>
      <x:c r="AJ122" t="n">
        <x:v>0.087</x:v>
      </x:c>
      <x:c r="AK122" t="n">
        <x:v>40.1</x:v>
      </x:c>
      <x:c r="AL122" t="n">
        <x:v>0.04503</x:v>
      </x:c>
      <x:c r="AM122" t="n">
        <x:v>16.51</x:v>
      </x:c>
      <x:c r="AN122" t="n">
        <x:v>0.3621</x:v>
      </x:c>
      <x:c r="AO122" t="n">
        <x:v>0.4439</x:v>
      </x:c>
      <x:c r="AP122" t="n">
        <x:v>0.7556</x:v>
      </x:c>
      <x:c r="AQ122" t="n">
        <x:v>0</x:v>
      </x:c>
      <x:c r="AR122" t="n">
        <x:v>0.587422862180429</x:v>
      </x:c>
      <x:c r="AS122" t="n">
        <x:v>0.1311909956739675</x:v>
      </x:c>
      <x:c r="AT122" t="n">
        <x:v>0.19707053441658975</x:v>
      </x:c>
      <x:c r="AU122" t="n">
        <x:v>0.5711103151357282</x:v>
      </x:c>
      <x:c r="AV122" t="str">
        <x:v>NO</x:v>
      </x:c>
    </x:row>
    <x:row r="123">
      <x:c r="A123" t="n">
        <x:v>270</x:v>
      </x:c>
      <x:c r="B123" t="n">
        <x:v>3</x:v>
      </x:c>
      <x:c r="C123" t="n">
        <x:v>187.76977</x:v>
      </x:c>
      <x:c r="D123" t="n">
        <x:v>0.4346</x:v>
      </x:c>
      <x:c r="E123" t="n">
        <x:v>24.26</x:v>
      </x:c>
      <x:c r="F123" t="n">
        <x:v>187.72175</x:v>
      </x:c>
      <x:c r="G123" t="n">
        <x:v>0.29777</x:v>
      </x:c>
      <x:c r="H123" t="n">
        <x:v>19.44</x:v>
      </x:c>
      <x:c r="I123" t="n">
        <x:v>270.15608</x:v>
      </x:c>
      <x:c r="J123" t="n">
        <x:v>0.16211</x:v>
      </x:c>
      <x:c r="K123" t="n">
        <x:v>20.09</x:v>
      </x:c>
      <x:c r="L123" t="n">
        <x:v>268.66752</x:v>
      </x:c>
      <x:c r="M123" t="n">
        <x:v>0.0277</x:v>
      </x:c>
      <x:c r="N123" t="n">
        <x:v>269.98461</x:v>
      </x:c>
      <x:c r="O123" t="n">
        <x:v>0.17391</x:v>
      </x:c>
      <x:c r="P123" t="n">
        <x:v>270.15608</x:v>
      </x:c>
      <x:c r="Q123" t="n">
        <x:v>0.16211</x:v>
      </x:c>
      <x:c r="R123" t="n">
        <x:v>270.06066</x:v>
      </x:c>
      <x:c r="S123" t="n">
        <x:v>0.06066</x:v>
      </x:c>
      <x:c r="T123" t="n">
        <x:v>0.02248</x:v>
      </x:c>
      <x:c r="U123" t="n">
        <x:v>0.17391</x:v>
      </x:c>
      <x:c r="V123" t="n">
        <x:v>0.16211</x:v>
      </x:c>
      <x:c r="W123" t="n">
        <x:v>0.23881</x:v>
      </x:c>
      <x:c r="X123" t="n">
        <x:v>20.89</x:v>
      </x:c>
      <x:c r="Y123" t="str">
        <x:v>Y</x:v>
      </x:c>
      <x:c r="Z123" t="n">
        <x:v>0.02342</x:v>
      </x:c>
      <x:c r="AA123" t="n">
        <x:v>-0.54</x:v>
      </x:c>
      <x:c r="AB123" t="n">
        <x:v>0.022</x:v>
      </x:c>
      <x:c r="AC123" t="n">
        <x:v>59.18</x:v>
      </x:c>
      <x:c r="AD123" t="n">
        <x:v>0.17539</x:v>
      </x:c>
      <x:c r="AE123" t="n">
        <x:v>-3.36</x:v>
      </x:c>
      <x:c r="AF123" t="n">
        <x:v>0.177</x:v>
      </x:c>
      <x:c r="AG123" t="n">
        <x:v>3.77</x:v>
      </x:c>
      <x:c r="AH123" t="n">
        <x:v>0.17614</x:v>
      </x:c>
      <x:c r="AI123" t="n">
        <x:v>14.5</x:v>
      </x:c>
      <x:c r="AJ123" t="n">
        <x:v>0.255</x:v>
      </x:c>
      <x:c r="AK123" t="n">
        <x:v>5.52</x:v>
      </x:c>
      <x:c r="AL123" t="n">
        <x:v>0.25002</x:v>
      </x:c>
      <x:c r="AM123" t="n">
        <x:v>4.21</x:v>
      </x:c>
      <x:c r="AN123" t="n">
        <x:v>0.0937</x:v>
      </x:c>
      <x:c r="AO123" t="n">
        <x:v>0.7015</x:v>
      </x:c>
      <x:c r="AP123" t="n">
        <x:v>0.7045</x:v>
      </x:c>
      <x:c r="AQ123" t="n">
        <x:v>1</x:v>
      </x:c>
      <x:c r="AR123" t="n">
        <x:v>0.9957420233904848</x:v>
      </x:c>
      <x:c r="AS123" t="n">
        <x:v>0.008774538417696121</x:v>
      </x:c>
      <x:c r="AT123" t="n">
        <x:v>0.49210769321959547</x:v>
      </x:c>
      <x:c r="AU123" t="n">
        <x:v>0.49632537836297935</x:v>
      </x:c>
      <x:c r="AV123" t="str">
        <x:v>NO</x:v>
      </x:c>
    </x:row>
    <x:row r="124">
      <x:c r="A124" t="n">
        <x:v>270</x:v>
      </x:c>
      <x:c r="B124" t="n">
        <x:v>5</x:v>
      </x:c>
      <x:c r="C124" t="n">
        <x:v>310.96233</x:v>
      </x:c>
      <x:c r="D124" t="n">
        <x:v>0.31584</x:v>
      </x:c>
      <x:c r="E124" t="n">
        <x:v>21.06</x:v>
      </x:c>
      <x:c r="F124" t="n">
        <x:v>417.19201</x:v>
      </x:c>
      <x:c r="G124" t="n">
        <x:v>0.38929</x:v>
      </x:c>
      <x:c r="H124" t="n">
        <x:v>20.3</x:v>
      </x:c>
      <x:c r="I124" t="n">
        <x:v>270.10478</x:v>
      </x:c>
      <x:c r="J124" t="n">
        <x:v>0.39153</x:v>
      </x:c>
      <x:c r="K124" t="n">
        <x:v>26.61</x:v>
      </x:c>
      <x:c r="L124" t="n">
        <x:v>270.25776</x:v>
      </x:c>
      <x:c r="M124" t="n">
        <x:v>0.03349</x:v>
      </x:c>
      <x:c r="N124" t="n">
        <x:v>270.12485</x:v>
      </x:c>
      <x:c r="O124" t="n">
        <x:v>0.38088</x:v>
      </x:c>
      <x:c r="P124" t="n">
        <x:v>270.10478</x:v>
      </x:c>
      <x:c r="Q124" t="n">
        <x:v>0.39153</x:v>
      </x:c>
      <x:c r="R124" t="n">
        <x:v>270.11535</x:v>
      </x:c>
      <x:c r="S124" t="n">
        <x:v>0.11535</x:v>
      </x:c>
      <x:c r="T124" t="n">
        <x:v>0.03349</x:v>
      </x:c>
      <x:c r="U124" t="n">
        <x:v>0.38088</x:v>
      </x:c>
      <x:c r="V124" t="n">
        <x:v>0.39153</x:v>
      </x:c>
      <x:c r="W124" t="n">
        <x:v>0.54725</x:v>
      </x:c>
      <x:c r="X124" t="n">
        <x:v>26.94</x:v>
      </x:c>
      <x:c r="Y124" t="str">
        <x:v>Z</x:v>
      </x:c>
      <x:c r="Z124" t="n">
        <x:v>0.03456</x:v>
      </x:c>
      <x:c r="AA124" t="n">
        <x:v>27.51</x:v>
      </x:c>
      <x:c r="AB124" t="n">
        <x:v>0.041</x:v>
      </x:c>
      <x:c r="AC124" t="n">
        <x:v>64.72</x:v>
      </x:c>
      <x:c r="AD124" t="n">
        <x:v>0.42319</x:v>
      </x:c>
      <x:c r="AE124" t="n">
        <x:v>-3.46</x:v>
      </x:c>
      <x:c r="AF124" t="n">
        <x:v>0.376</x:v>
      </x:c>
      <x:c r="AG124" t="n">
        <x:v>4.65</x:v>
      </x:c>
      <x:c r="AH124" t="n">
        <x:v>0.37833</x:v>
      </x:c>
      <x:c r="AI124" t="n">
        <x:v>11.72</x:v>
      </x:c>
      <x:c r="AJ124" t="n">
        <x:v>0.577</x:v>
      </x:c>
      <x:c r="AK124" t="n">
        <x:v>7.38</x:v>
      </x:c>
      <x:c r="AL124" t="n">
        <x:v>0.5695</x:v>
      </x:c>
      <x:c r="AM124" t="n">
        <x:v>4.03</x:v>
      </x:c>
      <x:c r="AN124" t="n">
        <x:v>0.0607</x:v>
      </x:c>
      <x:c r="AO124" t="n">
        <x:v>0.7431</x:v>
      </x:c>
      <x:c r="AP124" t="n">
        <x:v>0.6643</x:v>
      </x:c>
      <x:c r="AQ124" t="n">
        <x:v>1</x:v>
      </x:c>
      <x:c r="AR124" t="n">
        <x:v>1.1185737319271536</x:v>
      </x:c>
      <x:c r="AS124" t="n">
        <x:v>0.0036826463149829533</x:v>
      </x:c>
      <x:c r="AT124" t="n">
        <x:v>0.5521833874576917</x:v>
      </x:c>
      <x:c r="AU124" t="n">
        <x:v>0.4413205024816526</x:v>
      </x:c>
      <x:c r="AV124" t="str">
        <x:v>NO</x:v>
      </x:c>
    </x:row>
    <x:row r="125">
      <x:c r="A125" t="n">
        <x:v>270</x:v>
      </x:c>
      <x:c r="B125" t="n">
        <x:v>7</x:v>
      </x:c>
      <x:c r="C125" t="n">
        <x:v>311.01682</x:v>
      </x:c>
      <x:c r="D125" t="n">
        <x:v>0.37807</x:v>
      </x:c>
      <x:c r="E125" t="n">
        <x:v>22.06</x:v>
      </x:c>
      <x:c r="F125" t="n">
        <x:v>270.08207</x:v>
      </x:c>
      <x:c r="G125" t="n">
        <x:v>0.61867</x:v>
      </x:c>
      <x:c r="H125" t="n">
        <x:v>24.94</x:v>
      </x:c>
      <x:c r="I125" t="n">
        <x:v>270.07216</x:v>
      </x:c>
      <x:c r="J125" t="n">
        <x:v>0.57307</x:v>
      </x:c>
      <x:c r="K125" t="n">
        <x:v>30.11</x:v>
      </x:c>
      <x:c r="L125" t="n">
        <x:v>269.99451</x:v>
      </x:c>
      <x:c r="M125" t="n">
        <x:v>0.05617</x:v>
      </x:c>
      <x:c r="N125" t="n">
        <x:v>270.08207</x:v>
      </x:c>
      <x:c r="O125" t="n">
        <x:v>0.61867</x:v>
      </x:c>
      <x:c r="P125" t="n">
        <x:v>270.07216</x:v>
      </x:c>
      <x:c r="Q125" t="n">
        <x:v>0.57307</x:v>
      </x:c>
      <x:c r="R125" t="n">
        <x:v>270.07768</x:v>
      </x:c>
      <x:c r="S125" t="n">
        <x:v>0.07768</x:v>
      </x:c>
      <x:c r="T125" t="n">
        <x:v>0.05617</x:v>
      </x:c>
      <x:c r="U125" t="n">
        <x:v>0.61867</x:v>
      </x:c>
      <x:c r="V125" t="n">
        <x:v>0.57307</x:v>
      </x:c>
      <x:c r="W125" t="n">
        <x:v>0.84517</x:v>
      </x:c>
      <x:c r="X125" t="n">
        <x:v>30.15</x:v>
      </x:c>
      <x:c r="Y125" t="str">
        <x:v>Y</x:v>
      </x:c>
      <x:c r="Z125" t="n">
        <x:v>0.06715</x:v>
      </x:c>
      <x:c r="AA125" t="n">
        <x:v>16.68</x:v>
      </x:c>
      <x:c r="AB125" t="n">
        <x:v>0.071</x:v>
      </x:c>
      <x:c r="AC125" t="n">
        <x:v>47.12</x:v>
      </x:c>
      <x:c r="AD125" t="n">
        <x:v>0.63433</x:v>
      </x:c>
      <x:c r="AE125" t="n">
        <x:v>-4.25</x:v>
      </x:c>
      <x:c r="AF125" t="n">
        <x:v>0.526</x:v>
      </x:c>
      <x:c r="AG125" t="n">
        <x:v>3.13</x:v>
      </x:c>
      <x:c r="AH125" t="n">
        <x:v>0.60403</x:v>
      </x:c>
      <x:c r="AI125" t="n">
        <x:v>14.84</x:v>
      </x:c>
      <x:c r="AJ125" t="n">
        <x:v>0.74</x:v>
      </x:c>
      <x:c r="AK125" t="n">
        <x:v>1.1</x:v>
      </x:c>
      <x:c r="AL125" t="n">
        <x:v>0.87908</x:v>
      </x:c>
      <x:c r="AM125" t="n">
        <x:v>1.42</x:v>
      </x:c>
      <x:c r="AN125" t="n">
        <x:v>0.0764</x:v>
      </x:c>
      <x:c r="AO125" t="n">
        <x:v>0.7216</x:v>
      </x:c>
      <x:c r="AP125" t="n">
        <x:v>0.6871</x:v>
      </x:c>
      <x:c r="AQ125" t="n">
        <x:v>1</x:v>
      </x:c>
      <x:c r="AR125" t="n">
        <x:v>1.0501630713706274</x:v>
      </x:c>
      <x:c r="AS125" t="n">
        <x:v>0.005834924420120132</x:v>
      </x:c>
      <x:c r="AT125" t="n">
        <x:v>0.5206833660898393</x:v>
      </x:c>
      <x:c r="AU125" t="n">
        <x:v>0.47212850175681914</x:v>
      </x:c>
      <x:c r="AV125" t="str">
        <x:v>NO</x:v>
      </x:c>
    </x:row>
    <x:row r="126">
      <x:c r="A126" t="n">
        <x:v>270</x:v>
      </x:c>
      <x:c r="B126" t="n">
        <x:v>9</x:v>
      </x:c>
      <x:c r="C126" t="n">
        <x:v>311.10646</x:v>
      </x:c>
      <x:c r="D126" t="n">
        <x:v>0.47517</x:v>
      </x:c>
      <x:c r="E126" t="n">
        <x:v>24.19</x:v>
      </x:c>
      <x:c r="F126" t="n">
        <x:v>270.118</x:v>
      </x:c>
      <x:c r="G126" t="n">
        <x:v>0.83312</x:v>
      </x:c>
      <x:c r="H126" t="n">
        <x:v>26.29</x:v>
      </x:c>
      <x:c r="I126" t="n">
        <x:v>270.06575</x:v>
      </x:c>
      <x:c r="J126" t="n">
        <x:v>0.79747</x:v>
      </x:c>
      <x:c r="K126" t="n">
        <x:v>31.69</x:v>
      </x:c>
      <x:c r="L126" t="n">
        <x:v>269.47761</x:v>
      </x:c>
      <x:c r="M126" t="n">
        <x:v>0.05191</x:v>
      </x:c>
      <x:c r="N126" t="n">
        <x:v>270.118</x:v>
      </x:c>
      <x:c r="O126" t="n">
        <x:v>0.83312</x:v>
      </x:c>
      <x:c r="P126" t="n">
        <x:v>270.06575</x:v>
      </x:c>
      <x:c r="Q126" t="n">
        <x:v>0.79747</x:v>
      </x:c>
      <x:c r="R126" t="n">
        <x:v>270.09238</x:v>
      </x:c>
      <x:c r="S126" t="n">
        <x:v>0.09238</x:v>
      </x:c>
      <x:c r="T126" t="n">
        <x:v>0.05063</x:v>
      </x:c>
      <x:c r="U126" t="n">
        <x:v>0.83312</x:v>
      </x:c>
      <x:c r="V126" t="n">
        <x:v>0.79747</x:v>
      </x:c>
      <x:c r="W126" t="n">
        <x:v>1.15438</x:v>
      </x:c>
      <x:c r="X126" t="n">
        <x:v>31.86</x:v>
      </x:c>
      <x:c r="Y126" t="str">
        <x:v>Y</x:v>
      </x:c>
      <x:c r="Z126" t="n">
        <x:v>0.08289</x:v>
      </x:c>
      <x:c r="AA126" t="n">
        <x:v>36.31</x:v>
      </x:c>
      <x:c r="AB126" t="n">
        <x:v>0.085</x:v>
      </x:c>
      <x:c r="AC126" t="n">
        <x:v>45.03</x:v>
      </x:c>
      <x:c r="AD126" t="n">
        <x:v>0.85015</x:v>
      </x:c>
      <x:c r="AE126" t="n">
        <x:v>-4.93</x:v>
      </x:c>
      <x:c r="AF126" t="n">
        <x:v>0.569</x:v>
      </x:c>
      <x:c r="AG126" t="n">
        <x:v>4.55</x:v>
      </x:c>
      <x:c r="AH126" t="n">
        <x:v>0.83413</x:v>
      </x:c>
      <x:c r="AI126" t="n">
        <x:v>15.86</x:v>
      </x:c>
      <x:c r="AJ126" t="n">
        <x:v>0.815</x:v>
      </x:c>
      <x:c r="AK126" t="n">
        <x:v>2.95</x:v>
      </x:c>
      <x:c r="AL126" t="n">
        <x:v>1.19487</x:v>
      </x:c>
      <x:c r="AM126" t="n">
        <x:v>2.06</x:v>
      </x:c>
      <x:c r="AN126" t="n">
        <x:v>0.0694</x:v>
      </x:c>
      <x:c r="AO126" t="n">
        <x:v>0.7115</x:v>
      </x:c>
      <x:c r="AP126" t="n">
        <x:v>0.6981</x:v>
      </x:c>
      <x:c r="AQ126" t="n">
        <x:v>1</x:v>
      </x:c>
      <x:c r="AR126" t="n">
        <x:v>1.0192056394087252</x:v>
      </x:c>
      <x:c r="AS126" t="n">
        <x:v>0.004812413813232947</x:v>
      </x:c>
      <x:c r="AT126" t="n">
        <x:v>0.5062322440453773</x:v>
      </x:c>
      <x:c r="AU126" t="n">
        <x:v>0.4873333892250471</x:v>
      </x:c>
      <x:c r="AV126" t="str">
        <x:v>YES</x:v>
      </x:c>
    </x:row>
    <x:row r="127">
      <x:c r="A127" t="n">
        <x:v>270</x:v>
      </x:c>
      <x:c r="B127" t="n">
        <x:v>11</x:v>
      </x:c>
      <x:c r="C127" t="n">
        <x:v>311.00345</x:v>
      </x:c>
      <x:c r="D127" t="n">
        <x:v>0.4954</x:v>
      </x:c>
      <x:c r="E127" t="n">
        <x:v>24.02</x:v>
      </x:c>
      <x:c r="F127" t="n">
        <x:v>270.08556</x:v>
      </x:c>
      <x:c r="G127" t="n">
        <x:v>0.99801</x:v>
      </x:c>
      <x:c r="H127" t="n">
        <x:v>27.88</x:v>
      </x:c>
      <x:c r="I127" t="n">
        <x:v>270.09641</x:v>
      </x:c>
      <x:c r="J127" t="n">
        <x:v>1.06262</x:v>
      </x:c>
      <x:c r="K127" t="n">
        <x:v>33.33</x:v>
      </x:c>
      <x:c r="L127" t="n">
        <x:v>269.62346</x:v>
      </x:c>
      <x:c r="M127" t="n">
        <x:v>0.05773</x:v>
      </x:c>
      <x:c r="N127" t="n">
        <x:v>270.08556</x:v>
      </x:c>
      <x:c r="O127" t="n">
        <x:v>0.99801</x:v>
      </x:c>
      <x:c r="P127" t="n">
        <x:v>270.09641</x:v>
      </x:c>
      <x:c r="Q127" t="n">
        <x:v>1.06262</x:v>
      </x:c>
      <x:c r="R127" t="n">
        <x:v>270.09111</x:v>
      </x:c>
      <x:c r="S127" t="n">
        <x:v>0.09111</x:v>
      </x:c>
      <x:c r="T127" t="n">
        <x:v>0.05773</x:v>
      </x:c>
      <x:c r="U127" t="n">
        <x:v>0.99801</x:v>
      </x:c>
      <x:c r="V127" t="n">
        <x:v>1.06262</x:v>
      </x:c>
      <x:c r="W127" t="n">
        <x:v>1.45894</x:v>
      </x:c>
      <x:c r="X127" t="n">
        <x:v>37.12</x:v>
      </x:c>
      <x:c r="Y127" t="str">
        <x:v>Z</x:v>
      </x:c>
      <x:c r="Z127" t="n">
        <x:v>0.08926</x:v>
      </x:c>
      <x:c r="AA127" t="n">
        <x:v>37.53</x:v>
      </x:c>
      <x:c r="AB127" t="n">
        <x:v>0.077</x:v>
      </x:c>
      <x:c r="AC127" t="n">
        <x:v>35.62</x:v>
      </x:c>
      <x:c r="AD127" t="n">
        <x:v>1.02982</x:v>
      </x:c>
      <x:c r="AE127" t="n">
        <x:v>-8.59</x:v>
      </x:c>
      <x:c r="AF127" t="n">
        <x:v>0.655</x:v>
      </x:c>
      <x:c r="AG127" t="n">
        <x:v>2.1</x:v>
      </x:c>
      <x:c r="AH127" t="n">
        <x:v>1.09421</x:v>
      </x:c>
      <x:c r="AI127" t="n">
        <x:v>16.38</x:v>
      </x:c>
      <x:c r="AJ127" t="n">
        <x:v>0.869</x:v>
      </x:c>
      <x:c r="AK127" t="n">
        <x:v>1.51</x:v>
      </x:c>
      <x:c r="AL127" t="n">
        <x:v>1.50555</x:v>
      </x:c>
      <x:c r="AM127" t="n">
        <x:v>1.69</x:v>
      </x:c>
      <x:c r="AN127" t="n">
        <x:v>0.0593</x:v>
      </x:c>
      <x:c r="AO127" t="n">
        <x:v>0.684</x:v>
      </x:c>
      <x:c r="AP127" t="n">
        <x:v>0.7268</x:v>
      </x:c>
      <x:c r="AQ127" t="n">
        <x:v>1</x:v>
      </x:c>
      <x:c r="AR127" t="n">
        <x:v>0.9411538918489138</x:v>
      </x:c>
      <x:c r="AS127" t="n">
        <x:v>0.0035149843732794404</x:v>
      </x:c>
      <x:c r="AT127" t="n">
        <x:v>0.46787762583523274</x:v>
      </x:c>
      <x:c r="AU127" t="n">
        <x:v>0.528215319413065</x:v>
      </x:c>
      <x:c r="AV127" t="str">
        <x:v>YES</x:v>
      </x:c>
    </x:row>
    <x:row r="128">
      <x:c r="A128" t="n">
        <x:v>270</x:v>
      </x:c>
      <x:c r="B128" t="n">
        <x:v>13</x:v>
      </x:c>
      <x:c r="C128" t="n">
        <x:v>187.61834</x:v>
      </x:c>
      <x:c r="D128" t="n">
        <x:v>0.50529</x:v>
      </x:c>
      <x:c r="E128" t="n">
        <x:v>25.22</x:v>
      </x:c>
      <x:c r="F128" t="n">
        <x:v>270.08805</x:v>
      </x:c>
      <x:c r="G128" t="n">
        <x:v>1.00094</x:v>
      </x:c>
      <x:c r="H128" t="n">
        <x:v>28.5</x:v>
      </x:c>
      <x:c r="I128" t="n">
        <x:v>270.08227</x:v>
      </x:c>
      <x:c r="J128" t="n">
        <x:v>1.49919</x:v>
      </x:c>
      <x:c r="K128" t="n">
        <x:v>34.75</x:v>
      </x:c>
      <x:c r="L128" t="n">
        <x:v>270.16374</x:v>
      </x:c>
      <x:c r="M128" t="n">
        <x:v>0.08615</x:v>
      </x:c>
      <x:c r="N128" t="n">
        <x:v>270.08805</x:v>
      </x:c>
      <x:c r="O128" t="n">
        <x:v>1.00094</x:v>
      </x:c>
      <x:c r="P128" t="n">
        <x:v>270.08227</x:v>
      </x:c>
      <x:c r="Q128" t="n">
        <x:v>1.49919</x:v>
      </x:c>
      <x:c r="R128" t="n">
        <x:v>270.08425</x:v>
      </x:c>
      <x:c r="S128" t="n">
        <x:v>0.08425</x:v>
      </x:c>
      <x:c r="T128" t="n">
        <x:v>0.08615</x:v>
      </x:c>
      <x:c r="U128" t="n">
        <x:v>1.00094</x:v>
      </x:c>
      <x:c r="V128" t="n">
        <x:v>1.49919</x:v>
      </x:c>
      <x:c r="W128" t="n">
        <x:v>1.80468</x:v>
      </x:c>
      <x:c r="X128" t="n">
        <x:v>35.77</x:v>
      </x:c>
      <x:c r="Y128" t="str">
        <x:v>Z</x:v>
      </x:c>
      <x:c r="Z128" t="n">
        <x:v>0.09631</x:v>
      </x:c>
      <x:c r="AA128" t="n">
        <x:v>12.55</x:v>
      </x:c>
      <x:c r="AB128" t="n">
        <x:v>0.099</x:v>
      </x:c>
      <x:c r="AC128" t="n">
        <x:v>37.78</x:v>
      </x:c>
      <x:c r="AD128" t="n">
        <x:v>1.04764</x:v>
      </x:c>
      <x:c r="AE128" t="n">
        <x:v>-9.25</x:v>
      </x:c>
      <x:c r="AF128" t="n">
        <x:v>0.697</x:v>
      </x:c>
      <x:c r="AG128" t="n">
        <x:v>4.62</x:v>
      </x:c>
      <x:c r="AH128" t="n">
        <x:v>1.54509</x:v>
      </x:c>
      <x:c r="AI128" t="n">
        <x:v>15.54</x:v>
      </x:c>
      <x:c r="AJ128" t="n">
        <x:v>0.881</x:v>
      </x:c>
      <x:c r="AK128" t="n">
        <x:v>2.29</x:v>
      </x:c>
      <x:c r="AL128" t="n">
        <x:v>1.87026</x:v>
      </x:c>
      <x:c r="AM128" t="n">
        <x:v>0.82</x:v>
      </x:c>
      <x:c r="AN128" t="n">
        <x:v>0.0515</x:v>
      </x:c>
      <x:c r="AO128" t="n">
        <x:v>0.5602</x:v>
      </x:c>
      <x:c r="AP128" t="n">
        <x:v>0.8261</x:v>
      </x:c>
      <x:c r="AQ128" t="n">
        <x:v>1</x:v>
      </x:c>
      <x:c r="AR128" t="n">
        <x:v>0.6780446446485318</x:v>
      </x:c>
      <x:c r="AS128" t="n">
        <x:v>0.0026517879613730724</x:v>
      </x:c>
      <x:c r="AT128" t="n">
        <x:v>0.31377632539961153</x:v>
      </x:c>
      <x:c r="AU128" t="n">
        <x:v>0.6825014720270816</x:v>
      </x:c>
      <x:c r="AV128" t="str">
        <x:v>YES</x:v>
      </x:c>
    </x:row>
    <x:row r="129">
      <x:c r="A129" t="n">
        <x:v>270</x:v>
      </x:c>
      <x:c r="B129" t="n">
        <x:v>15</x:v>
      </x:c>
      <x:c r="C129" t="n">
        <x:v>311.04782</x:v>
      </x:c>
      <x:c r="D129" t="n">
        <x:v>0.49108</x:v>
      </x:c>
      <x:c r="E129" t="n">
        <x:v>23.6</x:v>
      </x:c>
      <x:c r="F129" t="n">
        <x:v>270.09899</x:v>
      </x:c>
      <x:c r="G129" t="n">
        <x:v>0.73471</x:v>
      </x:c>
      <x:c r="H129" t="n">
        <x:v>24.72</x:v>
      </x:c>
      <x:c r="I129" t="n">
        <x:v>270.08852</x:v>
      </x:c>
      <x:c r="J129" t="n">
        <x:v>2.28552</x:v>
      </x:c>
      <x:c r="K129" t="n">
        <x:v>36.42</x:v>
      </x:c>
      <x:c r="L129" t="n">
        <x:v>270.10271</x:v>
      </x:c>
      <x:c r="M129" t="n">
        <x:v>0.19108</x:v>
      </x:c>
      <x:c r="N129" t="n">
        <x:v>270.09899</x:v>
      </x:c>
      <x:c r="O129" t="n">
        <x:v>0.73471</x:v>
      </x:c>
      <x:c r="P129" t="n">
        <x:v>270.08852</x:v>
      </x:c>
      <x:c r="Q129" t="n">
        <x:v>2.28552</x:v>
      </x:c>
      <x:c r="R129" t="n">
        <x:v>270.08962</x:v>
      </x:c>
      <x:c r="S129" t="n">
        <x:v>0.08962</x:v>
      </x:c>
      <x:c r="T129" t="n">
        <x:v>0.19108</x:v>
      </x:c>
      <x:c r="U129" t="n">
        <x:v>0.73471</x:v>
      </x:c>
      <x:c r="V129" t="n">
        <x:v>2.28552</x:v>
      </x:c>
      <x:c r="W129" t="n">
        <x:v>2.4083</x:v>
      </x:c>
      <x:c r="X129" t="n">
        <x:v>37.92</x:v>
      </x:c>
      <x:c r="Y129" t="str">
        <x:v>Z</x:v>
      </x:c>
      <x:c r="Z129" t="n">
        <x:v>0.24639</x:v>
      </x:c>
      <x:c r="AA129" t="n">
        <x:v>-5.2</x:v>
      </x:c>
      <x:c r="AB129" t="n">
        <x:v>0.23</x:v>
      </x:c>
      <x:c r="AC129" t="n">
        <x:v>13.69</x:v>
      </x:c>
      <x:c r="AD129" t="n">
        <x:v>0.72443</x:v>
      </x:c>
      <x:c r="AE129" t="n">
        <x:v>8.02</x:v>
      </x:c>
      <x:c r="AF129" t="n">
        <x:v>0.5</x:v>
      </x:c>
      <x:c r="AG129" t="n">
        <x:v>7.51</x:v>
      </x:c>
      <x:c r="AH129" t="n">
        <x:v>2.4024</x:v>
      </x:c>
      <x:c r="AI129" t="n">
        <x:v>5.65</x:v>
      </x:c>
      <x:c r="AJ129" t="n">
        <x:v>0.895</x:v>
      </x:c>
      <x:c r="AK129" t="n">
        <x:v>1.23</x:v>
      </x:c>
      <x:c r="AL129" t="n">
        <x:v>2.52202</x:v>
      </x:c>
      <x:c r="AM129" t="n">
        <x:v>0.92</x:v>
      </x:c>
      <x:c r="AN129" t="n">
        <x:v>0.0977</x:v>
      </x:c>
      <x:c r="AO129" t="n">
        <x:v>0.2872</x:v>
      </x:c>
      <x:c r="AP129" t="n">
        <x:v>0.9526</x:v>
      </x:c>
      <x:c r="AQ129" t="n">
        <x:v>1</x:v>
      </x:c>
      <x:c r="AR129" t="n">
        <x:v>0.30154428904428904</x:v>
      </x:c>
      <x:c r="AS129" t="n">
        <x:v>0.00954441033985262</x:v>
      </x:c>
      <x:c r="AT129" t="n">
        <x:v>0.08250795088312649</x:v>
      </x:c>
      <x:c r="AU129" t="n">
        <x:v>0.9073891581550666</x:v>
      </x:c>
      <x:c r="AV129" t="str">
        <x:v>YES</x:v>
      </x:c>
    </x:row>
    <x:row r="130">
      <x:c r="A130" t="n">
        <x:v>270</x:v>
      </x:c>
      <x:c r="B130" t="n">
        <x:v>17</x:v>
      </x:c>
      <x:c r="C130" t="n">
        <x:v>187.81253</x:v>
      </x:c>
      <x:c r="D130" t="n">
        <x:v>0.82592</x:v>
      </x:c>
      <x:c r="E130" t="n">
        <x:v>28.27</x:v>
      </x:c>
      <x:c r="F130" t="n">
        <x:v>270.10204</x:v>
      </x:c>
      <x:c r="G130" t="n">
        <x:v>0.65023</x:v>
      </x:c>
      <x:c r="H130" t="n">
        <x:v>23.52</x:v>
      </x:c>
      <x:c r="I130" t="n">
        <x:v>270.088</x:v>
      </x:c>
      <x:c r="J130" t="n">
        <x:v>3.1275</x:v>
      </x:c>
      <x:c r="K130" t="n">
        <x:v>38.27</x:v>
      </x:c>
      <x:c r="L130" t="n">
        <x:v>270.09871</x:v>
      </x:c>
      <x:c r="M130" t="n">
        <x:v>0.25826</x:v>
      </x:c>
      <x:c r="N130" t="n">
        <x:v>270.10204</x:v>
      </x:c>
      <x:c r="O130" t="n">
        <x:v>0.65023</x:v>
      </x:c>
      <x:c r="P130" t="n">
        <x:v>270.088</x:v>
      </x:c>
      <x:c r="Q130" t="n">
        <x:v>3.1275</x:v>
      </x:c>
      <x:c r="R130" t="n">
        <x:v>270.08865</x:v>
      </x:c>
      <x:c r="S130" t="n">
        <x:v>0.08865</x:v>
      </x:c>
      <x:c r="T130" t="n">
        <x:v>0.25826</x:v>
      </x:c>
      <x:c r="U130" t="n">
        <x:v>0.65023</x:v>
      </x:c>
      <x:c r="V130" t="n">
        <x:v>3.1275</x:v>
      </x:c>
      <x:c r="W130" t="n">
        <x:v>3.2048</x:v>
      </x:c>
      <x:c r="X130" t="n">
        <x:v>39.62</x:v>
      </x:c>
      <x:c r="Y130" t="str">
        <x:v>Z</x:v>
      </x:c>
      <x:c r="Z130" t="n">
        <x:v>0.27509</x:v>
      </x:c>
      <x:c r="AA130" t="n">
        <x:v>-16.18</x:v>
      </x:c>
      <x:c r="AB130" t="n">
        <x:v>0.212</x:v>
      </x:c>
      <x:c r="AC130" t="n">
        <x:v>10.67</x:v>
      </x:c>
      <x:c r="AD130" t="n">
        <x:v>0.67716</x:v>
      </x:c>
      <x:c r="AE130" t="n">
        <x:v>49.27</x:v>
      </x:c>
      <x:c r="AF130" t="n">
        <x:v>0.455</x:v>
      </x:c>
      <x:c r="AG130" t="n">
        <x:v>6.33</x:v>
      </x:c>
      <x:c r="AH130" t="n">
        <x:v>3.25499</x:v>
      </x:c>
      <x:c r="AI130" t="n">
        <x:v>-2.96</x:v>
      </x:c>
      <x:c r="AJ130" t="n">
        <x:v>0.918</x:v>
      </x:c>
      <x:c r="AK130" t="n">
        <x:v>0.41</x:v>
      </x:c>
      <x:c r="AL130" t="n">
        <x:v>3.33635</x:v>
      </x:c>
      <x:c r="AM130" t="n">
        <x:v>0.55</x:v>
      </x:c>
      <x:c r="AN130" t="n">
        <x:v>0.0825</x:v>
      </x:c>
      <x:c r="AO130" t="n">
        <x:v>0.203</x:v>
      </x:c>
      <x:c r="AP130" t="n">
        <x:v>0.9756</x:v>
      </x:c>
      <x:c r="AQ130" t="n">
        <x:v>1</x:v>
      </x:c>
      <x:c r="AR130" t="n">
        <x:v>0.20803750549156833</x:v>
      </x:c>
      <x:c r="AS130" t="n">
        <x:v>0.006798395065875247</x:v>
      </x:c>
      <x:c r="AT130" t="n">
        <x:v>0.04119451409415268</x:v>
      </x:c>
      <x:c r="AU130" t="n">
        <x:v>0.9518228121523256</x:v>
      </x:c>
      <x:c r="AV130" t="str">
        <x:v>YES</x:v>
      </x:c>
    </x:row>
    <x:row r="131">
      <x:c r="A131" t="n">
        <x:v>270</x:v>
      </x:c>
      <x:c r="B131" t="n">
        <x:v>19</x:v>
      </x:c>
      <x:c r="C131" t="n">
        <x:v>187.61165</x:v>
      </x:c>
      <x:c r="D131" t="n">
        <x:v>0.74833</x:v>
      </x:c>
      <x:c r="E131" t="n">
        <x:v>27.14</x:v>
      </x:c>
      <x:c r="F131" t="n">
        <x:v>270.08005</x:v>
      </x:c>
      <x:c r="G131" t="n">
        <x:v>0.88588</x:v>
      </x:c>
      <x:c r="H131" t="n">
        <x:v>26.34</x:v>
      </x:c>
      <x:c r="I131" t="n">
        <x:v>270.08411</x:v>
      </x:c>
      <x:c r="J131" t="n">
        <x:v>3.8121</x:v>
      </x:c>
      <x:c r="K131" t="n">
        <x:v>38.88</x:v>
      </x:c>
      <x:c r="L131" t="n">
        <x:v>270.15636</x:v>
      </x:c>
      <x:c r="M131" t="n">
        <x:v>0.38024</x:v>
      </x:c>
      <x:c r="N131" t="n">
        <x:v>270.08005</x:v>
      </x:c>
      <x:c r="O131" t="n">
        <x:v>0.88588</x:v>
      </x:c>
      <x:c r="P131" t="n">
        <x:v>270.08411</x:v>
      </x:c>
      <x:c r="Q131" t="n">
        <x:v>3.8121</x:v>
      </x:c>
      <x:c r="R131" t="n">
        <x:v>270.08458</x:v>
      </x:c>
      <x:c r="S131" t="n">
        <x:v>0.08458</x:v>
      </x:c>
      <x:c r="T131" t="n">
        <x:v>0.38024</x:v>
      </x:c>
      <x:c r="U131" t="n">
        <x:v>0.88588</x:v>
      </x:c>
      <x:c r="V131" t="n">
        <x:v>3.8121</x:v>
      </x:c>
      <x:c r="W131" t="n">
        <x:v>3.93211</x:v>
      </x:c>
      <x:c r="X131" t="n">
        <x:v>41.14</x:v>
      </x:c>
      <x:c r="Y131" t="str">
        <x:v>Z</x:v>
      </x:c>
      <x:c r="Z131" t="n">
        <x:v>0.36195</x:v>
      </x:c>
      <x:c r="AA131" t="n">
        <x:v>-18.05</x:v>
      </x:c>
      <x:c r="AB131" t="n">
        <x:v>0.274</x:v>
      </x:c>
      <x:c r="AC131" t="n">
        <x:v>18.07</x:v>
      </x:c>
      <x:c r="AD131" t="n">
        <x:v>0.87393</x:v>
      </x:c>
      <x:c r="AE131" t="n">
        <x:v>66.01</x:v>
      </x:c>
      <x:c r="AF131" t="n">
        <x:v>0.576</x:v>
      </x:c>
      <x:c r="AG131" t="n">
        <x:v>2.87</x:v>
      </x:c>
      <x:c r="AH131" t="n">
        <x:v>3.8667</x:v>
      </x:c>
      <x:c r="AI131" t="n">
        <x:v>-5.45</x:v>
      </x:c>
      <x:c r="AJ131" t="n">
        <x:v>0.929</x:v>
      </x:c>
      <x:c r="AK131" t="n">
        <x:v>0.39</x:v>
      </x:c>
      <x:c r="AL131" t="n">
        <x:v>3.98122</x:v>
      </x:c>
      <x:c r="AM131" t="n">
        <x:v>0.35</x:v>
      </x:c>
      <x:c r="AN131" t="n">
        <x:v>0.0909</x:v>
      </x:c>
      <x:c r="AO131" t="n">
        <x:v>0.2195</x:v>
      </x:c>
      <x:c r="AP131" t="n">
        <x:v>0.9712</x:v>
      </x:c>
      <x:c r="AQ131" t="n">
        <x:v>1</x:v>
      </x:c>
      <x:c r="AR131" t="n">
        <x:v>0.22601443091007836</x:v>
      </x:c>
      <x:c r="AS131" t="n">
        <x:v>0.008265417733962159</x:v>
      </x:c>
      <x:c r="AT131" t="n">
        <x:v>0.04818600724895525</x:v>
      </x:c>
      <x:c r="AU131" t="n">
        <x:v>0.9432973243743716</x:v>
      </x:c>
      <x:c r="AV131" t="str">
        <x:v>YES</x:v>
      </x:c>
    </x:row>
    <x:row r="132">
      <x:c r="A132" t="n">
        <x:v>270</x:v>
      </x:c>
      <x:c r="B132" t="n">
        <x:v>21</x:v>
      </x:c>
      <x:c r="C132" t="n">
        <x:v>187.72916</x:v>
      </x:c>
      <x:c r="D132" t="n">
        <x:v>0.55136</x:v>
      </x:c>
      <x:c r="E132" t="n">
        <x:v>24.73</x:v>
      </x:c>
      <x:c r="F132" t="n">
        <x:v>270.092</x:v>
      </x:c>
      <x:c r="G132" t="n">
        <x:v>1.05137</x:v>
      </x:c>
      <x:c r="H132" t="n">
        <x:v>28.32</x:v>
      </x:c>
      <x:c r="I132" t="n">
        <x:v>270.0829</x:v>
      </x:c>
      <x:c r="J132" t="n">
        <x:v>4.35777</x:v>
      </x:c>
      <x:c r="K132" t="n">
        <x:v>39.53</x:v>
      </x:c>
      <x:c r="L132" t="n">
        <x:v>270.058</x:v>
      </x:c>
      <x:c r="M132" t="n">
        <x:v>0.40068</x:v>
      </x:c>
      <x:c r="N132" t="n">
        <x:v>270.092</x:v>
      </x:c>
      <x:c r="O132" t="n">
        <x:v>1.05137</x:v>
      </x:c>
      <x:c r="P132" t="n">
        <x:v>270.0829</x:v>
      </x:c>
      <x:c r="Q132" t="n">
        <x:v>4.35777</x:v>
      </x:c>
      <x:c r="R132" t="n">
        <x:v>270.08319</x:v>
      </x:c>
      <x:c r="S132" t="n">
        <x:v>0.08319</x:v>
      </x:c>
      <x:c r="T132" t="n">
        <x:v>0.40068</x:v>
      </x:c>
      <x:c r="U132" t="n">
        <x:v>1.05137</x:v>
      </x:c>
      <x:c r="V132" t="n">
        <x:v>4.35777</x:v>
      </x:c>
      <x:c r="W132" t="n">
        <x:v>4.50068</x:v>
      </x:c>
      <x:c r="X132" t="n">
        <x:v>41.94</x:v>
      </x:c>
      <x:c r="Y132" t="str">
        <x:v>Z</x:v>
      </x:c>
      <x:c r="Z132" t="n">
        <x:v>0.39895</x:v>
      </x:c>
      <x:c r="AA132" t="n">
        <x:v>-17.09</x:v>
      </x:c>
      <x:c r="AB132" t="n">
        <x:v>0.342</x:v>
      </x:c>
      <x:c r="AC132" t="n">
        <x:v>18.67</x:v>
      </x:c>
      <x:c r="AD132" t="n">
        <x:v>1.12211</x:v>
      </x:c>
      <x:c r="AE132" t="n">
        <x:v>74.69</x:v>
      </x:c>
      <x:c r="AF132" t="n">
        <x:v>0.693</x:v>
      </x:c>
      <x:c r="AG132" t="n">
        <x:v>1.8</x:v>
      </x:c>
      <x:c r="AH132" t="n">
        <x:v>4.49238</x:v>
      </x:c>
      <x:c r="AI132" t="n">
        <x:v>-8.51</x:v>
      </x:c>
      <x:c r="AJ132" t="n">
        <x:v>0.931</x:v>
      </x:c>
      <x:c r="AK132" t="n">
        <x:v>1.29</x:v>
      </x:c>
      <x:c r="AL132" t="n">
        <x:v>4.64799</x:v>
      </x:c>
      <x:c r="AM132" t="n">
        <x:v>1.4</x:v>
      </x:c>
      <x:c r="AN132" t="n">
        <x:v>0.0858</x:v>
      </x:c>
      <x:c r="AO132" t="n">
        <x:v>0.2414</x:v>
      </x:c>
      <x:c r="AP132" t="n">
        <x:v>0.9665</x:v>
      </x:c>
      <x:c r="AQ132" t="n">
        <x:v>1</x:v>
      </x:c>
      <x:c r="AR132" t="n">
        <x:v>0.2497807398305575</x:v>
      </x:c>
      <x:c r="AS132" t="n">
        <x:v>0.007367269700913995</x:v>
      </x:c>
      <x:c r="AT132" t="n">
        <x:v>0.058282811757743073</x:v>
      </x:c>
      <x:c r="AU132" t="n">
        <x:v>0.9341628672339368</x:v>
      </x:c>
      <x:c r="AV132" t="str">
        <x:v>YES</x:v>
      </x:c>
    </x:row>
    <x:row r="133">
      <x:c r="A133" t="n">
        <x:v>270</x:v>
      </x:c>
      <x:c r="B133" t="n">
        <x:v>23</x:v>
      </x:c>
      <x:c r="C133" t="n">
        <x:v>187.66321</x:v>
      </x:c>
      <x:c r="D133" t="n">
        <x:v>0.49694</x:v>
      </x:c>
      <x:c r="E133" t="n">
        <x:v>24.62</x:v>
      </x:c>
      <x:c r="F133" t="n">
        <x:v>270.07758</x:v>
      </x:c>
      <x:c r="G133" t="n">
        <x:v>1.29507</x:v>
      </x:c>
      <x:c r="H133" t="n">
        <x:v>29.13</x:v>
      </x:c>
      <x:c r="I133" t="n">
        <x:v>270.08737</x:v>
      </x:c>
      <x:c r="J133" t="n">
        <x:v>4.89583</x:v>
      </x:c>
      <x:c r="K133" t="n">
        <x:v>39.73</x:v>
      </x:c>
      <x:c r="L133" t="n">
        <x:v>270.08093</x:v>
      </x:c>
      <x:c r="M133" t="n">
        <x:v>0.45054</x:v>
      </x:c>
      <x:c r="N133" t="n">
        <x:v>270.07758</x:v>
      </x:c>
      <x:c r="O133" t="n">
        <x:v>1.29507</x:v>
      </x:c>
      <x:c r="P133" t="n">
        <x:v>270.08737</x:v>
      </x:c>
      <x:c r="Q133" t="n">
        <x:v>4.89583</x:v>
      </x:c>
      <x:c r="R133" t="n">
        <x:v>270.08669</x:v>
      </x:c>
      <x:c r="S133" t="n">
        <x:v>0.08669</x:v>
      </x:c>
      <x:c r="T133" t="n">
        <x:v>0.45054</x:v>
      </x:c>
      <x:c r="U133" t="n">
        <x:v>1.29507</x:v>
      </x:c>
      <x:c r="V133" t="n">
        <x:v>4.89583</x:v>
      </x:c>
      <x:c r="W133" t="n">
        <x:v>5.08422</x:v>
      </x:c>
      <x:c r="X133" t="n">
        <x:v>41.6</x:v>
      </x:c>
      <x:c r="Y133" t="str">
        <x:v>Z</x:v>
      </x:c>
      <x:c r="Z133" t="n">
        <x:v>0.47867</x:v>
      </x:c>
      <x:c r="AA133" t="n">
        <x:v>-18.7</x:v>
      </x:c>
      <x:c r="AB133" t="n">
        <x:v>0.428</x:v>
      </x:c>
      <x:c r="AC133" t="n">
        <x:v>9.45</x:v>
      </x:c>
      <x:c r="AD133" t="n">
        <x:v>1.31146</x:v>
      </x:c>
      <x:c r="AE133" t="n">
        <x:v>76.59</x:v>
      </x:c>
      <x:c r="AF133" t="n">
        <x:v>0.697</x:v>
      </x:c>
      <x:c r="AG133" t="n">
        <x:v>2.33</x:v>
      </x:c>
      <x:c r="AH133" t="n">
        <x:v>5.06329</x:v>
      </x:c>
      <x:c r="AI133" t="n">
        <x:v>-10.17</x:v>
      </x:c>
      <x:c r="AJ133" t="n">
        <x:v>0.936</x:v>
      </x:c>
      <x:c r="AK133" t="n">
        <x:v>0.36</x:v>
      </x:c>
      <x:c r="AL133" t="n">
        <x:v>5.25247</x:v>
      </x:c>
      <x:c r="AM133" t="n">
        <x:v>0.33</x:v>
      </x:c>
      <x:c r="AN133" t="n">
        <x:v>0.0911</x:v>
      </x:c>
      <x:c r="AO133" t="n">
        <x:v>0.2497</x:v>
      </x:c>
      <x:c r="AP133" t="n">
        <x:v>0.964</x:v>
      </x:c>
      <x:c r="AQ133" t="n">
        <x:v>1</x:v>
      </x:c>
      <x:c r="AR133" t="n">
        <x:v>0.2590134082780169</x:v>
      </x:c>
      <x:c r="AS133" t="n">
        <x:v>0.008305107492736347</x:v>
      </x:c>
      <x:c r="AT133" t="n">
        <x:v>0.06234231667203161</x:v>
      </x:c>
      <x:c r="AU133" t="n">
        <x:v>0.9292625679840847</x:v>
      </x:c>
      <x:c r="AV133" t="str">
        <x:v>YES</x:v>
      </x:c>
    </x:row>
    <x:row r="134">
      <x:c r="A134" t="n">
        <x:v>270</x:v>
      </x:c>
      <x:c r="B134" t="n">
        <x:v>25</x:v>
      </x:c>
      <x:c r="C134" t="n">
        <x:v>269.97653</x:v>
      </x:c>
      <x:c r="D134" t="n">
        <x:v>0.49164</x:v>
      </x:c>
      <x:c r="E134" t="n">
        <x:v>23.59</x:v>
      </x:c>
      <x:c r="F134" t="n">
        <x:v>270.06767</x:v>
      </x:c>
      <x:c r="G134" t="n">
        <x:v>1.51499</x:v>
      </x:c>
      <x:c r="H134" t="n">
        <x:v>30.92</x:v>
      </x:c>
      <x:c r="I134" t="n">
        <x:v>270.08486</x:v>
      </x:c>
      <x:c r="J134" t="n">
        <x:v>5.43676</x:v>
      </x:c>
      <x:c r="K134" t="n">
        <x:v>39.98</x:v>
      </x:c>
      <x:c r="L134" t="n">
        <x:v>269.97653</x:v>
      </x:c>
      <x:c r="M134" t="n">
        <x:v>0.49164</x:v>
      </x:c>
      <x:c r="N134" t="n">
        <x:v>270.06767</x:v>
      </x:c>
      <x:c r="O134" t="n">
        <x:v>1.51499</x:v>
      </x:c>
      <x:c r="P134" t="n">
        <x:v>270.08486</x:v>
      </x:c>
      <x:c r="Q134" t="n">
        <x:v>5.43676</x:v>
      </x:c>
      <x:c r="R134" t="n">
        <x:v>270.08282</x:v>
      </x:c>
      <x:c r="S134" t="n">
        <x:v>0.08282</x:v>
      </x:c>
      <x:c r="T134" t="n">
        <x:v>0.49164</x:v>
      </x:c>
      <x:c r="U134" t="n">
        <x:v>1.51499</x:v>
      </x:c>
      <x:c r="V134" t="n">
        <x:v>5.43676</x:v>
      </x:c>
      <x:c r="W134" t="n">
        <x:v>5.66527</x:v>
      </x:c>
      <x:c r="X134" t="n">
        <x:v>43.28</x:v>
      </x:c>
      <x:c r="Y134" t="str">
        <x:v>Z</x:v>
      </x:c>
      <x:c r="Z134" t="n">
        <x:v>0.54685</x:v>
      </x:c>
      <x:c r="AA134" t="n">
        <x:v>-19.63</x:v>
      </x:c>
      <x:c r="AB134" t="n">
        <x:v>0.461</x:v>
      </x:c>
      <x:c r="AC134" t="n">
        <x:v>6.36</x:v>
      </x:c>
      <x:c r="AD134" t="n">
        <x:v>1.58079</x:v>
      </x:c>
      <x:c r="AE134" t="n">
        <x:v>78.54</x:v>
      </x:c>
      <x:c r="AF134" t="n">
        <x:v>0.775</x:v>
      </x:c>
      <x:c r="AG134" t="n">
        <x:v>2.21</x:v>
      </x:c>
      <x:c r="AH134" t="n">
        <x:v>5.63042</x:v>
      </x:c>
      <x:c r="AI134" t="n">
        <x:v>-12.16</x:v>
      </x:c>
      <x:c r="AJ134" t="n">
        <x:v>0.938</x:v>
      </x:c>
      <x:c r="AK134" t="n">
        <x:v>0.29</x:v>
      </x:c>
      <x:c r="AL134" t="n">
        <x:v>5.8738</x:v>
      </x:c>
      <x:c r="AM134" t="n">
        <x:v>0.34</x:v>
      </x:c>
      <x:c r="AN134" t="n">
        <x:v>0.0931</x:v>
      </x:c>
      <x:c r="AO134" t="n">
        <x:v>0.2691</x:v>
      </x:c>
      <x:c r="AP134" t="n">
        <x:v>0.9586</x:v>
      </x:c>
      <x:c r="AQ134" t="n">
        <x:v>1</x:v>
      </x:c>
      <x:c r="AR134" t="n">
        <x:v>0.28075880662543823</x:v>
      </x:c>
      <x:c r="AS134" t="n">
        <x:v>0.008667585273945923</x:v>
      </x:c>
      <x:c r="AT134" t="n">
        <x:v>0.07242859322313508</x:v>
      </x:c>
      <x:c r="AU134" t="n">
        <x:v>0.9188471539521832</x:v>
      </x:c>
      <x:c r="AV134" t="str">
        <x:v>YES</x:v>
      </x:c>
    </x:row>
    <x:row r="135">
      <x:c r="A135" t="n">
        <x:v>270</x:v>
      </x:c>
      <x:c r="B135" t="n">
        <x:v>27</x:v>
      </x:c>
      <x:c r="C135" t="n">
        <x:v>270.17746</x:v>
      </x:c>
      <x:c r="D135" t="n">
        <x:v>0.5378</x:v>
      </x:c>
      <x:c r="E135" t="n">
        <x:v>24.55</x:v>
      </x:c>
      <x:c r="F135" t="n">
        <x:v>270.07799</x:v>
      </x:c>
      <x:c r="G135" t="n">
        <x:v>1.70125</x:v>
      </x:c>
      <x:c r="H135" t="n">
        <x:v>31.53</x:v>
      </x:c>
      <x:c r="I135" t="n">
        <x:v>270.08625</x:v>
      </x:c>
      <x:c r="J135" t="n">
        <x:v>5.94873</x:v>
      </x:c>
      <x:c r="K135" t="n">
        <x:v>40.09</x:v>
      </x:c>
      <x:c r="L135" t="n">
        <x:v>270.17746</x:v>
      </x:c>
      <x:c r="M135" t="n">
        <x:v>0.5378</x:v>
      </x:c>
      <x:c r="N135" t="n">
        <x:v>270.07799</x:v>
      </x:c>
      <x:c r="O135" t="n">
        <x:v>1.70125</x:v>
      </x:c>
      <x:c r="P135" t="n">
        <x:v>270.08625</x:v>
      </x:c>
      <x:c r="Q135" t="n">
        <x:v>5.94873</x:v>
      </x:c>
      <x:c r="R135" t="n">
        <x:v>270.08631</x:v>
      </x:c>
      <x:c r="S135" t="n">
        <x:v>0.08631</x:v>
      </x:c>
      <x:c r="T135" t="n">
        <x:v>0.5378</x:v>
      </x:c>
      <x:c r="U135" t="n">
        <x:v>1.70125</x:v>
      </x:c>
      <x:c r="V135" t="n">
        <x:v>5.94873</x:v>
      </x:c>
      <x:c r="W135" t="n">
        <x:v>6.21055</x:v>
      </x:c>
      <x:c r="X135" t="n">
        <x:v>43.03</x:v>
      </x:c>
      <x:c r="Y135" t="str">
        <x:v>Z</x:v>
      </x:c>
      <x:c r="Z135" t="n">
        <x:v>0.57536</x:v>
      </x:c>
      <x:c r="AA135" t="n">
        <x:v>-21.27</x:v>
      </x:c>
      <x:c r="AB135" t="n">
        <x:v>0.504</x:v>
      </x:c>
      <x:c r="AC135" t="n">
        <x:v>7.12</x:v>
      </x:c>
      <x:c r="AD135" t="n">
        <x:v>1.79004</x:v>
      </x:c>
      <x:c r="AE135" t="n">
        <x:v>81.19</x:v>
      </x:c>
      <x:c r="AF135" t="n">
        <x:v>0.797</x:v>
      </x:c>
      <x:c r="AG135" t="n">
        <x:v>2.43</x:v>
      </x:c>
      <x:c r="AH135" t="n">
        <x:v>6.18114</x:v>
      </x:c>
      <x:c r="AI135" t="n">
        <x:v>-12.59</x:v>
      </x:c>
      <x:c r="AJ135" t="n">
        <x:v>0.94</x:v>
      </x:c>
      <x:c r="AK135" t="n">
        <x:v>0.51</x:v>
      </x:c>
      <x:c r="AL135" t="n">
        <x:v>6.46097</x:v>
      </x:c>
      <x:c r="AM135" t="n">
        <x:v>0.61</x:v>
      </x:c>
      <x:c r="AN135" t="n">
        <x:v>0.0891</x:v>
      </x:c>
      <x:c r="AO135" t="n">
        <x:v>0.2771</x:v>
      </x:c>
      <x:c r="AP135" t="n">
        <x:v>0.9567</x:v>
      </x:c>
      <x:c r="AQ135" t="n">
        <x:v>1</x:v>
      </x:c>
      <x:c r="AR135" t="n">
        <x:v>0.2895970646191479</x:v>
      </x:c>
      <x:c r="AS135" t="n">
        <x:v>0.007930195289876938</x:v>
      </x:c>
      <x:c r="AT135" t="n">
        <x:v>0.07675912625692369</x:v>
      </x:c>
      <x:c r="AU135" t="n">
        <x:v>0.9152541600897511</x:v>
      </x:c>
      <x:c r="AV135" t="str">
        <x:v>YES</x:v>
      </x:c>
    </x:row>
    <x:row r="136">
      <x:c r="A136" t="n">
        <x:v>270</x:v>
      </x:c>
      <x:c r="B136" t="n">
        <x:v>29</x:v>
      </x:c>
      <x:c r="C136" t="n">
        <x:v>270.14031</x:v>
      </x:c>
      <x:c r="D136" t="n">
        <x:v>0.60601</x:v>
      </x:c>
      <x:c r="E136" t="n">
        <x:v>24.56</x:v>
      </x:c>
      <x:c r="F136" t="n">
        <x:v>270.08126</x:v>
      </x:c>
      <x:c r="G136" t="n">
        <x:v>1.96621</x:v>
      </x:c>
      <x:c r="H136" t="n">
        <x:v>32.45</x:v>
      </x:c>
      <x:c r="I136" t="n">
        <x:v>270.08568</x:v>
      </x:c>
      <x:c r="J136" t="n">
        <x:v>6.55194</x:v>
      </x:c>
      <x:c r="K136" t="n">
        <x:v>40.44</x:v>
      </x:c>
      <x:c r="L136" t="n">
        <x:v>270.14031</x:v>
      </x:c>
      <x:c r="M136" t="n">
        <x:v>0.60601</x:v>
      </x:c>
      <x:c r="N136" t="n">
        <x:v>270.08126</x:v>
      </x:c>
      <x:c r="O136" t="n">
        <x:v>1.96621</x:v>
      </x:c>
      <x:c r="P136" t="n">
        <x:v>270.08568</x:v>
      </x:c>
      <x:c r="Q136" t="n">
        <x:v>6.55194</x:v>
      </x:c>
      <x:c r="R136" t="n">
        <x:v>270.08574</x:v>
      </x:c>
      <x:c r="S136" t="n">
        <x:v>0.08574</x:v>
      </x:c>
      <x:c r="T136" t="n">
        <x:v>0.60601</x:v>
      </x:c>
      <x:c r="U136" t="n">
        <x:v>1.96621</x:v>
      </x:c>
      <x:c r="V136" t="n">
        <x:v>6.55194</x:v>
      </x:c>
      <x:c r="W136" t="n">
        <x:v>6.86739</x:v>
      </x:c>
      <x:c r="X136" t="n">
        <x:v>43.2</x:v>
      </x:c>
      <x:c r="Y136" t="str">
        <x:v>Z</x:v>
      </x:c>
      <x:c r="Z136" t="n">
        <x:v>0.5961</x:v>
      </x:c>
      <x:c r="AA136" t="n">
        <x:v>-19.17</x:v>
      </x:c>
      <x:c r="AB136" t="n">
        <x:v>0.471</x:v>
      </x:c>
      <x:c r="AC136" t="n">
        <x:v>7.97</x:v>
      </x:c>
      <x:c r="AD136" t="n">
        <x:v>2.04135</x:v>
      </x:c>
      <x:c r="AE136" t="n">
        <x:v>82.25</x:v>
      </x:c>
      <x:c r="AF136" t="n">
        <x:v>0.837</x:v>
      </x:c>
      <x:c r="AG136" t="n">
        <x:v>1.4</x:v>
      </x:c>
      <x:c r="AH136" t="n">
        <x:v>6.73012</x:v>
      </x:c>
      <x:c r="AI136" t="n">
        <x:v>-13.63</x:v>
      </x:c>
      <x:c r="AJ136" t="n">
        <x:v>0.939</x:v>
      </x:c>
      <x:c r="AK136" t="n">
        <x:v>0.31</x:v>
      </x:c>
      <x:c r="AL136" t="n">
        <x:v>7.0583</x:v>
      </x:c>
      <x:c r="AM136" t="n">
        <x:v>0.27</x:v>
      </x:c>
      <x:c r="AN136" t="n">
        <x:v>0.0845</x:v>
      </x:c>
      <x:c r="AO136" t="n">
        <x:v>0.2892</x:v>
      </x:c>
      <x:c r="AP136" t="n">
        <x:v>0.9535</x:v>
      </x:c>
      <x:c r="AQ136" t="n">
        <x:v>1</x:v>
      </x:c>
      <x:c r="AR136" t="n">
        <x:v>0.30331554266491534</x:v>
      </x:c>
      <x:c r="AS136" t="n">
        <x:v>0.007132438195348946</x:v>
      </x:c>
      <x:c r="AT136" t="n">
        <x:v>0.08364398580769063</x:v>
      </x:c>
      <x:c r="AU136" t="n">
        <x:v>0.9091706120398274</x:v>
      </x:c>
      <x:c r="AV136" t="str">
        <x:v>YES</x:v>
      </x:c>
    </x:row>
    <x:row r="137">
      <x:c r="A137" t="n">
        <x:v>275</x:v>
      </x:c>
      <x:c r="B137" t="n">
        <x:v>1</x:v>
      </x:c>
      <x:c r="C137" t="n">
        <x:v>407.69342</x:v>
      </x:c>
      <x:c r="D137" t="n">
        <x:v>0.27709</x:v>
      </x:c>
      <x:c r="E137" t="n">
        <x:v>23.76</x:v>
      </x:c>
      <x:c r="F137" t="n">
        <x:v>336.38094</x:v>
      </x:c>
      <x:c r="G137" t="n">
        <x:v>0.28297</x:v>
      </x:c>
      <x:c r="H137" t="n">
        <x:v>22.7</x:v>
      </x:c>
      <x:c r="I137" t="n">
        <x:v>549.97156</x:v>
      </x:c>
      <x:c r="J137" t="n">
        <x:v>0.21661</x:v>
      </x:c>
      <x:c r="K137" t="n">
        <x:v>22.71</x:v>
      </x:c>
      <x:c r="L137" t="n">
        <x:v>278.3812</x:v>
      </x:c>
      <x:c r="M137" t="n">
        <x:v>0.02905</x:v>
      </x:c>
      <x:c r="N137" t="n">
        <x:v>272.74082</x:v>
      </x:c>
      <x:c r="O137" t="n">
        <x:v>0.01823</x:v>
      </x:c>
      <x:c r="P137" t="n">
        <x:v>268.67158</x:v>
      </x:c>
      <x:c r="Q137" t="n">
        <x:v>0.02351</x:v>
      </x:c>
      <x:c r="R137" t="n">
        <x:v>278.43229</x:v>
      </x:c>
      <x:c r="S137" t="n">
        <x:v>3.43229</x:v>
      </x:c>
      <x:c r="T137" t="n">
        <x:v>0.02905</x:v>
      </x:c>
      <x:c r="U137" t="n">
        <x:v>0.01137</x:v>
      </x:c>
      <x:c r="V137" t="n">
        <x:v>0.01079</x:v>
      </x:c>
      <x:c r="W137" t="n">
        <x:v>0.03301</x:v>
      </x:c>
      <x:c r="X137" t="n">
        <x:v>2.11</x:v>
      </x:c>
      <x:c r="Y137" t="str">
        <x:v>X</x:v>
      </x:c>
      <x:c r="Z137" t="n">
        <x:v>0.0146</x:v>
      </x:c>
      <x:c r="AA137" t="n">
        <x:v>128.72</x:v>
      </x:c>
      <x:c r="AB137" t="n">
        <x:v>0.022</x:v>
      </x:c>
      <x:c r="AC137" t="n">
        <x:v>40.45</x:v>
      </x:c>
      <x:c r="AD137" t="n">
        <x:v>0.02064</x:v>
      </x:c>
      <x:c r="AE137" t="n">
        <x:v>145.97</x:v>
      </x:c>
      <x:c r="AF137" t="n">
        <x:v>0.028</x:v>
      </x:c>
      <x:c r="AG137" t="n">
        <x:v>52.91</x:v>
      </x:c>
      <x:c r="AH137" t="n">
        <x:v>0.01886</x:v>
      </x:c>
      <x:c r="AI137" t="n">
        <x:v>-99.88</x:v>
      </x:c>
      <x:c r="AJ137" t="n">
        <x:v>0.043</x:v>
      </x:c>
      <x:c r="AK137" t="n">
        <x:v>33.38</x:v>
      </x:c>
      <x:c r="AL137" t="n">
        <x:v>0.03302</x:v>
      </x:c>
      <x:c r="AM137" t="n">
        <x:v>26.16</x:v>
      </x:c>
      <x:c r="AN137" t="n">
        <x:v>0.4422</x:v>
      </x:c>
      <x:c r="AO137" t="n">
        <x:v>0.625</x:v>
      </x:c>
      <x:c r="AP137" t="n">
        <x:v>0.5713</x:v>
      </x:c>
      <x:c r="AQ137" t="n">
        <x:v>0</x:v>
      </x:c>
      <x:c r="AR137" t="n">
        <x:v>1.0943796394485685</x:v>
      </x:c>
      <x:c r="AS137" t="n">
        <x:v>0.1955021661522613</x:v>
      </x:c>
      <x:c r="AT137" t="n">
        <x:v>0.3907196453446161</x:v>
      </x:c>
      <x:c r="AU137" t="n">
        <x:v>0.3262340134147723</x:v>
      </x:c>
      <x:c r="AV137" t="str">
        <x:v>NO</x:v>
      </x:c>
    </x:row>
    <x:row r="138">
      <x:c r="A138" t="n">
        <x:v>275</x:v>
      </x:c>
      <x:c r="B138" t="n">
        <x:v>3</x:v>
      </x:c>
      <x:c r="C138" t="n">
        <x:v>132.61643</x:v>
      </x:c>
      <x:c r="D138" t="n">
        <x:v>0.55729</x:v>
      </x:c>
      <x:c r="E138" t="n">
        <x:v>26.15</x:v>
      </x:c>
      <x:c r="F138" t="n">
        <x:v>132.62094</x:v>
      </x:c>
      <x:c r="G138" t="n">
        <x:v>0.38189</x:v>
      </x:c>
      <x:c r="H138" t="n">
        <x:v>21.91</x:v>
      </x:c>
      <x:c r="I138" t="n">
        <x:v>275.03128</x:v>
      </x:c>
      <x:c r="J138" t="n">
        <x:v>0.17259</x:v>
      </x:c>
      <x:c r="K138" t="n">
        <x:v>19.86</x:v>
      </x:c>
      <x:c r="L138" t="n">
        <x:v>282.72306</x:v>
      </x:c>
      <x:c r="M138" t="n">
        <x:v>0.05668</x:v>
      </x:c>
      <x:c r="N138" t="n">
        <x:v>274.97228</x:v>
      </x:c>
      <x:c r="O138" t="n">
        <x:v>0.20261</x:v>
      </x:c>
      <x:c r="P138" t="n">
        <x:v>275.03128</x:v>
      </x:c>
      <x:c r="Q138" t="n">
        <x:v>0.17259</x:v>
      </x:c>
      <x:c r="R138" t="n">
        <x:v>274.99554</x:v>
      </x:c>
      <x:c r="S138" t="n">
        <x:v>-0.00446</x:v>
      </x:c>
      <x:c r="T138" t="n">
        <x:v>0.01379</x:v>
      </x:c>
      <x:c r="U138" t="n">
        <x:v>0.20261</x:v>
      </x:c>
      <x:c r="V138" t="n">
        <x:v>0.17259</x:v>
      </x:c>
      <x:c r="W138" t="n">
        <x:v>0.26651</x:v>
      </x:c>
      <x:c r="X138" t="n">
        <x:v>16.06</x:v>
      </x:c>
      <x:c r="Y138" t="str">
        <x:v>Y</x:v>
      </x:c>
      <x:c r="Z138" t="n">
        <x:v>0.03277</x:v>
      </x:c>
      <x:c r="AA138" t="n">
        <x:v>9.28</x:v>
      </x:c>
      <x:c r="AB138" t="n">
        <x:v>0.031</x:v>
      </x:c>
      <x:c r="AC138" t="n">
        <x:v>59.38</x:v>
      </x:c>
      <x:c r="AD138" t="n">
        <x:v>0.2101</x:v>
      </x:c>
      <x:c r="AE138" t="n">
        <x:v>0.57</x:v>
      </x:c>
      <x:c r="AF138" t="n">
        <x:v>0.212</x:v>
      </x:c>
      <x:c r="AG138" t="n">
        <x:v>8.58</x:v>
      </x:c>
      <x:c r="AH138" t="n">
        <x:v>0.20361</x:v>
      </x:c>
      <x:c r="AI138" t="n">
        <x:v>15.53</x:v>
      </x:c>
      <x:c r="AJ138" t="n">
        <x:v>0.385</x:v>
      </x:c>
      <x:c r="AK138" t="n">
        <x:v>7.64</x:v>
      </x:c>
      <x:c r="AL138" t="n">
        <x:v>0.29519</x:v>
      </x:c>
      <x:c r="AM138" t="n">
        <x:v>6.52</x:v>
      </x:c>
      <x:c r="AN138" t="n">
        <x:v>0.111</x:v>
      </x:c>
      <x:c r="AO138" t="n">
        <x:v>0.7118</x:v>
      </x:c>
      <x:c r="AP138" t="n">
        <x:v>0.6898</x:v>
      </x:c>
      <x:c r="AQ138" t="n">
        <x:v>1</x:v>
      </x:c>
      <x:c r="AR138" t="n">
        <x:v>1.0318746623446786</x:v>
      </x:c>
      <x:c r="AS138" t="n">
        <x:v>0.012323940722215222</x:v>
      </x:c>
      <x:c r="AT138" t="n">
        <x:v>0.5065809134390407</x:v>
      </x:c>
      <x:c r="AU138" t="n">
        <x:v>0.4757676687058344</x:v>
      </x:c>
      <x:c r="AV138" t="str">
        <x:v>NO</x:v>
      </x:c>
    </x:row>
    <x:row r="139">
      <x:c r="A139" t="n">
        <x:v>275</x:v>
      </x:c>
      <x:c r="B139" t="n">
        <x:v>5</x:v>
      </x:c>
      <x:c r="C139" t="n">
        <x:v>346.40231</x:v>
      </x:c>
      <x:c r="D139" t="n">
        <x:v>0.2852</x:v>
      </x:c>
      <x:c r="E139" t="n">
        <x:v>20.09</x:v>
      </x:c>
      <x:c r="F139" t="n">
        <x:v>275.00762</x:v>
      </x:c>
      <x:c r="G139" t="n">
        <x:v>0.46752</x:v>
      </x:c>
      <x:c r="H139" t="n">
        <x:v>23.09</x:v>
      </x:c>
      <x:c r="I139" t="n">
        <x:v>275.01471</x:v>
      </x:c>
      <x:c r="J139" t="n">
        <x:v>0.40701</x:v>
      </x:c>
      <x:c r="K139" t="n">
        <x:v>26.99</x:v>
      </x:c>
      <x:c r="L139" t="n">
        <x:v>282.38511</x:v>
      </x:c>
      <x:c r="M139" t="n">
        <x:v>0.06857</x:v>
      </x:c>
      <x:c r="N139" t="n">
        <x:v>275.00762</x:v>
      </x:c>
      <x:c r="O139" t="n">
        <x:v>0.46752</x:v>
      </x:c>
      <x:c r="P139" t="n">
        <x:v>275.01471</x:v>
      </x:c>
      <x:c r="Q139" t="n">
        <x:v>0.40701</x:v>
      </x:c>
      <x:c r="R139" t="n">
        <x:v>275.01104</x:v>
      </x:c>
      <x:c r="S139" t="n">
        <x:v>0.01104</x:v>
      </x:c>
      <x:c r="T139" t="n">
        <x:v>0.03048</x:v>
      </x:c>
      <x:c r="U139" t="n">
        <x:v>0.46752</x:v>
      </x:c>
      <x:c r="V139" t="n">
        <x:v>0.40701</x:v>
      </x:c>
      <x:c r="W139" t="n">
        <x:v>0.62061</x:v>
      </x:c>
      <x:c r="X139" t="n">
        <x:v>21.76</x:v>
      </x:c>
      <x:c r="Y139" t="str">
        <x:v>Y</x:v>
      </x:c>
      <x:c r="Z139" t="n">
        <x:v>0.03283</x:v>
      </x:c>
      <x:c r="AA139" t="n">
        <x:v>21.48</x:v>
      </x:c>
      <x:c r="AB139" t="n">
        <x:v>0.038</x:v>
      </x:c>
      <x:c r="AC139" t="n">
        <x:v>53.43</x:v>
      </x:c>
      <x:c r="AD139" t="n">
        <x:v>0.46165</x:v>
      </x:c>
      <x:c r="AE139" t="n">
        <x:v>-0.51</x:v>
      </x:c>
      <x:c r="AF139" t="n">
        <x:v>0.443</x:v>
      </x:c>
      <x:c r="AG139" t="n">
        <x:v>3.3</x:v>
      </x:c>
      <x:c r="AH139" t="n">
        <x:v>0.39573</x:v>
      </x:c>
      <x:c r="AI139" t="n">
        <x:v>13.46</x:v>
      </x:c>
      <x:c r="AJ139" t="n">
        <x:v>0.613</x:v>
      </x:c>
      <x:c r="AK139" t="n">
        <x:v>2.04</x:v>
      </x:c>
      <x:c r="AL139" t="n">
        <x:v>0.60916</x:v>
      </x:c>
      <x:c r="AM139" t="n">
        <x:v>2.69</x:v>
      </x:c>
      <x:c r="AN139" t="n">
        <x:v>0.0539</x:v>
      </x:c>
      <x:c r="AO139" t="n">
        <x:v>0.7579</x:v>
      </x:c>
      <x:c r="AP139" t="n">
        <x:v>0.6496</x:v>
      </x:c>
      <x:c r="AQ139" t="n">
        <x:v>1</x:v>
      </x:c>
      <x:c r="AR139" t="n">
        <x:v>1.1665782225254593</x:v>
      </x:c>
      <x:c r="AS139" t="n">
        <x:v>0.0029045510197092134</x:v>
      </x:c>
      <x:c r="AT139" t="n">
        <x:v>0.5743318800378614</x:v>
      </x:c>
      <x:c r="AU139" t="n">
        <x:v>0.4220220998902819</x:v>
      </x:c>
      <x:c r="AV139" t="str">
        <x:v>NO</x:v>
      </x:c>
    </x:row>
    <x:row r="140">
      <x:c r="A140" t="n">
        <x:v>275</x:v>
      </x:c>
      <x:c r="B140" t="n">
        <x:v>7</x:v>
      </x:c>
      <x:c r="C140" t="n">
        <x:v>346.20084</x:v>
      </x:c>
      <x:c r="D140" t="n">
        <x:v>0.30941</x:v>
      </x:c>
      <x:c r="E140" t="n">
        <x:v>20.51</x:v>
      </x:c>
      <x:c r="F140" t="n">
        <x:v>275.00406</x:v>
      </x:c>
      <x:c r="G140" t="n">
        <x:v>0.71661</x:v>
      </x:c>
      <x:c r="H140" t="n">
        <x:v>26.33</x:v>
      </x:c>
      <x:c r="I140" t="n">
        <x:v>275.01165</x:v>
      </x:c>
      <x:c r="J140" t="n">
        <x:v>0.61569</x:v>
      </x:c>
      <x:c r="K140" t="n">
        <x:v>30.28</x:v>
      </x:c>
      <x:c r="L140" t="n">
        <x:v>282.63853</x:v>
      </x:c>
      <x:c r="M140" t="n">
        <x:v>0.09353</x:v>
      </x:c>
      <x:c r="N140" t="n">
        <x:v>275.00406</x:v>
      </x:c>
      <x:c r="O140" t="n">
        <x:v>0.71661</x:v>
      </x:c>
      <x:c r="P140" t="n">
        <x:v>275.01165</x:v>
      </x:c>
      <x:c r="Q140" t="n">
        <x:v>0.61569</x:v>
      </x:c>
      <x:c r="R140" t="n">
        <x:v>275.00748</x:v>
      </x:c>
      <x:c r="S140" t="n">
        <x:v>0.00748</x:v>
      </x:c>
      <x:c r="T140" t="n">
        <x:v>0.05873</x:v>
      </x:c>
      <x:c r="U140" t="n">
        <x:v>0.71661</x:v>
      </x:c>
      <x:c r="V140" t="n">
        <x:v>0.61569</x:v>
      </x:c>
      <x:c r="W140" t="n">
        <x:v>0.9466</x:v>
      </x:c>
      <x:c r="X140" t="n">
        <x:v>24.12</x:v>
      </x:c>
      <x:c r="Y140" t="str">
        <x:v>Y</x:v>
      </x:c>
      <x:c r="Z140" t="n">
        <x:v>0.05801</x:v>
      </x:c>
      <x:c r="AA140" t="n">
        <x:v>8.87</x:v>
      </x:c>
      <x:c r="AB140" t="n">
        <x:v>0.066</x:v>
      </x:c>
      <x:c r="AC140" t="n">
        <x:v>15.25</x:v>
      </x:c>
      <x:c r="AD140" t="n">
        <x:v>0.73377</x:v>
      </x:c>
      <x:c r="AE140" t="n">
        <x:v>-1.6</x:v>
      </x:c>
      <x:c r="AF140" t="n">
        <x:v>0.602</x:v>
      </x:c>
      <x:c r="AG140" t="n">
        <x:v>1.28</x:v>
      </x:c>
      <x:c r="AH140" t="n">
        <x:v>0.62839</x:v>
      </x:c>
      <x:c r="AI140" t="n">
        <x:v>13.88</x:v>
      </x:c>
      <x:c r="AJ140" t="n">
        <x:v>0.758</x:v>
      </x:c>
      <x:c r="AK140" t="n">
        <x:v>2.2</x:v>
      </x:c>
      <x:c r="AL140" t="n">
        <x:v>0.9679</x:v>
      </x:c>
      <x:c r="AM140" t="n">
        <x:v>1.27</x:v>
      </x:c>
      <x:c r="AN140" t="n">
        <x:v>0.0599</x:v>
      </x:c>
      <x:c r="AO140" t="n">
        <x:v>0.7581</x:v>
      </x:c>
      <x:c r="AP140" t="n">
        <x:v>0.6492</x:v>
      </x:c>
      <x:c r="AQ140" t="n">
        <x:v>1</x:v>
      </x:c>
      <x:c r="AR140" t="n">
        <x:v>1.1676984038574771</x:v>
      </x:c>
      <x:c r="AS140" t="n">
        <x:v>0.0035920696681910657</x:v>
      </x:c>
      <x:c r="AT140" t="n">
        <x:v>0.5747234581123386</x:v>
      </x:c>
      <x:c r="AU140" t="n">
        <x:v>0.42149997255106186</x:v>
      </x:c>
      <x:c r="AV140" t="str">
        <x:v>NO</x:v>
      </x:c>
    </x:row>
    <x:row r="141">
      <x:c r="A141" t="n">
        <x:v>275</x:v>
      </x:c>
      <x:c r="B141" t="n">
        <x:v>9</x:v>
      </x:c>
      <x:c r="C141" t="n">
        <x:v>232.72055</x:v>
      </x:c>
      <x:c r="D141" t="n">
        <x:v>0.41969</x:v>
      </x:c>
      <x:c r="E141" t="n">
        <x:v>22.42</x:v>
      </x:c>
      <x:c r="F141" t="n">
        <x:v>275.00001</x:v>
      </x:c>
      <x:c r="G141" t="n">
        <x:v>0.98078</x:v>
      </x:c>
      <x:c r="H141" t="n">
        <x:v>28.49</x:v>
      </x:c>
      <x:c r="I141" t="n">
        <x:v>274.98807</x:v>
      </x:c>
      <x:c r="J141" t="n">
        <x:v>0.88018</x:v>
      </x:c>
      <x:c r="K141" t="n">
        <x:v>32.69</x:v>
      </x:c>
      <x:c r="L141" t="n">
        <x:v>274.91568</x:v>
      </x:c>
      <x:c r="M141" t="n">
        <x:v>0.06975</x:v>
      </x:c>
      <x:c r="N141" t="n">
        <x:v>275.00001</x:v>
      </x:c>
      <x:c r="O141" t="n">
        <x:v>0.98078</x:v>
      </x:c>
      <x:c r="P141" t="n">
        <x:v>274.98807</x:v>
      </x:c>
      <x:c r="Q141" t="n">
        <x:v>0.88018</x:v>
      </x:c>
      <x:c r="R141" t="n">
        <x:v>274.99445</x:v>
      </x:c>
      <x:c r="S141" t="n">
        <x:v>-0.00555</x:v>
      </x:c>
      <x:c r="T141" t="n">
        <x:v>0.06975</x:v>
      </x:c>
      <x:c r="U141" t="n">
        <x:v>0.98078</x:v>
      </x:c>
      <x:c r="V141" t="n">
        <x:v>0.88018</x:v>
      </x:c>
      <x:c r="W141" t="n">
        <x:v>1.31966</x:v>
      </x:c>
      <x:c r="X141" t="n">
        <x:v>31.34</x:v>
      </x:c>
      <x:c r="Y141" t="str">
        <x:v>Y</x:v>
      </x:c>
      <x:c r="Z141" t="n">
        <x:v>0.07955</x:v>
      </x:c>
      <x:c r="AA141" t="n">
        <x:v>5.27</x:v>
      </x:c>
      <x:c r="AB141" t="n">
        <x:v>0.075</x:v>
      </x:c>
      <x:c r="AC141" t="n">
        <x:v>34.63</x:v>
      </x:c>
      <x:c r="AD141" t="n">
        <x:v>1.00255</x:v>
      </x:c>
      <x:c r="AE141" t="n">
        <x:v>-4.09</x:v>
      </x:c>
      <x:c r="AF141" t="n">
        <x:v>0.691</x:v>
      </x:c>
      <x:c r="AG141" t="n">
        <x:v>1.33</x:v>
      </x:c>
      <x:c r="AH141" t="n">
        <x:v>0.85553</x:v>
      </x:c>
      <x:c r="AI141" t="n">
        <x:v>14.09</x:v>
      </x:c>
      <x:c r="AJ141" t="n">
        <x:v>0.829</x:v>
      </x:c>
      <x:c r="AK141" t="n">
        <x:v>4.24</x:v>
      </x:c>
      <x:c r="AL141" t="n">
        <x:v>1.32075</x:v>
      </x:c>
      <x:c r="AM141" t="n">
        <x:v>2.37</x:v>
      </x:c>
      <x:c r="AN141" t="n">
        <x:v>0.0602</x:v>
      </x:c>
      <x:c r="AO141" t="n">
        <x:v>0.7591</x:v>
      </x:c>
      <x:c r="AP141" t="n">
        <x:v>0.6478</x:v>
      </x:c>
      <x:c r="AQ141" t="n">
        <x:v>1</x:v>
      </x:c>
      <x:c r="AR141" t="n">
        <x:v>1.171846691524552</x:v>
      </x:c>
      <x:c r="AS141" t="n">
        <x:v>0.0036277648559271875</x:v>
      </x:c>
      <x:c r="AT141" t="n">
        <x:v>0.5761968025254237</x:v>
      </x:c>
      <x:c r="AU141" t="n">
        <x:v>0.41959397887982364</x:v>
      </x:c>
      <x:c r="AV141" t="str">
        <x:v>YES</x:v>
      </x:c>
    </x:row>
    <x:row r="142">
      <x:c r="A142" t="n">
        <x:v>275</x:v>
      </x:c>
      <x:c r="B142" t="n">
        <x:v>11</x:v>
      </x:c>
      <x:c r="C142" t="n">
        <x:v>346.16042</x:v>
      </x:c>
      <x:c r="D142" t="n">
        <x:v>0.41716</x:v>
      </x:c>
      <x:c r="E142" t="n">
        <x:v>22.34</x:v>
      </x:c>
      <x:c r="F142" t="n">
        <x:v>275.00833</x:v>
      </x:c>
      <x:c r="G142" t="n">
        <x:v>1.24671</x:v>
      </x:c>
      <x:c r="H142" t="n">
        <x:v>30.05</x:v>
      </x:c>
      <x:c r="I142" t="n">
        <x:v>274.99867</x:v>
      </x:c>
      <x:c r="J142" t="n">
        <x:v>1.1226</x:v>
      </x:c>
      <x:c r="K142" t="n">
        <x:v>34.41</x:v>
      </x:c>
      <x:c r="L142" t="n">
        <x:v>274.93956</x:v>
      </x:c>
      <x:c r="M142" t="n">
        <x:v>0.09724</x:v>
      </x:c>
      <x:c r="N142" t="n">
        <x:v>275.00833</x:v>
      </x:c>
      <x:c r="O142" t="n">
        <x:v>1.24671</x:v>
      </x:c>
      <x:c r="P142" t="n">
        <x:v>274.99867</x:v>
      </x:c>
      <x:c r="Q142" t="n">
        <x:v>1.1226</x:v>
      </x:c>
      <x:c r="R142" t="n">
        <x:v>275.00379</x:v>
      </x:c>
      <x:c r="S142" t="n">
        <x:v>0.00379</x:v>
      </x:c>
      <x:c r="T142" t="n">
        <x:v>0.09724</x:v>
      </x:c>
      <x:c r="U142" t="n">
        <x:v>1.24671</x:v>
      </x:c>
      <x:c r="V142" t="n">
        <x:v>1.1226</x:v>
      </x:c>
      <x:c r="W142" t="n">
        <x:v>1.68047</x:v>
      </x:c>
      <x:c r="X142" t="n">
        <x:v>31.28</x:v>
      </x:c>
      <x:c r="Y142" t="str">
        <x:v>Y</x:v>
      </x:c>
      <x:c r="Z142" t="n">
        <x:v>0.08777</x:v>
      </x:c>
      <x:c r="AA142" t="n">
        <x:v>22.75</x:v>
      </x:c>
      <x:c r="AB142" t="n">
        <x:v>0.085</x:v>
      </x:c>
      <x:c r="AC142" t="n">
        <x:v>19.44</x:v>
      </x:c>
      <x:c r="AD142" t="n">
        <x:v>1.23979</x:v>
      </x:c>
      <x:c r="AE142" t="n">
        <x:v>-3.24</x:v>
      </x:c>
      <x:c r="AF142" t="n">
        <x:v>0.763</x:v>
      </x:c>
      <x:c r="AG142" t="n">
        <x:v>1.18</x:v>
      </x:c>
      <x:c r="AH142" t="n">
        <x:v>1.11122</x:v>
      </x:c>
      <x:c r="AI142" t="n">
        <x:v>14.2</x:v>
      </x:c>
      <x:c r="AJ142" t="n">
        <x:v>0.868</x:v>
      </x:c>
      <x:c r="AK142" t="n">
        <x:v>1.56</x:v>
      </x:c>
      <x:c r="AL142" t="n">
        <x:v>1.66732</x:v>
      </x:c>
      <x:c r="AM142" t="n">
        <x:v>1.13</x:v>
      </x:c>
      <x:c r="AN142" t="n">
        <x:v>0.0526</x:v>
      </x:c>
      <x:c r="AO142" t="n">
        <x:v>0.7436</x:v>
      </x:c>
      <x:c r="AP142" t="n">
        <x:v>0.6665</x:v>
      </x:c>
      <x:c r="AQ142" t="n">
        <x:v>1</x:v>
      </x:c>
      <x:c r="AR142" t="n">
        <x:v>1.1157016612371986</x:v>
      </x:c>
      <x:c r="AS142" t="n">
        <x:v>0.002771113265379594</x:v>
      </x:c>
      <x:c r="AT142" t="n">
        <x:v>0.5529149575861284</x:v>
      </x:c>
      <x:c r="AU142" t="n">
        <x:v>0.44418325189953567</x:v>
      </x:c>
      <x:c r="AV142" t="str">
        <x:v>YES</x:v>
      </x:c>
    </x:row>
    <x:row r="143">
      <x:c r="A143" t="n">
        <x:v>275</x:v>
      </x:c>
      <x:c r="B143" t="n">
        <x:v>13</x:v>
      </x:c>
      <x:c r="C143" t="n">
        <x:v>132.71013</x:v>
      </x:c>
      <x:c r="D143" t="n">
        <x:v>0.52409</x:v>
      </x:c>
      <x:c r="E143" t="n">
        <x:v>24.54</x:v>
      </x:c>
      <x:c r="F143" t="n">
        <x:v>274.9973</x:v>
      </x:c>
      <x:c r="G143" t="n">
        <x:v>1.47391</x:v>
      </x:c>
      <x:c r="H143" t="n">
        <x:v>31.17</x:v>
      </x:c>
      <x:c r="I143" t="n">
        <x:v>274.99784</x:v>
      </x:c>
      <x:c r="J143" t="n">
        <x:v>1.36261</x:v>
      </x:c>
      <x:c r="K143" t="n">
        <x:v>35.25</x:v>
      </x:c>
      <x:c r="L143" t="n">
        <x:v>282.69484</x:v>
      </x:c>
      <x:c r="M143" t="n">
        <x:v>0.14776</x:v>
      </x:c>
      <x:c r="N143" t="n">
        <x:v>274.9973</x:v>
      </x:c>
      <x:c r="O143" t="n">
        <x:v>1.47391</x:v>
      </x:c>
      <x:c r="P143" t="n">
        <x:v>274.99784</x:v>
      </x:c>
      <x:c r="Q143" t="n">
        <x:v>1.36261</x:v>
      </x:c>
      <x:c r="R143" t="n">
        <x:v>274.99748</x:v>
      </x:c>
      <x:c r="S143" t="n">
        <x:v>-0.00252</x:v>
      </x:c>
      <x:c r="T143" t="n">
        <x:v>0.10652</x:v>
      </x:c>
      <x:c r="U143" t="n">
        <x:v>1.47391</x:v>
      </x:c>
      <x:c r="V143" t="n">
        <x:v>1.36261</x:v>
      </x:c>
      <x:c r="W143" t="n">
        <x:v>2.01009</x:v>
      </x:c>
      <x:c r="X143" t="n">
        <x:v>27.35</x:v>
      </x:c>
      <x:c r="Y143" t="str">
        <x:v>Y</x:v>
      </x:c>
      <x:c r="Z143" t="n">
        <x:v>0.11154</x:v>
      </x:c>
      <x:c r="AA143" t="n">
        <x:v>21.41</x:v>
      </x:c>
      <x:c r="AB143" t="n">
        <x:v>0.111</x:v>
      </x:c>
      <x:c r="AC143" t="n">
        <x:v>18.91</x:v>
      </x:c>
      <x:c r="AD143" t="n">
        <x:v>1.48084</x:v>
      </x:c>
      <x:c r="AE143" t="n">
        <x:v>-4.48</x:v>
      </x:c>
      <x:c r="AF143" t="n">
        <x:v>0.794</x:v>
      </x:c>
      <x:c r="AG143" t="n">
        <x:v>0.73</x:v>
      </x:c>
      <x:c r="AH143" t="n">
        <x:v>1.35926</x:v>
      </x:c>
      <x:c r="AI143" t="n">
        <x:v>14.72</x:v>
      </x:c>
      <x:c r="AJ143" t="n">
        <x:v>0.896</x:v>
      </x:c>
      <x:c r="AK143" t="n">
        <x:v>1.6</x:v>
      </x:c>
      <x:c r="AL143" t="n">
        <x:v>2.01335</x:v>
      </x:c>
      <x:c r="AM143" t="n">
        <x:v>0.68</x:v>
      </x:c>
      <x:c r="AN143" t="n">
        <x:v>0.0554</x:v>
      </x:c>
      <x:c r="AO143" t="n">
        <x:v>0.7355</x:v>
      </x:c>
      <x:c r="AP143" t="n">
        <x:v>0.6751</x:v>
      </x:c>
      <x:c r="AQ143" t="n">
        <x:v>1</x:v>
      </x:c>
      <x:c r="AR143" t="n">
        <x:v>1.0894457278224916</x:v>
      </x:c>
      <x:c r="AS143" t="n">
        <x:v>0.0030691825634308455</x:v>
      </x:c>
      <x:c r="AT143" t="n">
        <x:v>0.5409756479912112</x:v>
      </x:c>
      <x:c r="AU143" t="n">
        <x:v>0.45579180817202053</x:v>
      </x:c>
      <x:c r="AV143" t="str">
        <x:v>YES</x:v>
      </x:c>
    </x:row>
    <x:row r="144">
      <x:c r="A144" t="n">
        <x:v>275</x:v>
      </x:c>
      <x:c r="B144" t="n">
        <x:v>15</x:v>
      </x:c>
      <x:c r="C144" t="n">
        <x:v>346.38374</x:v>
      </x:c>
      <x:c r="D144" t="n">
        <x:v>0.45146</x:v>
      </x:c>
      <x:c r="E144" t="n">
        <x:v>22.79</x:v>
      </x:c>
      <x:c r="F144" t="n">
        <x:v>275.00235</x:v>
      </x:c>
      <x:c r="G144" t="n">
        <x:v>1.69782</x:v>
      </x:c>
      <x:c r="H144" t="n">
        <x:v>31.04</x:v>
      </x:c>
      <x:c r="I144" t="n">
        <x:v>275.00014</x:v>
      </x:c>
      <x:c r="J144" t="n">
        <x:v>1.67973</x:v>
      </x:c>
      <x:c r="K144" t="n">
        <x:v>35.81</x:v>
      </x:c>
      <x:c r="L144" t="n">
        <x:v>274.98153</x:v>
      </x:c>
      <x:c r="M144" t="n">
        <x:v>0.13052</x:v>
      </x:c>
      <x:c r="N144" t="n">
        <x:v>275.00235</x:v>
      </x:c>
      <x:c r="O144" t="n">
        <x:v>1.69782</x:v>
      </x:c>
      <x:c r="P144" t="n">
        <x:v>275.00014</x:v>
      </x:c>
      <x:c r="Q144" t="n">
        <x:v>1.67973</x:v>
      </x:c>
      <x:c r="R144" t="n">
        <x:v>275.0012</x:v>
      </x:c>
      <x:c r="S144" t="n">
        <x:v>0.0012</x:v>
      </x:c>
      <x:c r="T144" t="n">
        <x:v>0.13052</x:v>
      </x:c>
      <x:c r="U144" t="n">
        <x:v>1.69782</x:v>
      </x:c>
      <x:c r="V144" t="n">
        <x:v>1.67973</x:v>
      </x:c>
      <x:c r="W144" t="n">
        <x:v>2.39189</x:v>
      </x:c>
      <x:c r="X144" t="n">
        <x:v>31.85</x:v>
      </x:c>
      <x:c r="Y144" t="str">
        <x:v>Y</x:v>
      </x:c>
      <x:c r="Z144" t="n">
        <x:v>0.12168</x:v>
      </x:c>
      <x:c r="AA144" t="n">
        <x:v>23.74</x:v>
      </x:c>
      <x:c r="AB144" t="n">
        <x:v>0.115</x:v>
      </x:c>
      <x:c r="AC144" t="n">
        <x:v>7.51</x:v>
      </x:c>
      <x:c r="AD144" t="n">
        <x:v>1.68516</x:v>
      </x:c>
      <x:c r="AE144" t="n">
        <x:v>-7.52</x:v>
      </x:c>
      <x:c r="AF144" t="n">
        <x:v>0.779</x:v>
      </x:c>
      <x:c r="AG144" t="n">
        <x:v>0.97</x:v>
      </x:c>
      <x:c r="AH144" t="n">
        <x:v>1.68411</x:v>
      </x:c>
      <x:c r="AI144" t="n">
        <x:v>14.25</x:v>
      </x:c>
      <x:c r="AJ144" t="n">
        <x:v>0.902</x:v>
      </x:c>
      <x:c r="AK144" t="n">
        <x:v>1.74</x:v>
      </x:c>
      <x:c r="AL144" t="n">
        <x:v>2.38568</x:v>
      </x:c>
      <x:c r="AM144" t="n">
        <x:v>0.78</x:v>
      </x:c>
      <x:c r="AN144" t="n">
        <x:v>0.051</x:v>
      </x:c>
      <x:c r="AO144" t="n">
        <x:v>0.7064</x:v>
      </x:c>
      <x:c r="AP144" t="n">
        <x:v>0.7059</x:v>
      </x:c>
      <x:c r="AQ144" t="n">
        <x:v>1</x:v>
      </x:c>
      <x:c r="AR144" t="n">
        <x:v>1.0006234747136469</x:v>
      </x:c>
      <x:c r="AS144" t="n">
        <x:v>0.0026014412514010123</x:v>
      </x:c>
      <x:c r="AT144" t="n">
        <x:v>0.4989510079850137</x:v>
      </x:c>
      <x:c r="AU144" t="n">
        <x:v>0.4983294226858206</x:v>
      </x:c>
      <x:c r="AV144" t="str">
        <x:v>YES</x:v>
      </x:c>
    </x:row>
    <x:row r="145">
      <x:c r="A145" t="n">
        <x:v>275</x:v>
      </x:c>
      <x:c r="B145" t="n">
        <x:v>17</x:v>
      </x:c>
      <x:c r="C145" t="n">
        <x:v>132.59288</x:v>
      </x:c>
      <x:c r="D145" t="n">
        <x:v>0.67226</x:v>
      </x:c>
      <x:c r="E145" t="n">
        <x:v>26.04</x:v>
      </x:c>
      <x:c r="F145" t="n">
        <x:v>274.99884</x:v>
      </x:c>
      <x:c r="G145" t="n">
        <x:v>1.4845</x:v>
      </x:c>
      <x:c r="H145" t="n">
        <x:v>30.07</x:v>
      </x:c>
      <x:c r="I145" t="n">
        <x:v>275.00022</x:v>
      </x:c>
      <x:c r="J145" t="n">
        <x:v>2.39201</x:v>
      </x:c>
      <x:c r="K145" t="n">
        <x:v>36.28</x:v>
      </x:c>
      <x:c r="L145" t="n">
        <x:v>274.97802</x:v>
      </x:c>
      <x:c r="M145" t="n">
        <x:v>0.19725</x:v>
      </x:c>
      <x:c r="N145" t="n">
        <x:v>274.99884</x:v>
      </x:c>
      <x:c r="O145" t="n">
        <x:v>1.4845</x:v>
      </x:c>
      <x:c r="P145" t="n">
        <x:v>275.00022</x:v>
      </x:c>
      <x:c r="Q145" t="n">
        <x:v>2.39201</x:v>
      </x:c>
      <x:c r="R145" t="n">
        <x:v>274.99973</x:v>
      </x:c>
      <x:c r="S145" t="n">
        <x:v>-0.00027</x:v>
      </x:c>
      <x:c r="T145" t="n">
        <x:v>0.19725</x:v>
      </x:c>
      <x:c r="U145" t="n">
        <x:v>1.4845</x:v>
      </x:c>
      <x:c r="V145" t="n">
        <x:v>2.39201</x:v>
      </x:c>
      <x:c r="W145" t="n">
        <x:v>2.82212</x:v>
      </x:c>
      <x:c r="X145" t="n">
        <x:v>36.79</x:v>
      </x:c>
      <x:c r="Y145" t="str">
        <x:v>Z</x:v>
      </x:c>
      <x:c r="Z145" t="n">
        <x:v>0.19333</x:v>
      </x:c>
      <x:c r="AA145" t="n">
        <x:v>16.52</x:v>
      </x:c>
      <x:c r="AB145" t="n">
        <x:v>0.158</x:v>
      </x:c>
      <x:c r="AC145" t="n">
        <x:v>8.77</x:v>
      </x:c>
      <x:c r="AD145" t="n">
        <x:v>1.43614</x:v>
      </x:c>
      <x:c r="AE145" t="n">
        <x:v>-3.91</x:v>
      </x:c>
      <x:c r="AF145" t="n">
        <x:v>0.727</x:v>
      </x:c>
      <x:c r="AG145" t="n">
        <x:v>2.36</x:v>
      </x:c>
      <x:c r="AH145" t="n">
        <x:v>2.42662</x:v>
      </x:c>
      <x:c r="AI145" t="n">
        <x:v>10.17</x:v>
      </x:c>
      <x:c r="AJ145" t="n">
        <x:v>0.872</x:v>
      </x:c>
      <x:c r="AK145" t="n">
        <x:v>1.13</x:v>
      </x:c>
      <x:c r="AL145" t="n">
        <x:v>2.82653</x:v>
      </x:c>
      <x:c r="AM145" t="n">
        <x:v>1.14</x:v>
      </x:c>
      <x:c r="AN145" t="n">
        <x:v>0.0684</x:v>
      </x:c>
      <x:c r="AO145" t="n">
        <x:v>0.5081</x:v>
      </x:c>
      <x:c r="AP145" t="n">
        <x:v>0.8585</x:v>
      </x:c>
      <x:c r="AQ145" t="n">
        <x:v>1</x:v>
      </x:c>
      <x:c r="AR145" t="n">
        <x:v>0.5918273153604602</x:v>
      </x:c>
      <x:c r="AS145" t="n">
        <x:v>0.004678334852577691</x:v>
      </x:c>
      <x:c r="AT145" t="n">
        <x:v>0.2581584580764068</x:v>
      </x:c>
      <x:c r="AU145" t="n">
        <x:v>0.7370489753840517</x:v>
      </x:c>
      <x:c r="AV145" t="str">
        <x:v>YES</x:v>
      </x:c>
    </x:row>
    <x:row r="146">
      <x:c r="A146" t="n">
        <x:v>275</x:v>
      </x:c>
      <x:c r="B146" t="n">
        <x:v>19</x:v>
      </x:c>
      <x:c r="C146" t="n">
        <x:v>132.72696</x:v>
      </x:c>
      <x:c r="D146" t="n">
        <x:v>0.69926</x:v>
      </x:c>
      <x:c r="E146" t="n">
        <x:v>25.31</x:v>
      </x:c>
      <x:c r="F146" t="n">
        <x:v>274.99542</x:v>
      </x:c>
      <x:c r="G146" t="n">
        <x:v>1.09821</x:v>
      </x:c>
      <x:c r="H146" t="n">
        <x:v>27.78</x:v>
      </x:c>
      <x:c r="I146" t="n">
        <x:v>275.0037</x:v>
      </x:c>
      <x:c r="J146" t="n">
        <x:v>3.33806</x:v>
      </x:c>
      <x:c r="K146" t="n">
        <x:v>37.66</x:v>
      </x:c>
      <x:c r="L146" t="n">
        <x:v>274.98919</x:v>
      </x:c>
      <x:c r="M146" t="n">
        <x:v>0.28256</x:v>
      </x:c>
      <x:c r="N146" t="n">
        <x:v>274.99542</x:v>
      </x:c>
      <x:c r="O146" t="n">
        <x:v>1.09821</x:v>
      </x:c>
      <x:c r="P146" t="n">
        <x:v>275.0037</x:v>
      </x:c>
      <x:c r="Q146" t="n">
        <x:v>3.33806</x:v>
      </x:c>
      <x:c r="R146" t="n">
        <x:v>275.00281</x:v>
      </x:c>
      <x:c r="S146" t="n">
        <x:v>0.00281</x:v>
      </x:c>
      <x:c r="T146" t="n">
        <x:v>0.28256</x:v>
      </x:c>
      <x:c r="U146" t="n">
        <x:v>1.09821</x:v>
      </x:c>
      <x:c r="V146" t="n">
        <x:v>3.33806</x:v>
      </x:c>
      <x:c r="W146" t="n">
        <x:v>3.52542</x:v>
      </x:c>
      <x:c r="X146" t="n">
        <x:v>34.28</x:v>
      </x:c>
      <x:c r="Y146" t="str">
        <x:v>Z</x:v>
      </x:c>
      <x:c r="Z146" t="n">
        <x:v>0.28376</x:v>
      </x:c>
      <x:c r="AA146" t="n">
        <x:v>6.28</x:v>
      </x:c>
      <x:c r="AB146" t="n">
        <x:v>0.214</x:v>
      </x:c>
      <x:c r="AC146" t="n">
        <x:v>10.8</x:v>
      </x:c>
      <x:c r="AD146" t="n">
        <x:v>1.12197</x:v>
      </x:c>
      <x:c r="AE146" t="n">
        <x:v>14.25</x:v>
      </x:c>
      <x:c r="AF146" t="n">
        <x:v>0.647</x:v>
      </x:c>
      <x:c r="AG146" t="n">
        <x:v>2.26</x:v>
      </x:c>
      <x:c r="AH146" t="n">
        <x:v>3.37262</x:v>
      </x:c>
      <x:c r="AI146" t="n">
        <x:v>3.39</x:v>
      </x:c>
      <x:c r="AJ146" t="n">
        <x:v>0.899</x:v>
      </x:c>
      <x:c r="AK146" t="n">
        <x:v>0.74</x:v>
      </x:c>
      <x:c r="AL146" t="n">
        <x:v>3.56587</x:v>
      </x:c>
      <x:c r="AM146" t="n">
        <x:v>0.49</x:v>
      </x:c>
      <x:c r="AN146" t="n">
        <x:v>0.0796</x:v>
      </x:c>
      <x:c r="AO146" t="n">
        <x:v>0.3146</x:v>
      </x:c>
      <x:c r="AP146" t="n">
        <x:v>0.9458</x:v>
      </x:c>
      <x:c r="AQ146" t="n">
        <x:v>1</x:v>
      </x:c>
      <x:c r="AR146" t="n">
        <x:v>0.3326701496166185</x:v>
      </x:c>
      <x:c r="AS146" t="n">
        <x:v>0.006332443719057588</x:v>
      </x:c>
      <x:c r="AT146" t="n">
        <x:v>0.09899915253089603</x:v>
      </x:c>
      <x:c r="AU146" t="n">
        <x:v>0.8945483311974662</x:v>
      </x:c>
      <x:c r="AV146" t="str">
        <x:v>YES</x:v>
      </x:c>
    </x:row>
    <x:row r="147">
      <x:c r="A147" t="n">
        <x:v>275</x:v>
      </x:c>
      <x:c r="B147" t="n">
        <x:v>21</x:v>
      </x:c>
      <x:c r="C147" t="n">
        <x:v>132.42573</x:v>
      </x:c>
      <x:c r="D147" t="n">
        <x:v>0.54819</x:v>
      </x:c>
      <x:c r="E147" t="n">
        <x:v>24.49</x:v>
      </x:c>
      <x:c r="F147" t="n">
        <x:v>274.999</x:v>
      </x:c>
      <x:c r="G147" t="n">
        <x:v>1.08223</x:v>
      </x:c>
      <x:c r="H147" t="n">
        <x:v>28.85</x:v>
      </x:c>
      <x:c r="I147" t="n">
        <x:v>274.99622</x:v>
      </x:c>
      <x:c r="J147" t="n">
        <x:v>4.03856</x:v>
      </x:c>
      <x:c r="K147" t="n">
        <x:v>38.43</x:v>
      </x:c>
      <x:c r="L147" t="n">
        <x:v>274.97073</x:v>
      </x:c>
      <x:c r="M147" t="n">
        <x:v>0.36654</x:v>
      </x:c>
      <x:c r="N147" t="n">
        <x:v>274.999</x:v>
      </x:c>
      <x:c r="O147" t="n">
        <x:v>1.08223</x:v>
      </x:c>
      <x:c r="P147" t="n">
        <x:v>274.99622</x:v>
      </x:c>
      <x:c r="Q147" t="n">
        <x:v>4.03856</x:v>
      </x:c>
      <x:c r="R147" t="n">
        <x:v>274.99621</x:v>
      </x:c>
      <x:c r="S147" t="n">
        <x:v>-0.00379</x:v>
      </x:c>
      <x:c r="T147" t="n">
        <x:v>0.36654</x:v>
      </x:c>
      <x:c r="U147" t="n">
        <x:v>1.08223</x:v>
      </x:c>
      <x:c r="V147" t="n">
        <x:v>4.03856</x:v>
      </x:c>
      <x:c r="W147" t="n">
        <x:v>4.19709</x:v>
      </x:c>
      <x:c r="X147" t="n">
        <x:v>26.53</x:v>
      </x:c>
      <x:c r="Y147" t="str">
        <x:v>Z</x:v>
      </x:c>
      <x:c r="Z147" t="n">
        <x:v>0.36237</x:v>
      </x:c>
      <x:c r="AA147" t="n">
        <x:v>-2.49</x:v>
      </x:c>
      <x:c r="AB147" t="n">
        <x:v>0.31</x:v>
      </x:c>
      <x:c r="AC147" t="n">
        <x:v>4.98</x:v>
      </x:c>
      <x:c r="AD147" t="n">
        <x:v>1.08026</x:v>
      </x:c>
      <x:c r="AE147" t="n">
        <x:v>32.8</x:v>
      </x:c>
      <x:c r="AF147" t="n">
        <x:v>0.683</x:v>
      </x:c>
      <x:c r="AG147" t="n">
        <x:v>2.06</x:v>
      </x:c>
      <x:c r="AH147" t="n">
        <x:v>4.05366</x:v>
      </x:c>
      <x:c r="AI147" t="n">
        <x:v>-0.36</x:v>
      </x:c>
      <x:c r="AJ147" t="n">
        <x:v>0.914</x:v>
      </x:c>
      <x:c r="AK147" t="n">
        <x:v>0.42</x:v>
      </x:c>
      <x:c r="AL147" t="n">
        <x:v>4.21082</x:v>
      </x:c>
      <x:c r="AM147" t="n">
        <x:v>0.49</x:v>
      </x:c>
      <x:c r="AN147" t="n">
        <x:v>0.0861</x:v>
      </x:c>
      <x:c r="AO147" t="n">
        <x:v>0.2565</x:v>
      </x:c>
      <x:c r="AP147" t="n">
        <x:v>0.9627</x:v>
      </x:c>
      <x:c r="AQ147" t="n">
        <x:v>1</x:v>
      </x:c>
      <x:c r="AR147" t="n">
        <x:v>0.26649003616484856</x:v>
      </x:c>
      <x:c r="AS147" t="n">
        <x:v>0.007405785310185248</x:v>
      </x:c>
      <x:c r="AT147" t="n">
        <x:v>0.06581475008523274</x:v>
      </x:c>
      <x:c r="AU147" t="n">
        <x:v>0.926747205164259</x:v>
      </x:c>
      <x:c r="AV147" t="str">
        <x:v>YES</x:v>
      </x:c>
    </x:row>
    <x:row r="148">
      <x:c r="A148" t="n">
        <x:v>275</x:v>
      </x:c>
      <x:c r="B148" t="n">
        <x:v>23</x:v>
      </x:c>
      <x:c r="C148" t="n">
        <x:v>132.59574</x:v>
      </x:c>
      <x:c r="D148" t="n">
        <x:v>0.50846</x:v>
      </x:c>
      <x:c r="E148" t="n">
        <x:v>24.44</x:v>
      </x:c>
      <x:c r="F148" t="n">
        <x:v>275.0226</x:v>
      </x:c>
      <x:c r="G148" t="n">
        <x:v>1.17839</x:v>
      </x:c>
      <x:c r="H148" t="n">
        <x:v>28.9</x:v>
      </x:c>
      <x:c r="I148" t="n">
        <x:v>274.99973</x:v>
      </x:c>
      <x:c r="J148" t="n">
        <x:v>4.62595</x:v>
      </x:c>
      <x:c r="K148" t="n">
        <x:v>39.52</x:v>
      </x:c>
      <x:c r="L148" t="n">
        <x:v>275.00557</x:v>
      </x:c>
      <x:c r="M148" t="n">
        <x:v>0.42016</x:v>
      </x:c>
      <x:c r="N148" t="n">
        <x:v>275.0226</x:v>
      </x:c>
      <x:c r="O148" t="n">
        <x:v>1.17839</x:v>
      </x:c>
      <x:c r="P148" t="n">
        <x:v>274.99973</x:v>
      </x:c>
      <x:c r="Q148" t="n">
        <x:v>4.62595</x:v>
      </x:c>
      <x:c r="R148" t="n">
        <x:v>275.00116</x:v>
      </x:c>
      <x:c r="S148" t="n">
        <x:v>0.00116</x:v>
      </x:c>
      <x:c r="T148" t="n">
        <x:v>0.42016</x:v>
      </x:c>
      <x:c r="U148" t="n">
        <x:v>1.17839</x:v>
      </x:c>
      <x:c r="V148" t="n">
        <x:v>4.62595</x:v>
      </x:c>
      <x:c r="W148" t="n">
        <x:v>4.79214</x:v>
      </x:c>
      <x:c r="X148" t="n">
        <x:v>40.23</x:v>
      </x:c>
      <x:c r="Y148" t="str">
        <x:v>Z</x:v>
      </x:c>
      <x:c r="Z148" t="n">
        <x:v>0.42623</x:v>
      </x:c>
      <x:c r="AA148" t="n">
        <x:v>-3.34</x:v>
      </x:c>
      <x:c r="AB148" t="n">
        <x:v>0.384</x:v>
      </x:c>
      <x:c r="AC148" t="n">
        <x:v>5.27</x:v>
      </x:c>
      <x:c r="AD148" t="n">
        <x:v>1.17909</x:v>
      </x:c>
      <x:c r="AE148" t="n">
        <x:v>48.07</x:v>
      </x:c>
      <x:c r="AF148" t="n">
        <x:v>0.675</x:v>
      </x:c>
      <x:c r="AG148" t="n">
        <x:v>1.36</x:v>
      </x:c>
      <x:c r="AH148" t="n">
        <x:v>4.65783</x:v>
      </x:c>
      <x:c r="AI148" t="n">
        <x:v>-2.24</x:v>
      </x:c>
      <x:c r="AJ148" t="n">
        <x:v>0.929</x:v>
      </x:c>
      <x:c r="AK148" t="n">
        <x:v>0.76</x:v>
      </x:c>
      <x:c r="AL148" t="n">
        <x:v>4.82368</x:v>
      </x:c>
      <x:c r="AM148" t="n">
        <x:v>0.74</x:v>
      </x:c>
      <x:c r="AN148" t="n">
        <x:v>0.0884</x:v>
      </x:c>
      <x:c r="AO148" t="n">
        <x:v>0.2444</x:v>
      </x:c>
      <x:c r="AP148" t="n">
        <x:v>0.9656</x:v>
      </x:c>
      <x:c r="AQ148" t="n">
        <x:v>1</x:v>
      </x:c>
      <x:c r="AR148" t="n">
        <x:v>0.25314148433927386</x:v>
      </x:c>
      <x:c r="AS148" t="n">
        <x:v>0.007807842598497019</x:v>
      </x:c>
      <x:c r="AT148" t="n">
        <x:v>0.05974986572660567</x:v>
      </x:c>
      <x:c r="AU148" t="n">
        <x:v>0.9324172274111617</x:v>
      </x:c>
      <x:c r="AV148" t="str">
        <x:v>YES</x:v>
      </x:c>
    </x:row>
    <x:row r="149">
      <x:c r="A149" t="n">
        <x:v>275</x:v>
      </x:c>
      <x:c r="B149" t="n">
        <x:v>25</x:v>
      </x:c>
      <x:c r="C149" t="n">
        <x:v>132.54087</x:v>
      </x:c>
      <x:c r="D149" t="n">
        <x:v>0.52049</x:v>
      </x:c>
      <x:c r="E149" t="n">
        <x:v>23.55</x:v>
      </x:c>
      <x:c r="F149" t="n">
        <x:v>274.99243</x:v>
      </x:c>
      <x:c r="G149" t="n">
        <x:v>1.34367</x:v>
      </x:c>
      <x:c r="H149" t="n">
        <x:v>30.04</x:v>
      </x:c>
      <x:c r="I149" t="n">
        <x:v>275.00207</x:v>
      </x:c>
      <x:c r="J149" t="n">
        <x:v>5.22546</x:v>
      </x:c>
      <x:c r="K149" t="n">
        <x:v>39.96</x:v>
      </x:c>
      <x:c r="L149" t="n">
        <x:v>275.00109</x:v>
      </x:c>
      <x:c r="M149" t="n">
        <x:v>0.46746</x:v>
      </x:c>
      <x:c r="N149" t="n">
        <x:v>274.99243</x:v>
      </x:c>
      <x:c r="O149" t="n">
        <x:v>1.34367</x:v>
      </x:c>
      <x:c r="P149" t="n">
        <x:v>275.00207</x:v>
      </x:c>
      <x:c r="Q149" t="n">
        <x:v>5.22546</x:v>
      </x:c>
      <x:c r="R149" t="n">
        <x:v>275.00147</x:v>
      </x:c>
      <x:c r="S149" t="n">
        <x:v>0.00147</x:v>
      </x:c>
      <x:c r="T149" t="n">
        <x:v>0.46746</x:v>
      </x:c>
      <x:c r="U149" t="n">
        <x:v>1.34367</x:v>
      </x:c>
      <x:c r="V149" t="n">
        <x:v>5.22546</x:v>
      </x:c>
      <x:c r="W149" t="n">
        <x:v>5.41566</x:v>
      </x:c>
      <x:c r="X149" t="n">
        <x:v>33.97</x:v>
      </x:c>
      <x:c r="Y149" t="str">
        <x:v>Z</x:v>
      </x:c>
      <x:c r="Z149" t="n">
        <x:v>0.48748</x:v>
      </x:c>
      <x:c r="AA149" t="n">
        <x:v>-7.87</x:v>
      </x:c>
      <x:c r="AB149" t="n">
        <x:v>0.4</x:v>
      </x:c>
      <x:c r="AC149" t="n">
        <x:v>6.99</x:v>
      </x:c>
      <x:c r="AD149" t="n">
        <x:v>1.33791</x:v>
      </x:c>
      <x:c r="AE149" t="n">
        <x:v>54.17</x:v>
      </x:c>
      <x:c r="AF149" t="n">
        <x:v>0.712</x:v>
      </x:c>
      <x:c r="AG149" t="n">
        <x:v>1.7</x:v>
      </x:c>
      <x:c r="AH149" t="n">
        <x:v>5.21148</x:v>
      </x:c>
      <x:c r="AI149" t="n">
        <x:v>-5.31</x:v>
      </x:c>
      <x:c r="AJ149" t="n">
        <x:v>0.929</x:v>
      </x:c>
      <x:c r="AK149" t="n">
        <x:v>0.6</x:v>
      </x:c>
      <x:c r="AL149" t="n">
        <x:v>5.40263</x:v>
      </x:c>
      <x:c r="AM149" t="n">
        <x:v>0.64</x:v>
      </x:c>
      <x:c r="AN149" t="n">
        <x:v>0.0902</x:v>
      </x:c>
      <x:c r="AO149" t="n">
        <x:v>0.2476</x:v>
      </x:c>
      <x:c r="AP149" t="n">
        <x:v>0.9646</x:v>
      </x:c>
      <x:c r="AQ149" t="n">
        <x:v>1</x:v>
      </x:c>
      <x:c r="AR149" t="n">
        <x:v>0.2567236178590343</x:v>
      </x:c>
      <x:c r="AS149" t="n">
        <x:v>0.008141476117920796</x:v>
      </x:c>
      <x:c r="AT149" t="n">
        <x:v>0.06132581774308218</x:v>
      </x:c>
      <x:c r="AU149" t="n">
        <x:v>0.9304899765774749</x:v>
      </x:c>
      <x:c r="AV149" t="str">
        <x:v>YES</x:v>
      </x:c>
    </x:row>
    <x:row r="150">
      <x:c r="A150" t="n">
        <x:v>275</x:v>
      </x:c>
      <x:c r="B150" t="n">
        <x:v>27</x:v>
      </x:c>
      <x:c r="C150" t="n">
        <x:v>274.9963</x:v>
      </x:c>
      <x:c r="D150" t="n">
        <x:v>0.54442</x:v>
      </x:c>
      <x:c r="E150" t="n">
        <x:v>24.43</x:v>
      </x:c>
      <x:c r="F150" t="n">
        <x:v>274.99891</x:v>
      </x:c>
      <x:c r="G150" t="n">
        <x:v>1.59331</x:v>
      </x:c>
      <x:c r="H150" t="n">
        <x:v>31.17</x:v>
      </x:c>
      <x:c r="I150" t="n">
        <x:v>275.00296</x:v>
      </x:c>
      <x:c r="J150" t="n">
        <x:v>5.85685</x:v>
      </x:c>
      <x:c r="K150" t="n">
        <x:v>40.33</x:v>
      </x:c>
      <x:c r="L150" t="n">
        <x:v>274.9963</x:v>
      </x:c>
      <x:c r="M150" t="n">
        <x:v>0.54442</x:v>
      </x:c>
      <x:c r="N150" t="n">
        <x:v>274.99891</x:v>
      </x:c>
      <x:c r="O150" t="n">
        <x:v>1.59331</x:v>
      </x:c>
      <x:c r="P150" t="n">
        <x:v>275.00296</x:v>
      </x:c>
      <x:c r="Q150" t="n">
        <x:v>5.85685</x:v>
      </x:c>
      <x:c r="R150" t="n">
        <x:v>275.00263</x:v>
      </x:c>
      <x:c r="S150" t="n">
        <x:v>0.00263</x:v>
      </x:c>
      <x:c r="T150" t="n">
        <x:v>0.54442</x:v>
      </x:c>
      <x:c r="U150" t="n">
        <x:v>1.59331</x:v>
      </x:c>
      <x:c r="V150" t="n">
        <x:v>5.85685</x:v>
      </x:c>
      <x:c r="W150" t="n">
        <x:v>6.09408</x:v>
      </x:c>
      <x:c r="X150" t="n">
        <x:v>38.58</x:v>
      </x:c>
      <x:c r="Y150" t="str">
        <x:v>Z</x:v>
      </x:c>
      <x:c r="Z150" t="n">
        <x:v>0.52788</x:v>
      </x:c>
      <x:c r="AA150" t="n">
        <x:v>-6.99</x:v>
      </x:c>
      <x:c r="AB150" t="n">
        <x:v>0.439</x:v>
      </x:c>
      <x:c r="AC150" t="n">
        <x:v>4.03</x:v>
      </x:c>
      <x:c r="AD150" t="n">
        <x:v>1.60322</x:v>
      </x:c>
      <x:c r="AE150" t="n">
        <x:v>61.95</x:v>
      </x:c>
      <x:c r="AF150" t="n">
        <x:v>0.768</x:v>
      </x:c>
      <x:c r="AG150" t="n">
        <x:v>1.36</x:v>
      </x:c>
      <x:c r="AH150" t="n">
        <x:v>5.90645</x:v>
      </x:c>
      <x:c r="AI150" t="n">
        <x:v>-6.59</x:v>
      </x:c>
      <x:c r="AJ150" t="n">
        <x:v>0.936</x:v>
      </x:c>
      <x:c r="AK150" t="n">
        <x:v>0.49</x:v>
      </x:c>
      <x:c r="AL150" t="n">
        <x:v>6.14296</x:v>
      </x:c>
      <x:c r="AM150" t="n">
        <x:v>0.45</x:v>
      </x:c>
      <x:c r="AN150" t="n">
        <x:v>0.0859</x:v>
      </x:c>
      <x:c r="AO150" t="n">
        <x:v>0.261</x:v>
      </x:c>
      <x:c r="AP150" t="n">
        <x:v>0.9615</x:v>
      </x:c>
      <x:c r="AQ150" t="n">
        <x:v>1</x:v>
      </x:c>
      <x:c r="AR150" t="n">
        <x:v>0.2714354646191875</x:v>
      </x:c>
      <x:c r="AS150" t="n">
        <x:v>0.0073843970686346344</x:v>
      </x:c>
      <x:c r="AT150" t="n">
        <x:v>0.06811313491129067</x:v>
      </x:c>
      <x:c r="AU150" t="n">
        <x:v>0.924480359231696</x:v>
      </x:c>
      <x:c r="AV150" t="str">
        <x:v>YES</x:v>
      </x:c>
    </x:row>
    <x:row r="151">
      <x:c r="A151" t="n">
        <x:v>275</x:v>
      </x:c>
      <x:c r="B151" t="n">
        <x:v>29</x:v>
      </x:c>
      <x:c r="C151" t="n">
        <x:v>274.99039</x:v>
      </x:c>
      <x:c r="D151" t="n">
        <x:v>0.61209</x:v>
      </x:c>
      <x:c r="E151" t="n">
        <x:v>25.01</x:v>
      </x:c>
      <x:c r="F151" t="n">
        <x:v>274.99823</x:v>
      </x:c>
      <x:c r="G151" t="n">
        <x:v>1.8284</x:v>
      </x:c>
      <x:c r="H151" t="n">
        <x:v>32.11</x:v>
      </x:c>
      <x:c r="I151" t="n">
        <x:v>275.00035</x:v>
      </x:c>
      <x:c r="J151" t="n">
        <x:v>6.51343</x:v>
      </x:c>
      <x:c r="K151" t="n">
        <x:v>40.75</x:v>
      </x:c>
      <x:c r="L151" t="n">
        <x:v>274.99039</x:v>
      </x:c>
      <x:c r="M151" t="n">
        <x:v>0.61209</x:v>
      </x:c>
      <x:c r="N151" t="n">
        <x:v>274.99823</x:v>
      </x:c>
      <x:c r="O151" t="n">
        <x:v>1.8284</x:v>
      </x:c>
      <x:c r="P151" t="n">
        <x:v>275.00035</x:v>
      </x:c>
      <x:c r="Q151" t="n">
        <x:v>6.51343</x:v>
      </x:c>
      <x:c r="R151" t="n">
        <x:v>275.00011</x:v>
      </x:c>
      <x:c r="S151" t="n">
        <x:v>0.00011</x:v>
      </x:c>
      <x:c r="T151" t="n">
        <x:v>0.61209</x:v>
      </x:c>
      <x:c r="U151" t="n">
        <x:v>1.8284</x:v>
      </x:c>
      <x:c r="V151" t="n">
        <x:v>6.51343</x:v>
      </x:c>
      <x:c r="W151" t="n">
        <x:v>6.79283</x:v>
      </x:c>
      <x:c r="X151" t="n">
        <x:v>41.68</x:v>
      </x:c>
      <x:c r="Y151" t="str">
        <x:v>Z</x:v>
      </x:c>
      <x:c r="Z151" t="n">
        <x:v>0.6399</x:v>
      </x:c>
      <x:c r="AA151" t="n">
        <x:v>-10.27</x:v>
      </x:c>
      <x:c r="AB151" t="n">
        <x:v>0.546</x:v>
      </x:c>
      <x:c r="AC151" t="n">
        <x:v>3.2</x:v>
      </x:c>
      <x:c r="AD151" t="n">
        <x:v>1.79885</x:v>
      </x:c>
      <x:c r="AE151" t="n">
        <x:v>63.8</x:v>
      </x:c>
      <x:c r="AF151" t="n">
        <x:v>0.811</x:v>
      </x:c>
      <x:c r="AG151" t="n">
        <x:v>1.42</x:v>
      </x:c>
      <x:c r="AH151" t="n">
        <x:v>6.52926</x:v>
      </x:c>
      <x:c r="AI151" t="n">
        <x:v>-8.41</x:v>
      </x:c>
      <x:c r="AJ151" t="n">
        <x:v>0.939</x:v>
      </x:c>
      <x:c r="AK151" t="n">
        <x:v>0.85</x:v>
      </x:c>
      <x:c r="AL151" t="n">
        <x:v>6.80275</x:v>
      </x:c>
      <x:c r="AM151" t="n">
        <x:v>0.81</x:v>
      </x:c>
      <x:c r="AN151" t="n">
        <x:v>0.0941</x:v>
      </x:c>
      <x:c r="AO151" t="n">
        <x:v>0.2644</x:v>
      </x:c>
      <x:c r="AP151" t="n">
        <x:v>0.9598</x:v>
      </x:c>
      <x:c r="AQ151" t="n">
        <x:v>1</x:v>
      </x:c>
      <x:c r="AR151" t="n">
        <x:v>0.2755059532014348</x:v>
      </x:c>
      <x:c r="AS151" t="n">
        <x:v>0.00884820545418382</x:v>
      </x:c>
      <x:c r="AT151" t="n">
        <x:v>0.06992313297000928</x:v>
      </x:c>
      <x:c r="AU151" t="n">
        <x:v>0.9212105516071605</x:v>
      </x:c>
      <x:c r="AV151" t="str">
        <x:v>YES</x:v>
      </x:c>
    </x:row>
    <x:row r="152">
      <x:c r="A152" t="n">
        <x:v>300</x:v>
      </x:c>
      <x:c r="B152" t="n">
        <x:v>1</x:v>
      </x:c>
      <x:c r="C152" t="n">
        <x:v>157.60879</x:v>
      </x:c>
      <x:c r="D152" t="n">
        <x:v>0.58185</x:v>
      </x:c>
      <x:c r="E152" t="n">
        <x:v>31.86</x:v>
      </x:c>
      <x:c r="F152" t="n">
        <x:v>157.59986</x:v>
      </x:c>
      <x:c r="G152" t="n">
        <x:v>0.38847</x:v>
      </x:c>
      <x:c r="H152" t="n">
        <x:v>26.25</x:v>
      </x:c>
      <x:c r="I152" t="n">
        <x:v>600.01991</x:v>
      </x:c>
      <x:c r="J152" t="n">
        <x:v>0.35763</x:v>
      </x:c>
      <x:c r="K152" t="n">
        <x:v>26.37</x:v>
      </x:c>
      <x:c r="L152" t="n">
        <x:v>304.45414</x:v>
      </x:c>
      <x:c r="M152" t="n">
        <x:v>0.0189</x:v>
      </x:c>
      <x:c r="N152" t="n">
        <x:v>293.37934</x:v>
      </x:c>
      <x:c r="O152" t="n">
        <x:v>0.02177</x:v>
      </x:c>
      <x:c r="P152" t="n">
        <x:v>304.66525</x:v>
      </x:c>
      <x:c r="Q152" t="n">
        <x:v>0.02591</x:v>
      </x:c>
      <x:c r="R152" t="n">
        <x:v>304.74273</x:v>
      </x:c>
      <x:c r="S152" t="n">
        <x:v>4.74273</x:v>
      </x:c>
      <x:c r="T152" t="n">
        <x:v>0.0189</x:v>
      </x:c>
      <x:c r="U152" t="n">
        <x:v>0.0145</x:v>
      </x:c>
      <x:c r="V152" t="n">
        <x:v>0.02591</x:v>
      </x:c>
      <x:c r="W152" t="n">
        <x:v>0.0352</x:v>
      </x:c>
      <x:c r="X152" t="n">
        <x:v>4.3</x:v>
      </x:c>
      <x:c r="Y152" t="str">
        <x:v>Z</x:v>
      </x:c>
      <x:c r="Z152" t="n">
        <x:v>0.01328</x:v>
      </x:c>
      <x:c r="AA152" t="n">
        <x:v>44.52</x:v>
      </x:c>
      <x:c r="AB152" t="n">
        <x:v>0.017</x:v>
      </x:c>
      <x:c r="AC152" t="n">
        <x:v>44.77</x:v>
      </x:c>
      <x:c r="AD152" t="n">
        <x:v>0.01666</x:v>
      </x:c>
      <x:c r="AE152" t="n">
        <x:v>-179.84</x:v>
      </x:c>
      <x:c r="AF152" t="n">
        <x:v>0.021</x:v>
      </x:c>
      <x:c r="AG152" t="n">
        <x:v>79.37</x:v>
      </x:c>
      <x:c r="AH152" t="n">
        <x:v>0.02302</x:v>
      </x:c>
      <x:c r="AI152" t="n">
        <x:v>160.3</x:v>
      </x:c>
      <x:c r="AJ152" t="n">
        <x:v>0.041</x:v>
      </x:c>
      <x:c r="AK152" t="n">
        <x:v>40.16</x:v>
      </x:c>
      <x:c r="AL152" t="n">
        <x:v>0.03289</x:v>
      </x:c>
      <x:c r="AM152" t="n">
        <x:v>40.07</x:v>
      </x:c>
      <x:c r="AN152" t="n">
        <x:v>0.4038</x:v>
      </x:c>
      <x:c r="AO152" t="n">
        <x:v>0.5066</x:v>
      </x:c>
      <x:c r="AP152" t="n">
        <x:v>0.7</x:v>
      </x:c>
      <x:c r="AQ152" t="n">
        <x:v>0</x:v>
      </x:c>
      <x:c r="AR152" t="n">
        <x:v>0.7237185056472634</x:v>
      </x:c>
      <x:c r="AS152" t="n">
        <x:v>0.16303032829795291</x:v>
      </x:c>
      <x:c r="AT152" t="n">
        <x:v>0.2565796729213653</x:v>
      </x:c>
      <x:c r="AU152" t="n">
        <x:v>0.4898723099312679</x:v>
      </x:c>
      <x:c r="AV152" t="str">
        <x:v>NO</x:v>
      </x:c>
    </x:row>
    <x:row r="153">
      <x:c r="A153" t="n">
        <x:v>300</x:v>
      </x:c>
      <x:c r="B153" t="n">
        <x:v>3</x:v>
      </x:c>
      <x:c r="C153" t="n">
        <x:v>157.51414</x:v>
      </x:c>
      <x:c r="D153" t="n">
        <x:v>0.73496</x:v>
      </x:c>
      <x:c r="E153" t="n">
        <x:v>29.84</x:v>
      </x:c>
      <x:c r="F153" t="n">
        <x:v>157.51669</x:v>
      </x:c>
      <x:c r="G153" t="n">
        <x:v>0.47948</x:v>
      </x:c>
      <x:c r="H153" t="n">
        <x:v>23.84</x:v>
      </x:c>
      <x:c r="I153" t="n">
        <x:v>299.95045</x:v>
      </x:c>
      <x:c r="J153" t="n">
        <x:v>0.27077</x:v>
      </x:c>
      <x:c r="K153" t="n">
        <x:v>23.03</x:v>
      </x:c>
      <x:c r="L153" t="n">
        <x:v>299.97795</x:v>
      </x:c>
      <x:c r="M153" t="n">
        <x:v>0.04424</x:v>
      </x:c>
      <x:c r="N153" t="n">
        <x:v>300.00053</x:v>
      </x:c>
      <x:c r="O153" t="n">
        <x:v>0.41034</x:v>
      </x:c>
      <x:c r="P153" t="n">
        <x:v>299.95045</x:v>
      </x:c>
      <x:c r="Q153" t="n">
        <x:v>0.27077</x:v>
      </x:c>
      <x:c r="R153" t="n">
        <x:v>299.98517</x:v>
      </x:c>
      <x:c r="S153" t="n">
        <x:v>-0.01483</x:v>
      </x:c>
      <x:c r="T153" t="n">
        <x:v>0.04424</x:v>
      </x:c>
      <x:c r="U153" t="n">
        <x:v>0.41034</x:v>
      </x:c>
      <x:c r="V153" t="n">
        <x:v>0.27077</x:v>
      </x:c>
      <x:c r="W153" t="n">
        <x:v>0.49361</x:v>
      </x:c>
      <x:c r="X153" t="n">
        <x:v>25.8</x:v>
      </x:c>
      <x:c r="Y153" t="str">
        <x:v>Y</x:v>
      </x:c>
      <x:c r="Z153" t="n">
        <x:v>0.03951</x:v>
      </x:c>
      <x:c r="AA153" t="n">
        <x:v>24.75</x:v>
      </x:c>
      <x:c r="AB153" t="n">
        <x:v>0.036</x:v>
      </x:c>
      <x:c r="AC153" t="n">
        <x:v>35.91</x:v>
      </x:c>
      <x:c r="AD153" t="n">
        <x:v>0.42318</x:v>
      </x:c>
      <x:c r="AE153" t="n">
        <x:v>-24.99</x:v>
      </x:c>
      <x:c r="AF153" t="n">
        <x:v>0.377</x:v>
      </x:c>
      <x:c r="AG153" t="n">
        <x:v>4.07</x:v>
      </x:c>
      <x:c r="AH153" t="n">
        <x:v>0.26978</x:v>
      </x:c>
      <x:c r="AI153" t="n">
        <x:v>-10.86</x:v>
      </x:c>
      <x:c r="AJ153" t="n">
        <x:v>0.472</x:v>
      </x:c>
      <x:c r="AK153" t="n">
        <x:v>6.11</x:v>
      </x:c>
      <x:c r="AL153" t="n">
        <x:v>0.50386</x:v>
      </x:c>
      <x:c r="AM153" t="n">
        <x:v>2.94</x:v>
      </x:c>
      <x:c r="AN153" t="n">
        <x:v>0.0784</x:v>
      </x:c>
      <x:c r="AO153" t="n">
        <x:v>0.8399</x:v>
      </x:c>
      <x:c r="AP153" t="n">
        <x:v>0.5354</x:v>
      </x:c>
      <x:c r="AQ153" t="n">
        <x:v>1</x:v>
      </x:c>
      <x:c r="AR153" t="n">
        <x:v>1.5686114611905997</x:v>
      </x:c>
      <x:c r="AS153" t="n">
        <x:v>0.00614885560746471</x:v>
      </x:c>
      <x:c r="AT153" t="n">
        <x:v>0.7053919575434862</x:v>
      </x:c>
      <x:c r="AU153" t="n">
        <x:v>0.2866815447871083</x:v>
      </x:c>
      <x:c r="AV153" t="str">
        <x:v>NO</x:v>
      </x:c>
    </x:row>
    <x:row r="154">
      <x:c r="A154" t="n">
        <x:v>300</x:v>
      </x:c>
      <x:c r="B154" t="n">
        <x:v>5</x:v>
      </x:c>
      <x:c r="C154" t="n">
        <x:v>58.26834</x:v>
      </x:c>
      <x:c r="D154" t="n">
        <x:v>0.72833</x:v>
      </x:c>
      <x:c r="E154" t="n">
        <x:v>28.28</x:v>
      </x:c>
      <x:c r="F154" t="n">
        <x:v>300.00398</x:v>
      </x:c>
      <x:c r="G154" t="n">
        <x:v>0.93181</x:v>
      </x:c>
      <x:c r="H154" t="n">
        <x:v>28.01</x:v>
      </x:c>
      <x:c r="I154" t="n">
        <x:v>299.99853</x:v>
      </x:c>
      <x:c r="J154" t="n">
        <x:v>0.5761</x:v>
      </x:c>
      <x:c r="K154" t="n">
        <x:v>28.94</x:v>
      </x:c>
      <x:c r="L154" t="n">
        <x:v>300.03532</x:v>
      </x:c>
      <x:c r="M154" t="n">
        <x:v>0.0638</x:v>
      </x:c>
      <x:c r="N154" t="n">
        <x:v>300.00398</x:v>
      </x:c>
      <x:c r="O154" t="n">
        <x:v>0.93181</x:v>
      </x:c>
      <x:c r="P154" t="n">
        <x:v>299.99853</x:v>
      </x:c>
      <x:c r="Q154" t="n">
        <x:v>0.5761</x:v>
      </x:c>
      <x:c r="R154" t="n">
        <x:v>300.00258</x:v>
      </x:c>
      <x:c r="S154" t="n">
        <x:v>0.00258</x:v>
      </x:c>
      <x:c r="T154" t="n">
        <x:v>0.0638</x:v>
      </x:c>
      <x:c r="U154" t="n">
        <x:v>0.93181</x:v>
      </x:c>
      <x:c r="V154" t="n">
        <x:v>0.5761</x:v>
      </x:c>
      <x:c r="W154" t="n">
        <x:v>1.09737</x:v>
      </x:c>
      <x:c r="X154" t="n">
        <x:v>34.22</x:v>
      </x:c>
      <x:c r="Y154" t="str">
        <x:v>Y</x:v>
      </x:c>
      <x:c r="Z154" t="n">
        <x:v>0.07394</x:v>
      </x:c>
      <x:c r="AA154" t="n">
        <x:v>75.64</x:v>
      </x:c>
      <x:c r="AB154" t="n">
        <x:v>0.053</x:v>
      </x:c>
      <x:c r="AC154" t="n">
        <x:v>33.99</x:v>
      </x:c>
      <x:c r="AD154" t="n">
        <x:v>0.91464</x:v>
      </x:c>
      <x:c r="AE154" t="n">
        <x:v>-27.11</x:v>
      </x:c>
      <x:c r="AF154" t="n">
        <x:v>0.55</x:v>
      </x:c>
      <x:c r="AG154" t="n">
        <x:v>1.46</x:v>
      </x:c>
      <x:c r="AH154" t="n">
        <x:v>0.58562</x:v>
      </x:c>
      <x:c r="AI154" t="n">
        <x:v>-8.59</x:v>
      </x:c>
      <x:c r="AJ154" t="n">
        <x:v>0.725</x:v>
      </x:c>
      <x:c r="AK154" t="n">
        <x:v>1.09</x:v>
      </x:c>
      <x:c r="AL154" t="n">
        <x:v>1.08882</x:v>
      </x:c>
      <x:c r="AM154" t="n">
        <x:v>1.22</x:v>
      </x:c>
      <x:c r="AN154" t="n">
        <x:v>0.0679</x:v>
      </x:c>
      <x:c r="AO154" t="n">
        <x:v>0.84</x:v>
      </x:c>
      <x:c r="AP154" t="n">
        <x:v>0.5379</x:v>
      </x:c>
      <x:c r="AQ154" t="n">
        <x:v>1</x:v>
      </x:c>
      <x:c r="AR154" t="n">
        <x:v>1.5618319046480653</x:v>
      </x:c>
      <x:c r="AS154" t="n">
        <x:v>0.004611547785881041</x:v>
      </x:c>
      <x:c r="AT154" t="n">
        <x:v>0.7056481410095627</x:v>
      </x:c>
      <x:c r="AU154" t="n">
        <x:v>0.28928080763822245</x:v>
      </x:c>
      <x:c r="AV154" t="str">
        <x:v>NO</x:v>
      </x:c>
    </x:row>
    <x:row r="155">
      <x:c r="A155" t="n">
        <x:v>300</x:v>
      </x:c>
      <x:c r="B155" t="n">
        <x:v>7</x:v>
      </x:c>
      <x:c r="C155" t="n">
        <x:v>157.17427</x:v>
      </x:c>
      <x:c r="D155" t="n">
        <x:v>0.37541</x:v>
      </x:c>
      <x:c r="E155" t="n">
        <x:v>22.92</x:v>
      </x:c>
      <x:c r="F155" t="n">
        <x:v>300.00852</x:v>
      </x:c>
      <x:c r="G155" t="n">
        <x:v>1.40433</x:v>
      </x:c>
      <x:c r="H155" t="n">
        <x:v>32.24</x:v>
      </x:c>
      <x:c r="I155" t="n">
        <x:v>300.00182</x:v>
      </x:c>
      <x:c r="J155" t="n">
        <x:v>0.88792</x:v>
      </x:c>
      <x:c r="K155" t="n">
        <x:v>32.41</x:v>
      </x:c>
      <x:c r="L155" t="n">
        <x:v>300.07426</x:v>
      </x:c>
      <x:c r="M155" t="n">
        <x:v>0.06783</x:v>
      </x:c>
      <x:c r="N155" t="n">
        <x:v>300.00852</x:v>
      </x:c>
      <x:c r="O155" t="n">
        <x:v>1.40433</x:v>
      </x:c>
      <x:c r="P155" t="n">
        <x:v>300.00182</x:v>
      </x:c>
      <x:c r="Q155" t="n">
        <x:v>0.88792</x:v>
      </x:c>
      <x:c r="R155" t="n">
        <x:v>300.00672</x:v>
      </x:c>
      <x:c r="S155" t="n">
        <x:v>0.00672</x:v>
      </x:c>
      <x:c r="T155" t="n">
        <x:v>0.06783</x:v>
      </x:c>
      <x:c r="U155" t="n">
        <x:v>1.40433</x:v>
      </x:c>
      <x:c r="V155" t="n">
        <x:v>0.88792</x:v>
      </x:c>
      <x:c r="W155" t="n">
        <x:v>1.66287</x:v>
      </x:c>
      <x:c r="X155" t="n">
        <x:v>36.11</x:v>
      </x:c>
      <x:c r="Y155" t="str">
        <x:v>Y</x:v>
      </x:c>
      <x:c r="Z155" t="n">
        <x:v>0.10661</x:v>
      </x:c>
      <x:c r="AA155" t="n">
        <x:v>55.25</x:v>
      </x:c>
      <x:c r="AB155" t="n">
        <x:v>0.103</x:v>
      </x:c>
      <x:c r="AC155" t="n">
        <x:v>41.94</x:v>
      </x:c>
      <x:c r="AD155" t="n">
        <x:v>1.4008</x:v>
      </x:c>
      <x:c r="AE155" t="n">
        <x:v>-30.9</x:v>
      </x:c>
      <x:c r="AF155" t="n">
        <x:v>0.787</x:v>
      </x:c>
      <x:c r="AG155" t="n">
        <x:v>1.8</x:v>
      </x:c>
      <x:c r="AH155" t="n">
        <x:v>0.89287</x:v>
      </x:c>
      <x:c r="AI155" t="n">
        <x:v>-7.71</x:v>
      </x:c>
      <x:c r="AJ155" t="n">
        <x:v>0.838</x:v>
      </x:c>
      <x:c r="AK155" t="n">
        <x:v>1.8</x:v>
      </x:c>
      <x:c r="AL155" t="n">
        <x:v>1.66512</x:v>
      </x:c>
      <x:c r="AM155" t="n">
        <x:v>1.52</x:v>
      </x:c>
      <x:c r="AN155" t="n">
        <x:v>0.064</x:v>
      </x:c>
      <x:c r="AO155" t="n">
        <x:v>0.8413</x:v>
      </x:c>
      <x:c r="AP155" t="n">
        <x:v>0.5362</x:v>
      </x:c>
      <x:c r="AQ155" t="n">
        <x:v>1</x:v>
      </x:c>
      <x:c r="AR155" t="n">
        <x:v>1.5688734082229217</x:v>
      </x:c>
      <x:c r="AS155" t="n">
        <x:v>0.004099253840916923</x:v>
      </x:c>
      <x:c r="AT155" t="n">
        <x:v>0.7077195484050883</x:v>
      </x:c>
      <x:c r="AU155" t="n">
        <x:v>0.28753147207867485</x:v>
      </x:c>
      <x:c r="AV155" t="str">
        <x:v>YES</x:v>
      </x:c>
    </x:row>
    <x:row r="156">
      <x:c r="A156" t="n">
        <x:v>300</x:v>
      </x:c>
      <x:c r="B156" t="n">
        <x:v>9</x:v>
      </x:c>
      <x:c r="C156" t="n">
        <x:v>157.59581</x:v>
      </x:c>
      <x:c r="D156" t="n">
        <x:v>0.38629</x:v>
      </x:c>
      <x:c r="E156" t="n">
        <x:v>23.76</x:v>
      </x:c>
      <x:c r="F156" t="n">
        <x:v>299.99755</x:v>
      </x:c>
      <x:c r="G156" t="n">
        <x:v>1.66393</x:v>
      </x:c>
      <x:c r="H156" t="n">
        <x:v>32.05</x:v>
      </x:c>
      <x:c r="I156" t="n">
        <x:v>300.00147</x:v>
      </x:c>
      <x:c r="J156" t="n">
        <x:v>1.38864</x:v>
      </x:c>
      <x:c r="K156" t="n">
        <x:v>34.33</x:v>
      </x:c>
      <x:c r="L156" t="n">
        <x:v>300.02301</x:v>
      </x:c>
      <x:c r="M156" t="n">
        <x:v>0.11166</x:v>
      </x:c>
      <x:c r="N156" t="n">
        <x:v>299.99755</x:v>
      </x:c>
      <x:c r="O156" t="n">
        <x:v>1.66393</x:v>
      </x:c>
      <x:c r="P156" t="n">
        <x:v>300.00147</x:v>
      </x:c>
      <x:c r="Q156" t="n">
        <x:v>1.38864</x:v>
      </x:c>
      <x:c r="R156" t="n">
        <x:v>299.99923</x:v>
      </x:c>
      <x:c r="S156" t="n">
        <x:v>-0.00077</x:v>
      </x:c>
      <x:c r="T156" t="n">
        <x:v>0.11166</x:v>
      </x:c>
      <x:c r="U156" t="n">
        <x:v>1.66393</x:v>
      </x:c>
      <x:c r="V156" t="n">
        <x:v>1.38864</x:v>
      </x:c>
      <x:c r="W156" t="n">
        <x:v>2.17013</x:v>
      </x:c>
      <x:c r="X156" t="n">
        <x:v>37.9</x:v>
      </x:c>
      <x:c r="Y156" t="str">
        <x:v>Y</x:v>
      </x:c>
      <x:c r="Z156" t="n">
        <x:v>0.13504</x:v>
      </x:c>
      <x:c r="AA156" t="n">
        <x:v>47.05</x:v>
      </x:c>
      <x:c r="AB156" t="n">
        <x:v>0.142</x:v>
      </x:c>
      <x:c r="AC156" t="n">
        <x:v>3.12</x:v>
      </x:c>
      <x:c r="AD156" t="n">
        <x:v>1.56818</x:v>
      </x:c>
      <x:c r="AE156" t="n">
        <x:v>-39.05</x:v>
      </x:c>
      <x:c r="AF156" t="n">
        <x:v>0.743</x:v>
      </x:c>
      <x:c r="AG156" t="n">
        <x:v>3.93</x:v>
      </x:c>
      <x:c r="AH156" t="n">
        <x:v>1.4661</x:v>
      </x:c>
      <x:c r="AI156" t="n">
        <x:v>2.74</x:v>
      </x:c>
      <x:c r="AJ156" t="n">
        <x:v>0.886</x:v>
      </x:c>
      <x:c r="AK156" t="n">
        <x:v>3.07</x:v>
      </x:c>
      <x:c r="AL156" t="n">
        <x:v>2.15204</x:v>
      </x:c>
      <x:c r="AM156" t="n">
        <x:v>0.87</x:v>
      </x:c>
      <x:c r="AN156" t="n">
        <x:v>0.0628</x:v>
      </x:c>
      <x:c r="AO156" t="n">
        <x:v>0.7287</x:v>
      </x:c>
      <x:c r="AP156" t="n">
        <x:v>0.6813</x:v>
      </x:c>
      <x:c r="AQ156" t="n">
        <x:v>1</x:v>
      </x:c>
      <x:c r="AR156" t="n">
        <x:v>1.069626901302776</x:v>
      </x:c>
      <x:c r="AS156" t="n">
        <x:v>0.003937532758508606</x:v>
      </x:c>
      <x:c r="AT156" t="n">
        <x:v>0.5309958695165365</x:v>
      </x:c>
      <x:c r="AU156" t="n">
        <x:v>0.46411596609635436</x:v>
      </x:c>
      <x:c r="AV156" t="str">
        <x:v>YES</x:v>
      </x:c>
    </x:row>
    <x:row r="157">
      <x:c r="A157" t="n">
        <x:v>300</x:v>
      </x:c>
      <x:c r="B157" t="n">
        <x:v>11</x:v>
      </x:c>
      <x:c r="C157" t="n">
        <x:v>57.52417</x:v>
      </x:c>
      <x:c r="D157" t="n">
        <x:v>0.40905</x:v>
      </x:c>
      <x:c r="E157" t="n">
        <x:v>23.62</x:v>
      </x:c>
      <x:c r="F157" t="n">
        <x:v>299.99694</x:v>
      </x:c>
      <x:c r="G157" t="n">
        <x:v>1.10178</x:v>
      </x:c>
      <x:c r="H157" t="n">
        <x:v>29.89</x:v>
      </x:c>
      <x:c r="I157" t="n">
        <x:v>299.9988</x:v>
      </x:c>
      <x:c r="J157" t="n">
        <x:v>2.5839</x:v>
      </x:c>
      <x:c r="K157" t="n">
        <x:v>37.49</x:v>
      </x:c>
      <x:c r="L157" t="n">
        <x:v>299.97184</x:v>
      </x:c>
      <x:c r="M157" t="n">
        <x:v>0.16948</x:v>
      </x:c>
      <x:c r="N157" t="n">
        <x:v>299.99694</x:v>
      </x:c>
      <x:c r="O157" t="n">
        <x:v>1.10178</x:v>
      </x:c>
      <x:c r="P157" t="n">
        <x:v>299.9988</x:v>
      </x:c>
      <x:c r="Q157" t="n">
        <x:v>2.5839</x:v>
      </x:c>
      <x:c r="R157" t="n">
        <x:v>299.99842</x:v>
      </x:c>
      <x:c r="S157" t="n">
        <x:v>-0.00158</x:v>
      </x:c>
      <x:c r="T157" t="n">
        <x:v>0.16948</x:v>
      </x:c>
      <x:c r="U157" t="n">
        <x:v>1.10178</x:v>
      </x:c>
      <x:c r="V157" t="n">
        <x:v>2.5839</x:v>
      </x:c>
      <x:c r="W157" t="n">
        <x:v>2.8141</x:v>
      </x:c>
      <x:c r="X157" t="n">
        <x:v>39.5</x:v>
      </x:c>
      <x:c r="Y157" t="str">
        <x:v>Z</x:v>
      </x:c>
      <x:c r="Z157" t="n">
        <x:v>0.16745</x:v>
      </x:c>
      <x:c r="AA157" t="n">
        <x:v>17.33</x:v>
      </x:c>
      <x:c r="AB157" t="n">
        <x:v>0.163</x:v>
      </x:c>
      <x:c r="AC157" t="n">
        <x:v>31.81</x:v>
      </x:c>
      <x:c r="AD157" t="n">
        <x:v>1.0248</x:v>
      </x:c>
      <x:c r="AE157" t="n">
        <x:v>-35.49</x:v>
      </x:c>
      <x:c r="AF157" t="n">
        <x:v>0.676</x:v>
      </x:c>
      <x:c r="AG157" t="n">
        <x:v>3.97</x:v>
      </x:c>
      <x:c r="AH157" t="n">
        <x:v>2.64446</x:v>
      </x:c>
      <x:c r="AI157" t="n">
        <x:v>-1.31</x:v>
      </x:c>
      <x:c r="AJ157" t="n">
        <x:v>0.913</x:v>
      </x:c>
      <x:c r="AK157" t="n">
        <x:v>0.72</x:v>
      </x:c>
      <x:c r="AL157" t="n">
        <x:v>2.84166</x:v>
      </x:c>
      <x:c r="AM157" t="n">
        <x:v>0.65</x:v>
      </x:c>
      <x:c r="AN157" t="n">
        <x:v>0.0589</x:v>
      </x:c>
      <x:c r="AO157" t="n">
        <x:v>0.3606</x:v>
      </x:c>
      <x:c r="AP157" t="n">
        <x:v>0.9306</x:v>
      </x:c>
      <x:c r="AQ157" t="n">
        <x:v>1</x:v>
      </x:c>
      <x:c r="AR157" t="n">
        <x:v>0.38752713219334</x:v>
      </x:c>
      <x:c r="AS157" t="n">
        <x:v>0.003472370641146872</x:v>
      </x:c>
      <x:c r="AT157" t="n">
        <x:v>0.13005708185396256</x:v>
      </x:c>
      <x:c r="AU157" t="n">
        <x:v>0.8660236982913418</x:v>
      </x:c>
      <x:c r="AV157" t="str">
        <x:v>YES</x:v>
      </x:c>
    </x:row>
    <x:row r="158">
      <x:c r="A158" t="n">
        <x:v>300</x:v>
      </x:c>
      <x:c r="B158" t="n">
        <x:v>13</x:v>
      </x:c>
      <x:c r="C158" t="n">
        <x:v>257.56228</x:v>
      </x:c>
      <x:c r="D158" t="n">
        <x:v>0.29162</x:v>
      </x:c>
      <x:c r="E158" t="n">
        <x:v>21.34</x:v>
      </x:c>
      <x:c r="F158" t="n">
        <x:v>300.00501</x:v>
      </x:c>
      <x:c r="G158" t="n">
        <x:v>0.93863</x:v>
      </x:c>
      <x:c r="H158" t="n">
        <x:v>29.71</x:v>
      </x:c>
      <x:c r="I158" t="n">
        <x:v>299.99649</x:v>
      </x:c>
      <x:c r="J158" t="n">
        <x:v>3.48892</x:v>
      </x:c>
      <x:c r="K158" t="n">
        <x:v>38.61</x:v>
      </x:c>
      <x:c r="L158" t="n">
        <x:v>299.99614</x:v>
      </x:c>
      <x:c r="M158" t="n">
        <x:v>0.23783</x:v>
      </x:c>
      <x:c r="N158" t="n">
        <x:v>300.00501</x:v>
      </x:c>
      <x:c r="O158" t="n">
        <x:v>0.93863</x:v>
      </x:c>
      <x:c r="P158" t="n">
        <x:v>299.99649</x:v>
      </x:c>
      <x:c r="Q158" t="n">
        <x:v>3.48892</x:v>
      </x:c>
      <x:c r="R158" t="n">
        <x:v>299.99706</x:v>
      </x:c>
      <x:c r="S158" t="n">
        <x:v>-0.00294</x:v>
      </x:c>
      <x:c r="T158" t="n">
        <x:v>0.23783</x:v>
      </x:c>
      <x:c r="U158" t="n">
        <x:v>0.93863</x:v>
      </x:c>
      <x:c r="V158" t="n">
        <x:v>3.48892</x:v>
      </x:c>
      <x:c r="W158" t="n">
        <x:v>3.62079</x:v>
      </x:c>
      <x:c r="X158" t="n">
        <x:v>41.27</x:v>
      </x:c>
      <x:c r="Y158" t="str">
        <x:v>Z</x:v>
      </x:c>
      <x:c r="Z158" t="n">
        <x:v>0.20634</x:v>
      </x:c>
      <x:c r="AA158" t="n">
        <x:v>13.47</x:v>
      </x:c>
      <x:c r="AB158" t="n">
        <x:v>0.234</x:v>
      </x:c>
      <x:c r="AC158" t="n">
        <x:v>20.99</x:v>
      </x:c>
      <x:c r="AD158" t="n">
        <x:v>0.90629</x:v>
      </x:c>
      <x:c r="AE158" t="n">
        <x:v>-23.28</x:v>
      </x:c>
      <x:c r="AF158" t="n">
        <x:v>0.686</x:v>
      </x:c>
      <x:c r="AG158" t="n">
        <x:v>2.77</x:v>
      </x:c>
      <x:c r="AH158" t="n">
        <x:v>3.51282</x:v>
      </x:c>
      <x:c r="AI158" t="n">
        <x:v>-1.91</x:v>
      </x:c>
      <x:c r="AJ158" t="n">
        <x:v>0.922</x:v>
      </x:c>
      <x:c r="AK158" t="n">
        <x:v>0.46</x:v>
      </x:c>
      <x:c r="AL158" t="n">
        <x:v>3.63399</x:v>
      </x:c>
      <x:c r="AM158" t="n">
        <x:v>0.38</x:v>
      </x:c>
      <x:c r="AN158" t="n">
        <x:v>0.0568</x:v>
      </x:c>
      <x:c r="AO158" t="n">
        <x:v>0.2494</x:v>
      </x:c>
      <x:c r="AP158" t="n">
        <x:v>0.9667</x:v>
      </x:c>
      <x:c r="AQ158" t="n">
        <x:v>1</x:v>
      </x:c>
      <x:c r="AR158" t="n">
        <x:v>0.25799500116715346</x:v>
      </x:c>
      <x:c r="AS158" t="n">
        <x:v>0.0032240323928348627</x:v>
      </x:c>
      <x:c r="AT158" t="n">
        <x:v>0.06219663949702234</x:v>
      </x:c>
      <x:c r="AU158" t="n">
        <x:v>0.9344247600323762</x:v>
      </x:c>
      <x:c r="AV158" t="str">
        <x:v>YES</x:v>
      </x:c>
    </x:row>
    <x:row r="159">
      <x:c r="A159" t="n">
        <x:v>300</x:v>
      </x:c>
      <x:c r="B159" t="n">
        <x:v>15</x:v>
      </x:c>
      <x:c r="C159" t="n">
        <x:v>257.51226</x:v>
      </x:c>
      <x:c r="D159" t="n">
        <x:v>0.55235</x:v>
      </x:c>
      <x:c r="E159" t="n">
        <x:v>25.51</x:v>
      </x:c>
      <x:c r="F159" t="n">
        <x:v>299.99878</x:v>
      </x:c>
      <x:c r="G159" t="n">
        <x:v>0.88154</x:v>
      </x:c>
      <x:c r="H159" t="n">
        <x:v>27.32</x:v>
      </x:c>
      <x:c r="I159" t="n">
        <x:v>300.00063</x:v>
      </x:c>
      <x:c r="J159" t="n">
        <x:v>4.3942</x:v>
      </x:c>
      <x:c r="K159" t="n">
        <x:v>39.08</x:v>
      </x:c>
      <x:c r="L159" t="n">
        <x:v>300.02941</x:v>
      </x:c>
      <x:c r="M159" t="n">
        <x:v>0.28921</x:v>
      </x:c>
      <x:c r="N159" t="n">
        <x:v>299.99878</x:v>
      </x:c>
      <x:c r="O159" t="n">
        <x:v>0.88154</x:v>
      </x:c>
      <x:c r="P159" t="n">
        <x:v>300.00063</x:v>
      </x:c>
      <x:c r="Q159" t="n">
        <x:v>4.3942</x:v>
      </x:c>
      <x:c r="R159" t="n">
        <x:v>300.00068</x:v>
      </x:c>
      <x:c r="S159" t="n">
        <x:v>0.00068</x:v>
      </x:c>
      <x:c r="T159" t="n">
        <x:v>0.28921</x:v>
      </x:c>
      <x:c r="U159" t="n">
        <x:v>0.88154</x:v>
      </x:c>
      <x:c r="V159" t="n">
        <x:v>4.3942</x:v>
      </x:c>
      <x:c r="W159" t="n">
        <x:v>4.49108</x:v>
      </x:c>
      <x:c r="X159" t="n">
        <x:v>42.47</x:v>
      </x:c>
      <x:c r="Y159" t="str">
        <x:v>Z</x:v>
      </x:c>
      <x:c r="Z159" t="n">
        <x:v>0.28069</x:v>
      </x:c>
      <x:c r="AA159" t="n">
        <x:v>-0.11</x:v>
      </x:c>
      <x:c r="AB159" t="n">
        <x:v>0.241</x:v>
      </x:c>
      <x:c r="AC159" t="n">
        <x:v>26.86</x:v>
      </x:c>
      <x:c r="AD159" t="n">
        <x:v>0.89349</x:v>
      </x:c>
      <x:c r="AE159" t="n">
        <x:v>-13.42</x:v>
      </x:c>
      <x:c r="AF159" t="n">
        <x:v>0.582</x:v>
      </x:c>
      <x:c r="AG159" t="n">
        <x:v>4.54</x:v>
      </x:c>
      <x:c r="AH159" t="n">
        <x:v>4.37324</x:v>
      </x:c>
      <x:c r="AI159" t="n">
        <x:v>-3.78</x:v>
      </x:c>
      <x:c r="AJ159" t="n">
        <x:v>0.928</x:v>
      </x:c>
      <x:c r="AK159" t="n">
        <x:v>0.78</x:v>
      </x:c>
      <x:c r="AL159" t="n">
        <x:v>4.47303</x:v>
      </x:c>
      <x:c r="AM159" t="n">
        <x:v>0.85</x:v>
      </x:c>
      <x:c r="AN159" t="n">
        <x:v>0.0628</x:v>
      </x:c>
      <x:c r="AO159" t="n">
        <x:v>0.1997</x:v>
      </x:c>
      <x:c r="AP159" t="n">
        <x:v>0.9777</x:v>
      </x:c>
      <x:c r="AQ159" t="n">
        <x:v>1</x:v>
      </x:c>
      <x:c r="AR159" t="n">
        <x:v>0.20430847609552644</x:v>
      </x:c>
      <x:c r="AS159" t="n">
        <x:v>0.003937769212985374</x:v>
      </x:c>
      <x:c r="AT159" t="n">
        <x:v>0.0399002641244893</x:v>
      </x:c>
      <x:c r="AU159" t="n">
        <x:v>0.9558791783858036</x:v>
      </x:c>
      <x:c r="AV159" t="str">
        <x:v>YES</x:v>
      </x:c>
    </x:row>
    <x:row r="160">
      <x:c r="A160" t="n">
        <x:v>300</x:v>
      </x:c>
      <x:c r="B160" t="n">
        <x:v>17</x:v>
      </x:c>
      <x:c r="C160" t="n">
        <x:v>457.50471</x:v>
      </x:c>
      <x:c r="D160" t="n">
        <x:v>0.44239</x:v>
      </x:c>
      <x:c r="E160" t="n">
        <x:v>23.4</x:v>
      </x:c>
      <x:c r="F160" t="n">
        <x:v>300.00319</x:v>
      </x:c>
      <x:c r="G160" t="n">
        <x:v>0.9052</x:v>
      </x:c>
      <x:c r="H160" t="n">
        <x:v>27.66</x:v>
      </x:c>
      <x:c r="I160" t="n">
        <x:v>299.99952</x:v>
      </x:c>
      <x:c r="J160" t="n">
        <x:v>5.19447</x:v>
      </x:c>
      <x:c r="K160" t="n">
        <x:v>39.79</x:v>
      </x:c>
      <x:c r="L160" t="n">
        <x:v>299.99988</x:v>
      </x:c>
      <x:c r="M160" t="n">
        <x:v>0.34351</x:v>
      </x:c>
      <x:c r="N160" t="n">
        <x:v>300.00319</x:v>
      </x:c>
      <x:c r="O160" t="n">
        <x:v>0.9052</x:v>
      </x:c>
      <x:c r="P160" t="n">
        <x:v>299.99952</x:v>
      </x:c>
      <x:c r="Q160" t="n">
        <x:v>5.19447</x:v>
      </x:c>
      <x:c r="R160" t="n">
        <x:v>299.99962</x:v>
      </x:c>
      <x:c r="S160" t="n">
        <x:v>-0.00038</x:v>
      </x:c>
      <x:c r="T160" t="n">
        <x:v>0.34351</x:v>
      </x:c>
      <x:c r="U160" t="n">
        <x:v>0.9052</x:v>
      </x:c>
      <x:c r="V160" t="n">
        <x:v>5.19447</x:v>
      </x:c>
      <x:c r="W160" t="n">
        <x:v>5.28393</x:v>
      </x:c>
      <x:c r="X160" t="n">
        <x:v>45.08</x:v>
      </x:c>
      <x:c r="Y160" t="str">
        <x:v>Z</x:v>
      </x:c>
      <x:c r="Z160" t="n">
        <x:v>0.3259</x:v>
      </x:c>
      <x:c r="AA160" t="n">
        <x:v>-0.77</x:v>
      </x:c>
      <x:c r="AB160" t="n">
        <x:v>0.289</x:v>
      </x:c>
      <x:c r="AC160" t="n">
        <x:v>9.16</x:v>
      </x:c>
      <x:c r="AD160" t="n">
        <x:v>0.89458</x:v>
      </x:c>
      <x:c r="AE160" t="n">
        <x:v>-3.06</x:v>
      </x:c>
      <x:c r="AF160" t="n">
        <x:v>0.571</x:v>
      </x:c>
      <x:c r="AG160" t="n">
        <x:v>3.36</x:v>
      </x:c>
      <x:c r="AH160" t="n">
        <x:v>5.20089</x:v>
      </x:c>
      <x:c r="AI160" t="n">
        <x:v>-5.24</x:v>
      </x:c>
      <x:c r="AJ160" t="n">
        <x:v>0.93</x:v>
      </x:c>
      <x:c r="AK160" t="n">
        <x:v>0.51</x:v>
      </x:c>
      <x:c r="AL160" t="n">
        <x:v>5.28747</x:v>
      </x:c>
      <x:c r="AM160" t="n">
        <x:v>0.46</x:v>
      </x:c>
      <x:c r="AN160" t="n">
        <x:v>0.0616</x:v>
      </x:c>
      <x:c r="AO160" t="n">
        <x:v>0.1692</x:v>
      </x:c>
      <x:c r="AP160" t="n">
        <x:v>0.9836</x:v>
      </x:c>
      <x:c r="AQ160" t="n">
        <x:v>1</x:v>
      </x:c>
      <x:c r="AR160" t="n">
        <x:v>0.17200517603717824</x:v>
      </x:c>
      <x:c r="AS160" t="n">
        <x:v>0.0037990314456100736</x:v>
      </x:c>
      <x:c r="AT160" t="n">
        <x:v>0.028624804970681858</x:v>
      </x:c>
      <x:c r="AU160" t="n">
        <x:v>0.967519004266795</x:v>
      </x:c>
      <x:c r="AV160" t="str">
        <x:v>YES</x:v>
      </x:c>
    </x:row>
    <x:row r="161">
      <x:c r="A161" t="n">
        <x:v>300</x:v>
      </x:c>
      <x:c r="B161" t="n">
        <x:v>19</x:v>
      </x:c>
      <x:c r="C161" t="n">
        <x:v>457.49518</x:v>
      </x:c>
      <x:c r="D161" t="n">
        <x:v>0.43157</x:v>
      </x:c>
      <x:c r="E161" t="n">
        <x:v>23.82</x:v>
      </x:c>
      <x:c r="F161" t="n">
        <x:v>299.99708</x:v>
      </x:c>
      <x:c r="G161" t="n">
        <x:v>1.00691</x:v>
      </x:c>
      <x:c r="H161" t="n">
        <x:v>28.69</x:v>
      </x:c>
      <x:c r="I161" t="n">
        <x:v>300.0014</x:v>
      </x:c>
      <x:c r="J161" t="n">
        <x:v>6.08662</x:v>
      </x:c>
      <x:c r="K161" t="n">
        <x:v>39.97</x:v>
      </x:c>
      <x:c r="L161" t="n">
        <x:v>299.98668</x:v>
      </x:c>
      <x:c r="M161" t="n">
        <x:v>0.42512</x:v>
      </x:c>
      <x:c r="N161" t="n">
        <x:v>299.99708</x:v>
      </x:c>
      <x:c r="O161" t="n">
        <x:v>1.00691</x:v>
      </x:c>
      <x:c r="P161" t="n">
        <x:v>300.0014</x:v>
      </x:c>
      <x:c r="Q161" t="n">
        <x:v>6.08662</x:v>
      </x:c>
      <x:c r="R161" t="n">
        <x:v>300.00122</x:v>
      </x:c>
      <x:c r="S161" t="n">
        <x:v>0.00122</x:v>
      </x:c>
      <x:c r="T161" t="n">
        <x:v>0.42512</x:v>
      </x:c>
      <x:c r="U161" t="n">
        <x:v>1.00691</x:v>
      </x:c>
      <x:c r="V161" t="n">
        <x:v>6.08662</x:v>
      </x:c>
      <x:c r="W161" t="n">
        <x:v>6.18397</x:v>
      </x:c>
      <x:c r="X161" t="n">
        <x:v>44.23</x:v>
      </x:c>
      <x:c r="Y161" t="str">
        <x:v>Z</x:v>
      </x:c>
      <x:c r="Z161" t="n">
        <x:v>0.42393</x:v>
      </x:c>
      <x:c r="AA161" t="n">
        <x:v>3.82</x:v>
      </x:c>
      <x:c r="AB161" t="n">
        <x:v>0.406</x:v>
      </x:c>
      <x:c r="AC161" t="n">
        <x:v>6.08</x:v>
      </x:c>
      <x:c r="AD161" t="n">
        <x:v>1.00222</x:v>
      </x:c>
      <x:c r="AE161" t="n">
        <x:v>5.85</x:v>
      </x:c>
      <x:c r="AF161" t="n">
        <x:v>0.637</x:v>
      </x:c>
      <x:c r="AG161" t="n">
        <x:v>2.55</x:v>
      </x:c>
      <x:c r="AH161" t="n">
        <x:v>6.11729</x:v>
      </x:c>
      <x:c r="AI161" t="n">
        <x:v>-7.18</x:v>
      </x:c>
      <x:c r="AJ161" t="n">
        <x:v>0.936</x:v>
      </x:c>
      <x:c r="AK161" t="n">
        <x:v>0.36</x:v>
      </x:c>
      <x:c r="AL161" t="n">
        <x:v>6.2134</x:v>
      </x:c>
      <x:c r="AM161" t="n">
        <x:v>0.39</x:v>
      </x:c>
      <x:c r="AN161" t="n">
        <x:v>0.0682</x:v>
      </x:c>
      <x:c r="AO161" t="n">
        <x:v>0.1613</x:v>
      </x:c>
      <x:c r="AP161" t="n">
        <x:v>0.9845</x:v>
      </x:c>
      <x:c r="AQ161" t="n">
        <x:v>1</x:v>
      </x:c>
      <x:c r="AR161" t="n">
        <x:v>0.16383398531048882</x:v>
      </x:c>
      <x:c r="AS161" t="n">
        <x:v>0.004655107087287919</x:v>
      </x:c>
      <x:c r="AT161" t="n">
        <x:v>0.026017616273590075</x:v>
      </x:c>
      <x:c r="AU161" t="n">
        <x:v>0.9693029013004929</x:v>
      </x:c>
      <x:c r="AV161" t="str">
        <x:v>YES</x:v>
      </x:c>
    </x:row>
    <x:row r="162">
      <x:c r="A162" t="n">
        <x:v>300</x:v>
      </x:c>
      <x:c r="B162" t="n">
        <x:v>21</x:v>
      </x:c>
      <x:c r="C162" t="n">
        <x:v>299.98873</x:v>
      </x:c>
      <x:c r="D162" t="n">
        <x:v>0.49175</x:v>
      </x:c>
      <x:c r="E162" t="n">
        <x:v>25.8</x:v>
      </x:c>
      <x:c r="F162" t="n">
        <x:v>299.99901</x:v>
      </x:c>
      <x:c r="G162" t="n">
        <x:v>1.11125</x:v>
      </x:c>
      <x:c r="H162" t="n">
        <x:v>30.7</x:v>
      </x:c>
      <x:c r="I162" t="n">
        <x:v>299.99939</x:v>
      </x:c>
      <x:c r="J162" t="n">
        <x:v>6.86923</x:v>
      </x:c>
      <x:c r="K162" t="n">
        <x:v>40.59</x:v>
      </x:c>
      <x:c r="L162" t="n">
        <x:v>299.98873</x:v>
      </x:c>
      <x:c r="M162" t="n">
        <x:v>0.49175</x:v>
      </x:c>
      <x:c r="N162" t="n">
        <x:v>299.99901</x:v>
      </x:c>
      <x:c r="O162" t="n">
        <x:v>1.11125</x:v>
      </x:c>
      <x:c r="P162" t="n">
        <x:v>299.99939</x:v>
      </x:c>
      <x:c r="Q162" t="n">
        <x:v>6.86923</x:v>
      </x:c>
      <x:c r="R162" t="n">
        <x:v>299.99933</x:v>
      </x:c>
      <x:c r="S162" t="n">
        <x:v>-0.00067</x:v>
      </x:c>
      <x:c r="T162" t="n">
        <x:v>0.49175</x:v>
      </x:c>
      <x:c r="U162" t="n">
        <x:v>1.11125</x:v>
      </x:c>
      <x:c r="V162" t="n">
        <x:v>6.86923</x:v>
      </x:c>
      <x:c r="W162" t="n">
        <x:v>6.97589</x:v>
      </x:c>
      <x:c r="X162" t="n">
        <x:v>47.16</x:v>
      </x:c>
      <x:c r="Y162" t="str">
        <x:v>Z</x:v>
      </x:c>
      <x:c r="Z162" t="n">
        <x:v>0.46736</x:v>
      </x:c>
      <x:c r="AA162" t="n">
        <x:v>1.72</x:v>
      </x:c>
      <x:c r="AB162" t="n">
        <x:v>0.424</x:v>
      </x:c>
      <x:c r="AC162" t="n">
        <x:v>9.39</x:v>
      </x:c>
      <x:c r="AD162" t="n">
        <x:v>1.11374</x:v>
      </x:c>
      <x:c r="AE162" t="n">
        <x:v>10.5</x:v>
      </x:c>
      <x:c r="AF162" t="n">
        <x:v>0.7</x:v>
      </x:c>
      <x:c r="AG162" t="n">
        <x:v>1.31</x:v>
      </x:c>
      <x:c r="AH162" t="n">
        <x:v>6.86996</x:v>
      </x:c>
      <x:c r="AI162" t="n">
        <x:v>-8.2</x:v>
      </x:c>
      <x:c r="AJ162" t="n">
        <x:v>0.936</x:v>
      </x:c>
      <x:c r="AK162" t="n">
        <x:v>0.39</x:v>
      </x:c>
      <x:c r="AL162" t="n">
        <x:v>6.97545</x:v>
      </x:c>
      <x:c r="AM162" t="n">
        <x:v>0.4</x:v>
      </x:c>
      <x:c r="AN162" t="n">
        <x:v>0.067</x:v>
      </x:c>
      <x:c r="AO162" t="n">
        <x:v>0.1597</x:v>
      </x:c>
      <x:c r="AP162" t="n">
        <x:v>0.9849</x:v>
      </x:c>
      <x:c r="AQ162" t="n">
        <x:v>1</x:v>
      </x:c>
      <x:c r="AR162" t="n">
        <x:v>0.16211739224100286</x:v>
      </x:c>
      <x:c r="AS162" t="n">
        <x:v>0.0044890931700997325</x:v>
      </x:c>
      <x:c r="AT162" t="n">
        <x:v>0.025493130855126684</x:v>
      </x:c>
      <x:c r="AU162" t="n">
        <x:v>0.9699826289842127</x:v>
      </x:c>
      <x:c r="AV162" t="str">
        <x:v>YES</x:v>
      </x:c>
    </x:row>
    <x:row r="163">
      <x:c r="A163" t="n">
        <x:v>300</x:v>
      </x:c>
      <x:c r="B163" t="n">
        <x:v>23</x:v>
      </x:c>
      <x:c r="C163" t="n">
        <x:v>256.55048</x:v>
      </x:c>
      <x:c r="D163" t="n">
        <x:v>0.66902</x:v>
      </x:c>
      <x:c r="E163" t="n">
        <x:v>27.56</x:v>
      </x:c>
      <x:c r="F163" t="n">
        <x:v>300.00824</x:v>
      </x:c>
      <x:c r="G163" t="n">
        <x:v>1.21085</x:v>
      </x:c>
      <x:c r="H163" t="n">
        <x:v>30.3</x:v>
      </x:c>
      <x:c r="I163" t="n">
        <x:v>300.0006</x:v>
      </x:c>
      <x:c r="J163" t="n">
        <x:v>7.5759</x:v>
      </x:c>
      <x:c r="K163" t="n">
        <x:v>40.52</x:v>
      </x:c>
      <x:c r="L163" t="n">
        <x:v>300.00117</x:v>
      </x:c>
      <x:c r="M163" t="n">
        <x:v>0.53924</x:v>
      </x:c>
      <x:c r="N163" t="n">
        <x:v>300.00824</x:v>
      </x:c>
      <x:c r="O163" t="n">
        <x:v>1.21085</x:v>
      </x:c>
      <x:c r="P163" t="n">
        <x:v>300.0006</x:v>
      </x:c>
      <x:c r="Q163" t="n">
        <x:v>7.5759</x:v>
      </x:c>
      <x:c r="R163" t="n">
        <x:v>300.00079</x:v>
      </x:c>
      <x:c r="S163" t="n">
        <x:v>0.00079</x:v>
      </x:c>
      <x:c r="T163" t="n">
        <x:v>0.53924</x:v>
      </x:c>
      <x:c r="U163" t="n">
        <x:v>1.21085</x:v>
      </x:c>
      <x:c r="V163" t="n">
        <x:v>7.5759</x:v>
      </x:c>
      <x:c r="W163" t="n">
        <x:v>7.69098</x:v>
      </x:c>
      <x:c r="X163" t="n">
        <x:v>47.81</x:v>
      </x:c>
      <x:c r="Y163" t="str">
        <x:v>Z</x:v>
      </x:c>
      <x:c r="Z163" t="n">
        <x:v>0.51351</x:v>
      </x:c>
      <x:c r="AA163" t="n">
        <x:v>-2.52</x:v>
      </x:c>
      <x:c r="AB163" t="n">
        <x:v>0.387</x:v>
      </x:c>
      <x:c r="AC163" t="n">
        <x:v>5.41</x:v>
      </x:c>
      <x:c r="AD163" t="n">
        <x:v>1.22962</x:v>
      </x:c>
      <x:c r="AE163" t="n">
        <x:v>14.2</x:v>
      </x:c>
      <x:c r="AF163" t="n">
        <x:v>0.698</x:v>
      </x:c>
      <x:c r="AG163" t="n">
        <x:v>1.55</x:v>
      </x:c>
      <x:c r="AH163" t="n">
        <x:v>7.57221</x:v>
      </x:c>
      <x:c r="AI163" t="n">
        <x:v>-8.77</x:v>
      </x:c>
      <x:c r="AJ163" t="n">
        <x:v>0.935</x:v>
      </x:c>
      <x:c r="AK163" t="n">
        <x:v>0.25</x:v>
      </x:c>
      <x:c r="AL163" t="n">
        <x:v>7.68863</x:v>
      </x:c>
      <x:c r="AM163" t="n">
        <x:v>0.21</x:v>
      </x:c>
      <x:c r="AN163" t="n">
        <x:v>0.0668</x:v>
      </x:c>
      <x:c r="AO163" t="n">
        <x:v>0.1599</x:v>
      </x:c>
      <x:c r="AP163" t="n">
        <x:v>0.9849</x:v>
      </x:c>
      <x:c r="AQ163" t="n">
        <x:v>1</x:v>
      </x:c>
      <x:c r="AR163" t="n">
        <x:v>0.16238588206085144</x:v>
      </x:c>
      <x:c r="AS163" t="n">
        <x:v>0.004460667860680664</x:v>
      </x:c>
      <x:c r="AT163" t="n">
        <x:v>0.025576664881015142</x:v>
      </x:c>
      <x:c r="AU163" t="n">
        <x:v>0.9699455966710407</x:v>
      </x:c>
      <x:c r="AV163" t="str">
        <x:v>YES</x:v>
      </x:c>
    </x:row>
    <x:row r="164">
      <x:c r="A164" t="n">
        <x:v>300</x:v>
      </x:c>
      <x:c r="B164" t="n">
        <x:v>25</x:v>
      </x:c>
      <x:c r="C164" t="n">
        <x:v>256.44832</x:v>
      </x:c>
      <x:c r="D164" t="n">
        <x:v>0.73936</x:v>
      </x:c>
      <x:c r="E164" t="n">
        <x:v>28.19</x:v>
      </x:c>
      <x:c r="F164" t="n">
        <x:v>300.00743</x:v>
      </x:c>
      <x:c r="G164" t="n">
        <x:v>1.39179</x:v>
      </x:c>
      <x:c r="H164" t="n">
        <x:v>32.32</x:v>
      </x:c>
      <x:c r="I164" t="n">
        <x:v>300.00061</x:v>
      </x:c>
      <x:c r="J164" t="n">
        <x:v>8.41663</x:v>
      </x:c>
      <x:c r="K164" t="n">
        <x:v>40.67</x:v>
      </x:c>
      <x:c r="L164" t="n">
        <x:v>300.00365</x:v>
      </x:c>
      <x:c r="M164" t="n">
        <x:v>0.6328</x:v>
      </x:c>
      <x:c r="N164" t="n">
        <x:v>300.00743</x:v>
      </x:c>
      <x:c r="O164" t="n">
        <x:v>1.39179</x:v>
      </x:c>
      <x:c r="P164" t="n">
        <x:v>300.00061</x:v>
      </x:c>
      <x:c r="Q164" t="n">
        <x:v>8.41663</x:v>
      </x:c>
      <x:c r="R164" t="n">
        <x:v>300.0008</x:v>
      </x:c>
      <x:c r="S164" t="n">
        <x:v>0.0008</x:v>
      </x:c>
      <x:c r="T164" t="n">
        <x:v>0.6328</x:v>
      </x:c>
      <x:c r="U164" t="n">
        <x:v>1.39179</x:v>
      </x:c>
      <x:c r="V164" t="n">
        <x:v>8.41663</x:v>
      </x:c>
      <x:c r="W164" t="n">
        <x:v>8.55436</x:v>
      </x:c>
      <x:c r="X164" t="n">
        <x:v>45.69</x:v>
      </x:c>
      <x:c r="Y164" t="str">
        <x:v>Z</x:v>
      </x:c>
      <x:c r="Z164" t="n">
        <x:v>0.57549</x:v>
      </x:c>
      <x:c r="AA164" t="n">
        <x:v>-4.73</x:v>
      </x:c>
      <x:c r="AB164" t="n">
        <x:v>0.406</x:v>
      </x:c>
      <x:c r="AC164" t="n">
        <x:v>9.44</x:v>
      </x:c>
      <x:c r="AD164" t="n">
        <x:v>1.37034</x:v>
      </x:c>
      <x:c r="AE164" t="n">
        <x:v>17.76</x:v>
      </x:c>
      <x:c r="AF164" t="n">
        <x:v>0.763</x:v>
      </x:c>
      <x:c r="AG164" t="n">
        <x:v>2.44</x:v>
      </x:c>
      <x:c r="AH164" t="n">
        <x:v>8.40582</x:v>
      </x:c>
      <x:c r="AI164" t="n">
        <x:v>-10.18</x:v>
      </x:c>
      <x:c r="AJ164" t="n">
        <x:v>0.935</x:v>
      </x:c>
      <x:c r="AK164" t="n">
        <x:v>0.44</x:v>
      </x:c>
      <x:c r="AL164" t="n">
        <x:v>8.53639</x:v>
      </x:c>
      <x:c r="AM164" t="n">
        <x:v>0.48</x:v>
      </x:c>
      <x:c r="AN164" t="n">
        <x:v>0.0674</x:v>
      </x:c>
      <x:c r="AO164" t="n">
        <x:v>0.1605</x:v>
      </x:c>
      <x:c r="AP164" t="n">
        <x:v>0.9847</x:v>
      </x:c>
      <x:c r="AQ164" t="n">
        <x:v>1</x:v>
      </x:c>
      <x:c r="AR164" t="n">
        <x:v>0.16302276280005995</x:v>
      </x:c>
      <x:c r="AS164" t="n">
        <x:v>0.00454492861413254</x:v>
      </x:c>
      <x:c r="AT164" t="n">
        <x:v>0.025769629408835204</x:v>
      </x:c>
      <x:c r="AU164" t="n">
        <x:v>0.9696425724015958</x:v>
      </x:c>
      <x:c r="AV164" t="str">
        <x:v>YES</x:v>
      </x:c>
    </x:row>
    <x:row r="165">
      <x:c r="A165" t="n">
        <x:v>300</x:v>
      </x:c>
      <x:c r="B165" t="n">
        <x:v>27</x:v>
      </x:c>
      <x:c r="C165" t="n">
        <x:v>299.9762</x:v>
      </x:c>
      <x:c r="D165" t="n">
        <x:v>0.64741</x:v>
      </x:c>
      <x:c r="E165" t="n">
        <x:v>24.79</x:v>
      </x:c>
      <x:c r="F165" t="n">
        <x:v>299.99531</x:v>
      </x:c>
      <x:c r="G165" t="n">
        <x:v>1.47474</x:v>
      </x:c>
      <x:c r="H165" t="n">
        <x:v>30.95</x:v>
      </x:c>
      <x:c r="I165" t="n">
        <x:v>299.99843</x:v>
      </x:c>
      <x:c r="J165" t="n">
        <x:v>9.17145</x:v>
      </x:c>
      <x:c r="K165" t="n">
        <x:v>40.92</x:v>
      </x:c>
      <x:c r="L165" t="n">
        <x:v>299.9762</x:v>
      </x:c>
      <x:c r="M165" t="n">
        <x:v>0.64741</x:v>
      </x:c>
      <x:c r="N165" t="n">
        <x:v>299.99531</x:v>
      </x:c>
      <x:c r="O165" t="n">
        <x:v>1.47474</x:v>
      </x:c>
      <x:c r="P165" t="n">
        <x:v>299.99843</x:v>
      </x:c>
      <x:c r="Q165" t="n">
        <x:v>9.17145</x:v>
      </x:c>
      <x:c r="R165" t="n">
        <x:v>299.99825</x:v>
      </x:c>
      <x:c r="S165" t="n">
        <x:v>-0.00175</x:v>
      </x:c>
      <x:c r="T165" t="n">
        <x:v>0.64741</x:v>
      </x:c>
      <x:c r="U165" t="n">
        <x:v>1.47474</x:v>
      </x:c>
      <x:c r="V165" t="n">
        <x:v>9.17145</x:v>
      </x:c>
      <x:c r="W165" t="n">
        <x:v>9.31179</x:v>
      </x:c>
      <x:c r="X165" t="n">
        <x:v>47.55</x:v>
      </x:c>
      <x:c r="Y165" t="str">
        <x:v>Z</x:v>
      </x:c>
      <x:c r="Z165" t="n">
        <x:v>0.62073</x:v>
      </x:c>
      <x:c r="AA165" t="n">
        <x:v>-9.19</x:v>
      </x:c>
      <x:c r="AB165" t="n">
        <x:v>0.438</x:v>
      </x:c>
      <x:c r="AC165" t="n">
        <x:v>9.57</x:v>
      </x:c>
      <x:c r="AD165" t="n">
        <x:v>1.49286</x:v>
      </x:c>
      <x:c r="AE165" t="n">
        <x:v>20.72</x:v>
      </x:c>
      <x:c r="AF165" t="n">
        <x:v>0.728</x:v>
      </x:c>
      <x:c r="AG165" t="n">
        <x:v>2.47</x:v>
      </x:c>
      <x:c r="AH165" t="n">
        <x:v>9.13737</x:v>
      </x:c>
      <x:c r="AI165" t="n">
        <x:v>-9.85</x:v>
      </x:c>
      <x:c r="AJ165" t="n">
        <x:v>0.936</x:v>
      </x:c>
      <x:c r="AK165" t="n">
        <x:v>0.17</x:v>
      </x:c>
      <x:c r="AL165" t="n">
        <x:v>9.27952</x:v>
      </x:c>
      <x:c r="AM165" t="n">
        <x:v>0.12</x:v>
      </x:c>
      <x:c r="AN165" t="n">
        <x:v>0.0669</x:v>
      </x:c>
      <x:c r="AO165" t="n">
        <x:v>0.1609</x:v>
      </x:c>
      <x:c r="AP165" t="n">
        <x:v>0.9847</x:v>
      </x:c>
      <x:c r="AQ165" t="n">
        <x:v>1</x:v>
      </x:c>
      <x:c r="AR165" t="n">
        <x:v>0.16337961579754348</x:v>
      </x:c>
      <x:c r="AS165" t="n">
        <x:v>0.004474602352185907</x:v>
      </x:c>
      <x:c r="AT165" t="n">
        <x:v>0.025881362699736104</x:v>
      </x:c>
      <x:c r="AU165" t="n">
        <x:v>0.9695973014122837</x:v>
      </x:c>
      <x:c r="AV165" t="str">
        <x:v>YES</x:v>
      </x:c>
    </x:row>
    <x:row r="166">
      <x:c r="A166" t="n">
        <x:v>300</x:v>
      </x:c>
      <x:c r="B166" t="n">
        <x:v>29</x:v>
      </x:c>
      <x:c r="C166" t="n">
        <x:v>457.15939</x:v>
      </x:c>
      <x:c r="D166" t="n">
        <x:v>0.92337</x:v>
      </x:c>
      <x:c r="E166" t="n">
        <x:v>24.49</x:v>
      </x:c>
      <x:c r="F166" t="n">
        <x:v>300.00222</x:v>
      </x:c>
      <x:c r="G166" t="n">
        <x:v>1.60857</x:v>
      </x:c>
      <x:c r="H166" t="n">
        <x:v>30.69</x:v>
      </x:c>
      <x:c r="I166" t="n">
        <x:v>300.00171</x:v>
      </x:c>
      <x:c r="J166" t="n">
        <x:v>9.93086</x:v>
      </x:c>
      <x:c r="K166" t="n">
        <x:v>40.43</x:v>
      </x:c>
      <x:c r="L166" t="n">
        <x:v>300.03085</x:v>
      </x:c>
      <x:c r="M166" t="n">
        <x:v>0.6118</x:v>
      </x:c>
      <x:c r="N166" t="n">
        <x:v>300.00222</x:v>
      </x:c>
      <x:c r="O166" t="n">
        <x:v>1.60857</x:v>
      </x:c>
      <x:c r="P166" t="n">
        <x:v>300.00171</x:v>
      </x:c>
      <x:c r="Q166" t="n">
        <x:v>9.93086</x:v>
      </x:c>
      <x:c r="R166" t="n">
        <x:v>300.00182</x:v>
      </x:c>
      <x:c r="S166" t="n">
        <x:v>0.00182</x:v>
      </x:c>
      <x:c r="T166" t="n">
        <x:v>0.6118</x:v>
      </x:c>
      <x:c r="U166" t="n">
        <x:v>1.60857</x:v>
      </x:c>
      <x:c r="V166" t="n">
        <x:v>9.93086</x:v>
      </x:c>
      <x:c r="W166" t="n">
        <x:v>10.07887</x:v>
      </x:c>
      <x:c r="X166" t="n">
        <x:v>44.1</x:v>
      </x:c>
      <x:c r="Y166" t="str">
        <x:v>Z</x:v>
      </x:c>
      <x:c r="Z166" t="n">
        <x:v>0.64799</x:v>
      </x:c>
      <x:c r="AA166" t="n">
        <x:v>-8.86</x:v>
      </x:c>
      <x:c r="AB166" t="n">
        <x:v>0.322</x:v>
      </x:c>
      <x:c r="AC166" t="n">
        <x:v>12.69</x:v>
      </x:c>
      <x:c r="AD166" t="n">
        <x:v>1.62187</x:v>
      </x:c>
      <x:c r="AE166" t="n">
        <x:v>21.5</x:v>
      </x:c>
      <x:c r="AF166" t="n">
        <x:v>0.699</x:v>
      </x:c>
      <x:c r="AG166" t="n">
        <x:v>1.97</x:v>
      </x:c>
      <x:c r="AH166" t="n">
        <x:v>9.95559</x:v>
      </x:c>
      <x:c r="AI166" t="n">
        <x:v>-11.43</x:v>
      </x:c>
      <x:c r="AJ166" t="n">
        <x:v>0.936</x:v>
      </x:c>
      <x:c r="AK166" t="n">
        <x:v>0.55</x:v>
      </x:c>
      <x:c r="AL166" t="n">
        <x:v>10.10794</x:v>
      </x:c>
      <x:c r="AM166" t="n">
        <x:v>0.55</x:v>
      </x:c>
      <x:c r="AN166" t="n">
        <x:v>0.0641</x:v>
      </x:c>
      <x:c r="AO166" t="n">
        <x:v>0.1605</x:v>
      </x:c>
      <x:c r="AP166" t="n">
        <x:v>0.9849</x:v>
      </x:c>
      <x:c r="AQ166" t="n">
        <x:v>1</x:v>
      </x:c>
      <x:c r="AR166" t="n">
        <x:v>0.16291048546595427</x:v>
      </x:c>
      <x:c r="AS166" t="n">
        <x:v>0.0041097111328285765</x:v>
      </x:c>
      <x:c r="AT166" t="n">
        <x:v>0.025745822495953183</x:v>
      </x:c>
      <x:c r="AU166" t="n">
        <x:v>0.9700825555307027</x:v>
      </x:c>
      <x:c r="AV166" t="str">
        <x:v>YES</x:v>
      </x:c>
    </x:row>
    <x:row r="167">
      <x:c r="A167" t="n">
        <x:v>325</x:v>
      </x:c>
      <x:c r="B167" t="n">
        <x:v>1</x:v>
      </x:c>
      <x:c r="C167" t="n">
        <x:v>278.45762</x:v>
      </x:c>
      <x:c r="D167" t="n">
        <x:v>0.27787</x:v>
      </x:c>
      <x:c r="E167" t="n">
        <x:v>22.51</x:v>
      </x:c>
      <x:c r="F167" t="n">
        <x:v>649.99343</x:v>
      </x:c>
      <x:c r="G167" t="n">
        <x:v>0.28902</x:v>
      </x:c>
      <x:c r="H167" t="n">
        <x:v>22.94</x:v>
      </x:c>
      <x:c r="I167" t="n">
        <x:v>649.9942</x:v>
      </x:c>
      <x:c r="J167" t="n">
        <x:v>0.44531</x:v>
      </x:c>
      <x:c r="K167" t="n">
        <x:v>27.21</x:v>
      </x:c>
      <x:c r="L167" t="n">
        <x:v>321.51789</x:v>
      </x:c>
      <x:c r="M167" t="n">
        <x:v>0.0524</x:v>
      </x:c>
      <x:c r="N167" t="n">
        <x:v>325.0986</x:v>
      </x:c>
      <x:c r="O167" t="n">
        <x:v>0.02698</x:v>
      </x:c>
      <x:c r="P167" t="n">
        <x:v>322.17205</x:v>
      </x:c>
      <x:c r="Q167" t="n">
        <x:v>0.02126</x:v>
      </x:c>
      <x:c r="R167" t="n">
        <x:v>321.58368</x:v>
      </x:c>
      <x:c r="S167" t="n">
        <x:v>-3.41632</x:v>
      </x:c>
      <x:c r="T167" t="n">
        <x:v>0.0524</x:v>
      </x:c>
      <x:c r="U167" t="n">
        <x:v>0.01778</x:v>
      </x:c>
      <x:c r="V167" t="n">
        <x:v>0.02126</x:v>
      </x:c>
      <x:c r="W167" t="n">
        <x:v>0.05927</x:v>
      </x:c>
      <x:c r="X167" t="n">
        <x:v>5.64</x:v>
      </x:c>
      <x:c r="Y167" t="str">
        <x:v>X</x:v>
      </x:c>
      <x:c r="Z167" t="n">
        <x:v>0.02537</x:v>
      </x:c>
      <x:c r="AA167" t="n">
        <x:v>-16.72</x:v>
      </x:c>
      <x:c r="AB167" t="n">
        <x:v>0.037</x:v>
      </x:c>
      <x:c r="AC167" t="n">
        <x:v>62.36</x:v>
      </x:c>
      <x:c r="AD167" t="n">
        <x:v>0.02227</x:v>
      </x:c>
      <x:c r="AE167" t="n">
        <x:v>97.15</x:v>
      </x:c>
      <x:c r="AF167" t="n">
        <x:v>0.032</x:v>
      </x:c>
      <x:c r="AG167" t="n">
        <x:v>90.31</x:v>
      </x:c>
      <x:c r="AH167" t="n">
        <x:v>0.01835</x:v>
      </x:c>
      <x:c r="AI167" t="n">
        <x:v>147.55</x:v>
      </x:c>
      <x:c r="AJ167" t="n">
        <x:v>0.027</x:v>
      </x:c>
      <x:c r="AK167" t="n">
        <x:v>54.63</x:v>
      </x:c>
      <x:c r="AL167" t="n">
        <x:v>0.04213</x:v>
      </x:c>
      <x:c r="AM167" t="n">
        <x:v>46.36</x:v>
      </x:c>
      <x:c r="AN167" t="n">
        <x:v>0.6021</x:v>
      </x:c>
      <x:c r="AO167" t="n">
        <x:v>0.5285</x:v>
      </x:c>
      <x:c r="AP167" t="n">
        <x:v>0.4356</x:v>
      </x:c>
      <x:c r="AQ167" t="n">
        <x:v>0</x:v>
      </x:c>
      <x:c r="AR167" t="n">
        <x:v>1.213623978201635</x:v>
      </x:c>
      <x:c r="AS167" t="n">
        <x:v>0.36262522909969364</x:v>
      </x:c>
      <x:c r="AT167" t="n">
        <x:v>0.2794200176918966</x:v>
      </x:c>
      <x:c r="AU167" t="n">
        <x:v>0.18970956094270172</x:v>
      </x:c>
      <x:c r="AV167" t="str">
        <x:v>NO</x:v>
      </x:c>
    </x:row>
    <x:row r="168">
      <x:c r="A168" t="n">
        <x:v>325</x:v>
      </x:c>
      <x:c r="B168" t="n">
        <x:v>3</x:v>
      </x:c>
      <x:c r="C168" t="n">
        <x:v>232.07707</x:v>
      </x:c>
      <x:c r="D168" t="n">
        <x:v>0.44747</x:v>
      </x:c>
      <x:c r="E168" t="n">
        <x:v>23.65</x:v>
      </x:c>
      <x:c r="F168" t="n">
        <x:v>324.99732</x:v>
      </x:c>
      <x:c r="G168" t="n">
        <x:v>0.65297</x:v>
      </x:c>
      <x:c r="H168" t="n">
        <x:v>24.43</x:v>
      </x:c>
      <x:c r="I168" t="n">
        <x:v>324.98464</x:v>
      </x:c>
      <x:c r="J168" t="n">
        <x:v>0.25252</x:v>
      </x:c>
      <x:c r="K168" t="n">
        <x:v>21.82</x:v>
      </x:c>
      <x:c r="L168" t="n">
        <x:v>328.34742</x:v>
      </x:c>
      <x:c r="M168" t="n">
        <x:v>0.06313</x:v>
      </x:c>
      <x:c r="N168" t="n">
        <x:v>324.99732</x:v>
      </x:c>
      <x:c r="O168" t="n">
        <x:v>0.65297</x:v>
      </x:c>
      <x:c r="P168" t="n">
        <x:v>324.98464</x:v>
      </x:c>
      <x:c r="Q168" t="n">
        <x:v>0.25252</x:v>
      </x:c>
      <x:c r="R168" t="n">
        <x:v>324.99468</x:v>
      </x:c>
      <x:c r="S168" t="n">
        <x:v>-0.00532</x:v>
      </x:c>
      <x:c r="T168" t="n">
        <x:v>0.06101</x:v>
      </x:c>
      <x:c r="U168" t="n">
        <x:v>0.65297</x:v>
      </x:c>
      <x:c r="V168" t="n">
        <x:v>0.25252</x:v>
      </x:c>
      <x:c r="W168" t="n">
        <x:v>0.70275</x:v>
      </x:c>
      <x:c r="X168" t="n">
        <x:v>27.3</x:v>
      </x:c>
      <x:c r="Y168" t="str">
        <x:v>Y</x:v>
      </x:c>
      <x:c r="Z168" t="n">
        <x:v>0.07229</x:v>
      </x:c>
      <x:c r="AA168" t="n">
        <x:v>26.61</x:v>
      </x:c>
      <x:c r="AB168" t="n">
        <x:v>0.067</x:v>
      </x:c>
      <x:c r="AC168" t="n">
        <x:v>32.15</x:v>
      </x:c>
      <x:c r="AD168" t="n">
        <x:v>0.65948</x:v>
      </x:c>
      <x:c r="AE168" t="n">
        <x:v>-74.09</x:v>
      </x:c>
      <x:c r="AF168" t="n">
        <x:v>0.466</x:v>
      </x:c>
      <x:c r="AG168" t="n">
        <x:v>2.31</x:v>
      </x:c>
      <x:c r="AH168" t="n">
        <x:v>0.28431</x:v>
      </x:c>
      <x:c r="AI168" t="n">
        <x:v>-41.52</x:v>
      </x:c>
      <x:c r="AJ168" t="n">
        <x:v>0.474</x:v>
      </x:c>
      <x:c r="AK168" t="n">
        <x:v>7</x:v>
      </x:c>
      <x:c r="AL168" t="n">
        <x:v>0.72233</x:v>
      </x:c>
      <x:c r="AM168" t="n">
        <x:v>1.93</x:v>
      </x:c>
      <x:c r="AN168" t="n">
        <x:v>0.1001</x:v>
      </x:c>
      <x:c r="AO168" t="n">
        <x:v>0.913</x:v>
      </x:c>
      <x:c r="AP168" t="n">
        <x:v>0.3936</x:v>
      </x:c>
      <x:c r="AQ168" t="n">
        <x:v>1</x:v>
      </x:c>
      <x:c r="AR168" t="n">
        <x:v>2.3195807393338255</x:v>
      </x:c>
      <x:c r="AS168" t="n">
        <x:v>0.0100157884871792</x:v>
      </x:c>
      <x:c r="AT168" t="n">
        <x:v>0.8335505714888943</x:v>
      </x:c>
      <x:c r="AU168" t="n">
        <x:v>0.15492195390521155</x:v>
      </x:c>
      <x:c r="AV168" t="str">
        <x:v>NO</x:v>
      </x:c>
    </x:row>
    <x:row r="169">
      <x:c r="A169" t="n">
        <x:v>325</x:v>
      </x:c>
      <x:c r="B169" t="n">
        <x:v>5</x:v>
      </x:c>
      <x:c r="C169" t="n">
        <x:v>231.70452</x:v>
      </x:c>
      <x:c r="D169" t="n">
        <x:v>0.56887</x:v>
      </x:c>
      <x:c r="E169" t="n">
        <x:v>24.96</x:v>
      </x:c>
      <x:c r="F169" t="n">
        <x:v>325.00108</x:v>
      </x:c>
      <x:c r="G169" t="n">
        <x:v>1.26274</x:v>
      </x:c>
      <x:c r="H169" t="n">
        <x:v>29.35</x:v>
      </x:c>
      <x:c r="I169" t="n">
        <x:v>325.01937</x:v>
      </x:c>
      <x:c r="J169" t="n">
        <x:v>0.58702</x:v>
      </x:c>
      <x:c r="K169" t="n">
        <x:v>29.08</x:v>
      </x:c>
      <x:c r="L169" t="n">
        <x:v>325.10695</x:v>
      </x:c>
      <x:c r="M169" t="n">
        <x:v>0.10627</x:v>
      </x:c>
      <x:c r="N169" t="n">
        <x:v>325.00108</x:v>
      </x:c>
      <x:c r="O169" t="n">
        <x:v>1.26274</x:v>
      </x:c>
      <x:c r="P169" t="n">
        <x:v>325.01937</x:v>
      </x:c>
      <x:c r="Q169" t="n">
        <x:v>0.58702</x:v>
      </x:c>
      <x:c r="R169" t="n">
        <x:v>325.00494</x:v>
      </x:c>
      <x:c r="S169" t="n">
        <x:v>0.00494</x:v>
      </x:c>
      <x:c r="T169" t="n">
        <x:v>0.10627</x:v>
      </x:c>
      <x:c r="U169" t="n">
        <x:v>1.26274</x:v>
      </x:c>
      <x:c r="V169" t="n">
        <x:v>0.58702</x:v>
      </x:c>
      <x:c r="W169" t="n">
        <x:v>1.39656</x:v>
      </x:c>
      <x:c r="X169" t="n">
        <x:v>31.73</x:v>
      </x:c>
      <x:c r="Y169" t="str">
        <x:v>Y</x:v>
      </x:c>
      <x:c r="Z169" t="n">
        <x:v>0.1123</x:v>
      </x:c>
      <x:c r="AA169" t="n">
        <x:v>34.23</x:v>
      </x:c>
      <x:c r="AB169" t="n">
        <x:v>0.103</x:v>
      </x:c>
      <x:c r="AC169" t="n">
        <x:v>16.57</x:v>
      </x:c>
      <x:c r="AD169" t="n">
        <x:v>1.28436</x:v>
      </x:c>
      <x:c r="AE169" t="n">
        <x:v>-78.51</x:v>
      </x:c>
      <x:c r="AF169" t="n">
        <x:v>0.731</x:v>
      </x:c>
      <x:c r="AG169" t="n">
        <x:v>1.53</x:v>
      </x:c>
      <x:c r="AH169" t="n">
        <x:v>0.5843</x:v>
      </x:c>
      <x:c r="AI169" t="n">
        <x:v>-29.55</x:v>
      </x:c>
      <x:c r="AJ169" t="n">
        <x:v>0.743</x:v>
      </x:c>
      <x:c r="AK169" t="n">
        <x:v>2.42</x:v>
      </x:c>
      <x:c r="AL169" t="n">
        <x:v>1.4157</x:v>
      </x:c>
      <x:c r="AM169" t="n">
        <x:v>0.97</x:v>
      </x:c>
      <x:c r="AN169" t="n">
        <x:v>0.0793</x:v>
      </x:c>
      <x:c r="AO169" t="n">
        <x:v>0.9072</x:v>
      </x:c>
      <x:c r="AP169" t="n">
        <x:v>0.4127</x:v>
      </x:c>
      <x:c r="AQ169" t="n">
        <x:v>1</x:v>
      </x:c>
      <x:c r="AR169" t="n">
        <x:v>2.1981174054424093</x:v>
      </x:c>
      <x:c r="AS169" t="n">
        <x:v>0.006292410519037886</x:v>
      </x:c>
      <x:c r="AT169" t="n">
        <x:v>0.8230592096326361</x:v>
      </x:c>
      <x:c r="AU169" t="n">
        <x:v>0.1703449677982033</x:v>
      </x:c>
      <x:c r="AV169" t="str">
        <x:v>NO</x:v>
      </x:c>
    </x:row>
    <x:row r="170">
      <x:c r="A170" t="n">
        <x:v>325</x:v>
      </x:c>
      <x:c r="B170" t="n">
        <x:v>7</x:v>
      </x:c>
      <x:c r="C170" t="n">
        <x:v>231.55074</x:v>
      </x:c>
      <x:c r="D170" t="n">
        <x:v>0.47189</x:v>
      </x:c>
      <x:c r="E170" t="n">
        <x:v>23.75</x:v>
      </x:c>
      <x:c r="F170" t="n">
        <x:v>325.00346</x:v>
      </x:c>
      <x:c r="G170" t="n">
        <x:v>1.30779</x:v>
      </x:c>
      <x:c r="H170" t="n">
        <x:v>29.62</x:v>
      </x:c>
      <x:c r="I170" t="n">
        <x:v>325.00197</x:v>
      </x:c>
      <x:c r="J170" t="n">
        <x:v>1.65053</x:v>
      </x:c>
      <x:c r="K170" t="n">
        <x:v>35.29</x:v>
      </x:c>
      <x:c r="L170" t="n">
        <x:v>324.98624</x:v>
      </x:c>
      <x:c r="M170" t="n">
        <x:v>0.17539</x:v>
      </x:c>
      <x:c r="N170" t="n">
        <x:v>325.00346</x:v>
      </x:c>
      <x:c r="O170" t="n">
        <x:v>1.30779</x:v>
      </x:c>
      <x:c r="P170" t="n">
        <x:v>325.00197</x:v>
      </x:c>
      <x:c r="Q170" t="n">
        <x:v>1.65053</x:v>
      </x:c>
      <x:c r="R170" t="n">
        <x:v>325.00243</x:v>
      </x:c>
      <x:c r="S170" t="n">
        <x:v>0.00243</x:v>
      </x:c>
      <x:c r="T170" t="n">
        <x:v>0.17539</x:v>
      </x:c>
      <x:c r="U170" t="n">
        <x:v>1.30779</x:v>
      </x:c>
      <x:c r="V170" t="n">
        <x:v>1.65053</x:v>
      </x:c>
      <x:c r="W170" t="n">
        <x:v>2.11313</x:v>
      </x:c>
      <x:c r="X170" t="n">
        <x:v>29.31</x:v>
      </x:c>
      <x:c r="Y170" t="str">
        <x:v>Z</x:v>
      </x:c>
      <x:c r="Z170" t="n">
        <x:v>0.19228</x:v>
      </x:c>
      <x:c r="AA170" t="n">
        <x:v>21.84</x:v>
      </x:c>
      <x:c r="AB170" t="n">
        <x:v>0.188</x:v>
      </x:c>
      <x:c r="AC170" t="n">
        <x:v>11.52</x:v>
      </x:c>
      <x:c r="AD170" t="n">
        <x:v>1.27554</x:v>
      </x:c>
      <x:c r="AE170" t="n">
        <x:v>-78.89</x:v>
      </x:c>
      <x:c r="AF170" t="n">
        <x:v>0.699</x:v>
      </x:c>
      <x:c r="AG170" t="n">
        <x:v>2.15</x:v>
      </x:c>
      <x:c r="AH170" t="n">
        <x:v>1.68952</x:v>
      </x:c>
      <x:c r="AI170" t="n">
        <x:v>-15.02</x:v>
      </x:c>
      <x:c r="AJ170" t="n">
        <x:v>0.897</x:v>
      </x:c>
      <x:c r="AK170" t="n">
        <x:v>1.04</x:v>
      </x:c>
      <x:c r="AL170" t="n">
        <x:v>2.1259</x:v>
      </x:c>
      <x:c r="AM170" t="n">
        <x:v>0.76</x:v>
      </x:c>
      <x:c r="AN170" t="n">
        <x:v>0.0904</x:v>
      </x:c>
      <x:c r="AO170" t="n">
        <x:v>0.6</x:v>
      </x:c>
      <x:c r="AP170" t="n">
        <x:v>0.7947</x:v>
      </x:c>
      <x:c r="AQ170" t="n">
        <x:v>1</x:v>
      </x:c>
      <x:c r="AR170" t="n">
        <x:v>0.7549718263175339</x:v>
      </x:c>
      <x:c r="AS170" t="n">
        <x:v>0.008180551123201625</x:v>
      </x:c>
      <x:c r="AT170" t="n">
        <x:v>0.35999999999999993</x:v>
      </x:c>
      <x:c r="AU170" t="n">
        <x:v>0.6315983844948628</x:v>
      </x:c>
      <x:c r="AV170" t="str">
        <x:v>YES</x:v>
      </x:c>
    </x:row>
    <x:row r="171">
      <x:c r="A171" t="n">
        <x:v>325</x:v>
      </x:c>
      <x:c r="B171" t="n">
        <x:v>9</x:v>
      </x:c>
      <x:c r="C171" t="n">
        <x:v>231.72041</x:v>
      </x:c>
      <x:c r="D171" t="n">
        <x:v>0.42487</x:v>
      </x:c>
      <x:c r="E171" t="n">
        <x:v>21.76</x:v>
      </x:c>
      <x:c r="F171" t="n">
        <x:v>324.99478</x:v>
      </x:c>
      <x:c r="G171" t="n">
        <x:v>1.04934</x:v>
      </x:c>
      <x:c r="H171" t="n">
        <x:v>27.13</x:v>
      </x:c>
      <x:c r="I171" t="n">
        <x:v>325.00116</x:v>
      </x:c>
      <x:c r="J171" t="n">
        <x:v>3.05298</x:v>
      </x:c>
      <x:c r="K171" t="n">
        <x:v>37.99</x:v>
      </x:c>
      <x:c r="L171" t="n">
        <x:v>324.99784</x:v>
      </x:c>
      <x:c r="M171" t="n">
        <x:v>0.25372</x:v>
      </x:c>
      <x:c r="N171" t="n">
        <x:v>324.99478</x:v>
      </x:c>
      <x:c r="O171" t="n">
        <x:v>1.04934</x:v>
      </x:c>
      <x:c r="P171" t="n">
        <x:v>325.00116</x:v>
      </x:c>
      <x:c r="Q171" t="n">
        <x:v>3.05298</x:v>
      </x:c>
      <x:c r="R171" t="n">
        <x:v>325.00047</x:v>
      </x:c>
      <x:c r="S171" t="n">
        <x:v>0.00047</x:v>
      </x:c>
      <x:c r="T171" t="n">
        <x:v>0.25372</x:v>
      </x:c>
      <x:c r="U171" t="n">
        <x:v>1.04934</x:v>
      </x:c>
      <x:c r="V171" t="n">
        <x:v>3.05298</x:v>
      </x:c>
      <x:c r="W171" t="n">
        <x:v>3.23823</x:v>
      </x:c>
      <x:c r="X171" t="n">
        <x:v>31.72</x:v>
      </x:c>
      <x:c r="Y171" t="str">
        <x:v>Z</x:v>
      </x:c>
      <x:c r="Z171" t="n">
        <x:v>0.26357</x:v>
      </x:c>
      <x:c r="AA171" t="n">
        <x:v>9.62</x:v>
      </x:c>
      <x:c r="AB171" t="n">
        <x:v>0.237</x:v>
      </x:c>
      <x:c r="AC171" t="n">
        <x:v>12.15</x:v>
      </x:c>
      <x:c r="AD171" t="n">
        <x:v>1.00281</x:v>
      </x:c>
      <x:c r="AE171" t="n">
        <x:v>-69.85</x:v>
      </x:c>
      <x:c r="AF171" t="n">
        <x:v>0.575</x:v>
      </x:c>
      <x:c r="AG171" t="n">
        <x:v>3.54</x:v>
      </x:c>
      <x:c r="AH171" t="n">
        <x:v>3.11784</x:v>
      </x:c>
      <x:c r="AI171" t="n">
        <x:v>-15.5</x:v>
      </x:c>
      <x:c r="AJ171" t="n">
        <x:v>0.921</x:v>
      </x:c>
      <x:c r="AK171" t="n">
        <x:v>0.96</x:v>
      </x:c>
      <x:c r="AL171" t="n">
        <x:v>3.28604</x:v>
      </x:c>
      <x:c r="AM171" t="n">
        <x:v>0.75</x:v>
      </x:c>
      <x:c r="AN171" t="n">
        <x:v>0.0802</x:v>
      </x:c>
      <x:c r="AO171" t="n">
        <x:v>0.3052</x:v>
      </x:c>
      <x:c r="AP171" t="n">
        <x:v>0.9488</x:v>
      </x:c>
      <x:c r="AQ171" t="n">
        <x:v>1</x:v>
      </x:c>
      <x:c r="AR171" t="n">
        <x:v>0.3216361327072588</x:v>
      </x:c>
      <x:c r="AS171" t="n">
        <x:v>0.006433484542150083</x:v>
      </x:c>
      <x:c r="AT171" t="n">
        <x:v>0.09313043271264246</x:v>
      </x:c>
      <x:c r="AU171" t="n">
        <x:v>0.9002475696964902</x:v>
      </x:c>
      <x:c r="AV171" t="str">
        <x:v>YES</x:v>
      </x:c>
    </x:row>
    <x:row r="172">
      <x:c r="A172" t="n">
        <x:v>325</x:v>
      </x:c>
      <x:c r="B172" t="n">
        <x:v>11</x:v>
      </x:c>
      <x:c r="C172" t="n">
        <x:v>231.58096</x:v>
      </x:c>
      <x:c r="D172" t="n">
        <x:v>0.44161</x:v>
      </x:c>
      <x:c r="E172" t="n">
        <x:v>22.84</x:v>
      </x:c>
      <x:c r="F172" t="n">
        <x:v>324.99649</x:v>
      </x:c>
      <x:c r="G172" t="n">
        <x:v>0.96567</x:v>
      </x:c>
      <x:c r="H172" t="n">
        <x:v>26.58</x:v>
      </x:c>
      <x:c r="I172" t="n">
        <x:v>324.99898</x:v>
      </x:c>
      <x:c r="J172" t="n">
        <x:v>4.35956</x:v>
      </x:c>
      <x:c r="K172" t="n">
        <x:v>39.03</x:v>
      </x:c>
      <x:c r="L172" t="n">
        <x:v>324.97685</x:v>
      </x:c>
      <x:c r="M172" t="n">
        <x:v>0.33024</x:v>
      </x:c>
      <x:c r="N172" t="n">
        <x:v>324.99649</x:v>
      </x:c>
      <x:c r="O172" t="n">
        <x:v>0.96567</x:v>
      </x:c>
      <x:c r="P172" t="n">
        <x:v>324.99898</x:v>
      </x:c>
      <x:c r="Q172" t="n">
        <x:v>4.35956</x:v>
      </x:c>
      <x:c r="R172" t="n">
        <x:v>324.99874</x:v>
      </x:c>
      <x:c r="S172" t="n">
        <x:v>-0.00126</x:v>
      </x:c>
      <x:c r="T172" t="n">
        <x:v>0.33024</x:v>
      </x:c>
      <x:c r="U172" t="n">
        <x:v>0.96567</x:v>
      </x:c>
      <x:c r="V172" t="n">
        <x:v>4.35956</x:v>
      </x:c>
      <x:c r="W172" t="n">
        <x:v>4.47742</x:v>
      </x:c>
      <x:c r="X172" t="n">
        <x:v>34.86</x:v>
      </x:c>
      <x:c r="Y172" t="str">
        <x:v>Z</x:v>
      </x:c>
      <x:c r="Z172" t="n">
        <x:v>0.33424</x:v>
      </x:c>
      <x:c r="AA172" t="n">
        <x:v>1.92</x:v>
      </x:c>
      <x:c r="AB172" t="n">
        <x:v>0.317</x:v>
      </x:c>
      <x:c r="AC172" t="n">
        <x:v>2.54</x:v>
      </x:c>
      <x:c r="AD172" t="n">
        <x:v>0.93584</x:v>
      </x:c>
      <x:c r="AE172" t="n">
        <x:v>-62.71</x:v>
      </x:c>
      <x:c r="AF172" t="n">
        <x:v>0.577</x:v>
      </x:c>
      <x:c r="AG172" t="n">
        <x:v>1.71</x:v>
      </x:c>
      <x:c r="AH172" t="n">
        <x:v>4.37181</x:v>
      </x:c>
      <x:c r="AI172" t="n">
        <x:v>-16.68</x:v>
      </x:c>
      <x:c r="AJ172" t="n">
        <x:v>0.922</x:v>
      </x:c>
      <x:c r="AK172" t="n">
        <x:v>0.13</x:v>
      </x:c>
      <x:c r="AL172" t="n">
        <x:v>4.48336</x:v>
      </x:c>
      <x:c r="AM172" t="n">
        <x:v>0.1</x:v>
      </x:c>
      <x:c r="AN172" t="n">
        <x:v>0.0746</x:v>
      </x:c>
      <x:c r="AO172" t="n">
        <x:v>0.2087</x:v>
      </x:c>
      <x:c r="AP172" t="n">
        <x:v>0.9751</x:v>
      </x:c>
      <x:c r="AQ172" t="n">
        <x:v>1</x:v>
      </x:c>
      <x:c r="AR172" t="n">
        <x:v>0.21406236776072154</x:v>
      </x:c>
      <x:c r="AS172" t="n">
        <x:v>0.005557885810279933</x:v>
      </x:c>
      <x:c r="AT172" t="n">
        <x:v>0.04357084498922198</x:v>
      </x:c>
      <x:c r="AU172" t="n">
        <x:v>0.9508572730280839</x:v>
      </x:c>
      <x:c r="AV172" t="str">
        <x:v>YES</x:v>
      </x:c>
    </x:row>
    <x:row r="173">
      <x:c r="A173" t="n">
        <x:v>325</x:v>
      </x:c>
      <x:c r="B173" t="n">
        <x:v>13</x:v>
      </x:c>
      <x:c r="C173" t="n">
        <x:v>232.24823</x:v>
      </x:c>
      <x:c r="D173" t="n">
        <x:v>0.49141</x:v>
      </x:c>
      <x:c r="E173" t="n">
        <x:v>22.88</x:v>
      </x:c>
      <x:c r="F173" t="n">
        <x:v>324.99609</x:v>
      </x:c>
      <x:c r="G173" t="n">
        <x:v>0.93057</x:v>
      </x:c>
      <x:c r="H173" t="n">
        <x:v>26.16</x:v>
      </x:c>
      <x:c r="I173" t="n">
        <x:v>325.0025</x:v>
      </x:c>
      <x:c r="J173" t="n">
        <x:v>5.56088</x:v>
      </x:c>
      <x:c r="K173" t="n">
        <x:v>39.73</x:v>
      </x:c>
      <x:c r="L173" t="n">
        <x:v>325.01001</x:v>
      </x:c>
      <x:c r="M173" t="n">
        <x:v>0.3979</x:v>
      </x:c>
      <x:c r="N173" t="n">
        <x:v>324.99609</x:v>
      </x:c>
      <x:c r="O173" t="n">
        <x:v>0.93057</x:v>
      </x:c>
      <x:c r="P173" t="n">
        <x:v>325.0025</x:v>
      </x:c>
      <x:c r="Q173" t="n">
        <x:v>5.56088</x:v>
      </x:c>
      <x:c r="R173" t="n">
        <x:v>325.00236</x:v>
      </x:c>
      <x:c r="S173" t="n">
        <x:v>0.00236</x:v>
      </x:c>
      <x:c r="T173" t="n">
        <x:v>0.3979</x:v>
      </x:c>
      <x:c r="U173" t="n">
        <x:v>0.93057</x:v>
      </x:c>
      <x:c r="V173" t="n">
        <x:v>5.56088</x:v>
      </x:c>
      <x:c r="W173" t="n">
        <x:v>5.65222</x:v>
      </x:c>
      <x:c r="X173" t="n">
        <x:v>41.03</x:v>
      </x:c>
      <x:c r="Y173" t="str">
        <x:v>Z</x:v>
      </x:c>
      <x:c r="Z173" t="n">
        <x:v>0.39601</x:v>
      </x:c>
      <x:c r="AA173" t="n">
        <x:v>-3.25</x:v>
      </x:c>
      <x:c r="AB173" t="n">
        <x:v>0.334</x:v>
      </x:c>
      <x:c r="AC173" t="n">
        <x:v>6.62</x:v>
      </x:c>
      <x:c r="AD173" t="n">
        <x:v>0.92633</x:v>
      </x:c>
      <x:c r="AE173" t="n">
        <x:v>-54.01</x:v>
      </x:c>
      <x:c r="AF173" t="n">
        <x:v>0.58</x:v>
      </x:c>
      <x:c r="AG173" t="n">
        <x:v>1.83</x:v>
      </x:c>
      <x:c r="AH173" t="n">
        <x:v>5.54404</x:v>
      </x:c>
      <x:c r="AI173" t="n">
        <x:v>-17.38</x:v>
      </x:c>
      <x:c r="AJ173" t="n">
        <x:v>0.924</x:v>
      </x:c>
      <x:c r="AK173" t="n">
        <x:v>0.66</x:v>
      </x:c>
      <x:c r="AL173" t="n">
        <x:v>5.63488</x:v>
      </x:c>
      <x:c r="AM173" t="n">
        <x:v>0.69</x:v>
      </x:c>
      <x:c r="AN173" t="n">
        <x:v>0.0703</x:v>
      </x:c>
      <x:c r="AO173" t="n">
        <x:v>0.1644</x:v>
      </x:c>
      <x:c r="AP173" t="n">
        <x:v>0.9839</x:v>
      </x:c>
      <x:c r="AQ173" t="n">
        <x:v>1</x:v>
      </x:c>
      <x:c r="AR173" t="n">
        <x:v>0.16708573531215504</x:v>
      </x:c>
      <x:c r="AS173" t="n">
        <x:v>0.004939044761375042</x:v>
      </x:c>
      <x:c r="AT173" t="n">
        <x:v>0.02702477675319355</x:v>
      </x:c>
      <x:c r="AU173" t="n">
        <x:v>0.9680178518875936</x:v>
      </x:c>
      <x:c r="AV173" t="str">
        <x:v>YES</x:v>
      </x:c>
    </x:row>
    <x:row r="174">
      <x:c r="A174" t="n">
        <x:v>325</x:v>
      </x:c>
      <x:c r="B174" t="n">
        <x:v>15</x:v>
      </x:c>
      <x:c r="C174" t="n">
        <x:v>232.08246</x:v>
      </x:c>
      <x:c r="D174" t="n">
        <x:v>0.56528</x:v>
      </x:c>
      <x:c r="E174" t="n">
        <x:v>23.7</x:v>
      </x:c>
      <x:c r="F174" t="n">
        <x:v>325.01617</x:v>
      </x:c>
      <x:c r="G174" t="n">
        <x:v>0.96942</x:v>
      </x:c>
      <x:c r="H174" t="n">
        <x:v>26.28</x:v>
      </x:c>
      <x:c r="I174" t="n">
        <x:v>324.99941</x:v>
      </x:c>
      <x:c r="J174" t="n">
        <x:v>6.77338</x:v>
      </x:c>
      <x:c r="K174" t="n">
        <x:v>40.11</x:v>
      </x:c>
      <x:c r="L174" t="n">
        <x:v>325.00127</x:v>
      </x:c>
      <x:c r="M174" t="n">
        <x:v>0.47169</x:v>
      </x:c>
      <x:c r="N174" t="n">
        <x:v>325.01617</x:v>
      </x:c>
      <x:c r="O174" t="n">
        <x:v>0.96942</x:v>
      </x:c>
      <x:c r="P174" t="n">
        <x:v>324.99941</x:v>
      </x:c>
      <x:c r="Q174" t="n">
        <x:v>6.77338</x:v>
      </x:c>
      <x:c r="R174" t="n">
        <x:v>324.99976</x:v>
      </x:c>
      <x:c r="S174" t="n">
        <x:v>-0.00024</x:v>
      </x:c>
      <x:c r="T174" t="n">
        <x:v>0.47169</x:v>
      </x:c>
      <x:c r="U174" t="n">
        <x:v>0.96942</x:v>
      </x:c>
      <x:c r="V174" t="n">
        <x:v>6.77338</x:v>
      </x:c>
      <x:c r="W174" t="n">
        <x:v>6.85864</x:v>
      </x:c>
      <x:c r="X174" t="n">
        <x:v>37.72</x:v>
      </x:c>
      <x:c r="Y174" t="str">
        <x:v>Z</x:v>
      </x:c>
      <x:c r="Z174" t="n">
        <x:v>0.49996</x:v>
      </x:c>
      <x:c r="AA174" t="n">
        <x:v>-6.22</x:v>
      </x:c>
      <x:c r="AB174" t="n">
        <x:v>0.374</x:v>
      </x:c>
      <x:c r="AC174" t="n">
        <x:v>5.95</x:v>
      </x:c>
      <x:c r="AD174" t="n">
        <x:v>0.96576</x:v>
      </x:c>
      <x:c r="AE174" t="n">
        <x:v>-45.78</x:v>
      </x:c>
      <x:c r="AF174" t="n">
        <x:v>0.574</x:v>
      </x:c>
      <x:c r="AG174" t="n">
        <x:v>3.18</x:v>
      </x:c>
      <x:c r="AH174" t="n">
        <x:v>6.76945</x:v>
      </x:c>
      <x:c r="AI174" t="n">
        <x:v>-17.4</x:v>
      </x:c>
      <x:c r="AJ174" t="n">
        <x:v>0.927</x:v>
      </x:c>
      <x:c r="AK174" t="n">
        <x:v>0.48</x:v>
      </x:c>
      <x:c r="AL174" t="n">
        <x:v>6.85634</x:v>
      </x:c>
      <x:c r="AM174" t="n">
        <x:v>0.54</x:v>
      </x:c>
      <x:c r="AN174" t="n">
        <x:v>0.0729</x:v>
      </x:c>
      <x:c r="AO174" t="n">
        <x:v>0.1409</x:v>
      </x:c>
      <x:c r="AP174" t="n">
        <x:v>0.9873</x:v>
      </x:c>
      <x:c r="AQ174" t="n">
        <x:v>1</x:v>
      </x:c>
      <x:c r="AR174" t="n">
        <x:v>0.14266447052567047</x:v>
      </x:c>
      <x:c r="AS174" t="n">
        <x:v>0.005317234663586819</x:v>
      </x:c>
      <x:c r="AT174" t="n">
        <x:v>0.01984055132378398</x:v>
      </x:c>
      <x:c r="AU174" t="n">
        <x:v>0.9748147192147885</x:v>
      </x:c>
      <x:c r="AV174" t="str">
        <x:v>YES</x:v>
      </x:c>
    </x:row>
    <x:row r="175">
      <x:c r="A175" t="n">
        <x:v>325</x:v>
      </x:c>
      <x:c r="B175" t="n">
        <x:v>17</x:v>
      </x:c>
      <x:c r="C175" t="n">
        <x:v>232.03172</x:v>
      </x:c>
      <x:c r="D175" t="n">
        <x:v>0.59916</x:v>
      </x:c>
      <x:c r="E175" t="n">
        <x:v>23.34</x:v>
      </x:c>
      <x:c r="F175" t="n">
        <x:v>324.98862</x:v>
      </x:c>
      <x:c r="G175" t="n">
        <x:v>1.0103</x:v>
      </x:c>
      <x:c r="H175" t="n">
        <x:v>25.69</x:v>
      </x:c>
      <x:c r="I175" t="n">
        <x:v>324.99613</x:v>
      </x:c>
      <x:c r="J175" t="n">
        <x:v>7.94684</x:v>
      </x:c>
      <x:c r="K175" t="n">
        <x:v>40.23</x:v>
      </x:c>
      <x:c r="L175" t="n">
        <x:v>324.99018</x:v>
      </x:c>
      <x:c r="M175" t="n">
        <x:v>0.5724</x:v>
      </x:c>
      <x:c r="N175" t="n">
        <x:v>324.98862</x:v>
      </x:c>
      <x:c r="O175" t="n">
        <x:v>1.0103</x:v>
      </x:c>
      <x:c r="P175" t="n">
        <x:v>324.99613</x:v>
      </x:c>
      <x:c r="Q175" t="n">
        <x:v>7.94684</x:v>
      </x:c>
      <x:c r="R175" t="n">
        <x:v>324.99598</x:v>
      </x:c>
      <x:c r="S175" t="n">
        <x:v>-0.00402</x:v>
      </x:c>
      <x:c r="T175" t="n">
        <x:v>0.5724</x:v>
      </x:c>
      <x:c r="U175" t="n">
        <x:v>1.0103</x:v>
      </x:c>
      <x:c r="V175" t="n">
        <x:v>7.94684</x:v>
      </x:c>
      <x:c r="W175" t="n">
        <x:v>8.03122</x:v>
      </x:c>
      <x:c r="X175" t="n">
        <x:v>36.68</x:v>
      </x:c>
      <x:c r="Y175" t="str">
        <x:v>Z</x:v>
      </x:c>
      <x:c r="Z175" t="n">
        <x:v>0.54262</x:v>
      </x:c>
      <x:c r="AA175" t="n">
        <x:v>-15.25</x:v>
      </x:c>
      <x:c r="AB175" t="n">
        <x:v>0.385</x:v>
      </x:c>
      <x:c r="AC175" t="n">
        <x:v>6.65</x:v>
      </x:c>
      <x:c r="AD175" t="n">
        <x:v>0.99988</x:v>
      </x:c>
      <x:c r="AE175" t="n">
        <x:v>-45.7</x:v>
      </x:c>
      <x:c r="AF175" t="n">
        <x:v>0.537</x:v>
      </x:c>
      <x:c r="AG175" t="n">
        <x:v>1.68</x:v>
      </x:c>
      <x:c r="AH175" t="n">
        <x:v>7.94399</x:v>
      </x:c>
      <x:c r="AI175" t="n">
        <x:v>-22.41</x:v>
      </x:c>
      <x:c r="AJ175" t="n">
        <x:v>0.927</x:v>
      </x:c>
      <x:c r="AK175" t="n">
        <x:v>1.05</x:v>
      </x:c>
      <x:c r="AL175" t="n">
        <x:v>8.02512</x:v>
      </x:c>
      <x:c r="AM175" t="n">
        <x:v>1.03</x:v>
      </x:c>
      <x:c r="AN175" t="n">
        <x:v>0.0676</x:v>
      </x:c>
      <x:c r="AO175" t="n">
        <x:v>0.1246</x:v>
      </x:c>
      <x:c r="AP175" t="n">
        <x:v>0.9899</x:v>
      </x:c>
      <x:c r="AQ175" t="n">
        <x:v>1</x:v>
      </x:c>
      <x:c r="AR175" t="n">
        <x:v>0.1258662208789286</x:v>
      </x:c>
      <x:c r="AS175" t="n">
        <x:v>0.004571813690022401</x:v>
      </x:c>
      <x:c r="AT175" t="n">
        <x:v>0.015523608904505354</x:v>
      </x:c>
      <x:c r="AU175" t="n">
        <x:v>0.9798831898132373</x:v>
      </x:c>
      <x:c r="AV175" t="str">
        <x:v>YES</x:v>
      </x:c>
    </x:row>
    <x:row r="176">
      <x:c r="A176" t="n">
        <x:v>325</x:v>
      </x:c>
      <x:c r="B176" t="n">
        <x:v>19</x:v>
      </x:c>
      <x:c r="C176" t="n">
        <x:v>232.61492</x:v>
      </x:c>
      <x:c r="D176" t="n">
        <x:v>0.78755</x:v>
      </x:c>
      <x:c r="E176" t="n">
        <x:v>24.47</x:v>
      </x:c>
      <x:c r="F176" t="n">
        <x:v>325.01378</x:v>
      </x:c>
      <x:c r="G176" t="n">
        <x:v>1.14367</x:v>
      </x:c>
      <x:c r="H176" t="n">
        <x:v>26.65</x:v>
      </x:c>
      <x:c r="I176" t="n">
        <x:v>325.0058</x:v>
      </x:c>
      <x:c r="J176" t="n">
        <x:v>9.07379</x:v>
      </x:c>
      <x:c r="K176" t="n">
        <x:v>40.17</x:v>
      </x:c>
      <x:c r="L176" t="n">
        <x:v>325.00588</x:v>
      </x:c>
      <x:c r="M176" t="n">
        <x:v>0.62101</x:v>
      </x:c>
      <x:c r="N176" t="n">
        <x:v>325.01378</x:v>
      </x:c>
      <x:c r="O176" t="n">
        <x:v>1.14367</x:v>
      </x:c>
      <x:c r="P176" t="n">
        <x:v>325.0058</x:v>
      </x:c>
      <x:c r="Q176" t="n">
        <x:v>9.07379</x:v>
      </x:c>
      <x:c r="R176" t="n">
        <x:v>325.00592</x:v>
      </x:c>
      <x:c r="S176" t="n">
        <x:v>0.00592</x:v>
      </x:c>
      <x:c r="T176" t="n">
        <x:v>0.62101</x:v>
      </x:c>
      <x:c r="U176" t="n">
        <x:v>1.14367</x:v>
      </x:c>
      <x:c r="V176" t="n">
        <x:v>9.07379</x:v>
      </x:c>
      <x:c r="W176" t="n">
        <x:v>9.16664</x:v>
      </x:c>
      <x:c r="X176" t="n">
        <x:v>39.18</x:v>
      </x:c>
      <x:c r="Y176" t="str">
        <x:v>Z</x:v>
      </x:c>
      <x:c r="Z176" t="n">
        <x:v>0.68368</x:v>
      </x:c>
      <x:c r="AA176" t="n">
        <x:v>-6.89</x:v>
      </x:c>
      <x:c r="AB176" t="n">
        <x:v>0.418</x:v>
      </x:c>
      <x:c r="AC176" t="n">
        <x:v>1.64</x:v>
      </x:c>
      <x:c r="AD176" t="n">
        <x:v>1.1111</x:v>
      </x:c>
      <x:c r="AE176" t="n">
        <x:v>-35.93</x:v>
      </x:c>
      <x:c r="AF176" t="n">
        <x:v>0.57</x:v>
      </x:c>
      <x:c r="AG176" t="n">
        <x:v>2.43</x:v>
      </x:c>
      <x:c r="AH176" t="n">
        <x:v>9.207</x:v>
      </x:c>
      <x:c r="AI176" t="n">
        <x:v>-18.62</x:v>
      </x:c>
      <x:c r="AJ176" t="n">
        <x:v>0.926</x:v>
      </x:c>
      <x:c r="AK176" t="n">
        <x:v>0.25</x:v>
      </x:c>
      <x:c r="AL176" t="n">
        <x:v>9.29901</x:v>
      </x:c>
      <x:c r="AM176" t="n">
        <x:v>0.22</x:v>
      </x:c>
      <x:c r="AN176" t="n">
        <x:v>0.0735</x:v>
      </x:c>
      <x:c r="AO176" t="n">
        <x:v>0.1195</x:v>
      </x:c>
      <x:c r="AP176" t="n">
        <x:v>0.9901</x:v>
      </x:c>
      <x:c r="AQ176" t="n">
        <x:v>1</x:v>
      </x:c>
      <x:c r="AR176" t="n">
        <x:v>0.120679917454111</x:v>
      </x:c>
      <x:c r="AS176" t="n">
        <x:v>0.005405455811832949</x:v>
      </x:c>
      <x:c r="AT176" t="n">
        <x:v>0.014276865420361828</x:v>
      </x:c>
      <x:c r="AU176" t="n">
        <x:v>0.9803086997756633</x:v>
      </x:c>
      <x:c r="AV176" t="str">
        <x:v>YES</x:v>
      </x:c>
    </x:row>
    <x:row r="177">
      <x:c r="A177" t="n">
        <x:v>325</x:v>
      </x:c>
      <x:c r="B177" t="n">
        <x:v>21</x:v>
      </x:c>
      <x:c r="C177" t="n">
        <x:v>231.9626</x:v>
      </x:c>
      <x:c r="D177" t="n">
        <x:v>0.92375</x:v>
      </x:c>
      <x:c r="E177" t="n">
        <x:v>24.33</x:v>
      </x:c>
      <x:c r="F177" t="n">
        <x:v>324.99559</x:v>
      </x:c>
      <x:c r="G177" t="n">
        <x:v>1.17119</x:v>
      </x:c>
      <x:c r="H177" t="n">
        <x:v>28.12</x:v>
      </x:c>
      <x:c r="I177" t="n">
        <x:v>325.00241</x:v>
      </x:c>
      <x:c r="J177" t="n">
        <x:v>10.44401</x:v>
      </x:c>
      <x:c r="K177" t="n">
        <x:v>40.51</x:v>
      </x:c>
      <x:c r="L177" t="n">
        <x:v>325.00228</x:v>
      </x:c>
      <x:c r="M177" t="n">
        <x:v>0.73028</x:v>
      </x:c>
      <x:c r="N177" t="n">
        <x:v>324.99559</x:v>
      </x:c>
      <x:c r="O177" t="n">
        <x:v>1.17119</x:v>
      </x:c>
      <x:c r="P177" t="n">
        <x:v>325.00241</x:v>
      </x:c>
      <x:c r="Q177" t="n">
        <x:v>10.44401</x:v>
      </x:c>
      <x:c r="R177" t="n">
        <x:v>325.00232</x:v>
      </x:c>
      <x:c r="S177" t="n">
        <x:v>0.00232</x:v>
      </x:c>
      <x:c r="T177" t="n">
        <x:v>0.73028</x:v>
      </x:c>
      <x:c r="U177" t="n">
        <x:v>1.17119</x:v>
      </x:c>
      <x:c r="V177" t="n">
        <x:v>10.44401</x:v>
      </x:c>
      <x:c r="W177" t="n">
        <x:v>10.53481</x:v>
      </x:c>
      <x:c r="X177" t="n">
        <x:v>42.68</x:v>
      </x:c>
      <x:c r="Y177" t="str">
        <x:v>Z</x:v>
      </x:c>
      <x:c r="Z177" t="n">
        <x:v>0.7506</x:v>
      </x:c>
      <x:c r="AA177" t="n">
        <x:v>-11.82</x:v>
      </x:c>
      <x:c r="AB177" t="n">
        <x:v>0.419</x:v>
      </x:c>
      <x:c r="AC177" t="n">
        <x:v>10.21</x:v>
      </x:c>
      <x:c r="AD177" t="n">
        <x:v>1.18556</x:v>
      </x:c>
      <x:c r="AE177" t="n">
        <x:v>-32.52</x:v>
      </x:c>
      <x:c r="AF177" t="n">
        <x:v>0.649</x:v>
      </x:c>
      <x:c r="AG177" t="n">
        <x:v>1.27</x:v>
      </x:c>
      <x:c r="AH177" t="n">
        <x:v>10.4237</x:v>
      </x:c>
      <x:c r="AI177" t="n">
        <x:v>-19.12</x:v>
      </x:c>
      <x:c r="AJ177" t="n">
        <x:v>0.929</x:v>
      </x:c>
      <x:c r="AK177" t="n">
        <x:v>0.41</x:v>
      </x:c>
      <x:c r="AL177" t="n">
        <x:v>10.51794</x:v>
      </x:c>
      <x:c r="AM177" t="n">
        <x:v>0.43</x:v>
      </x:c>
      <x:c r="AN177" t="n">
        <x:v>0.0714</x:v>
      </x:c>
      <x:c r="AO177" t="n">
        <x:v>0.1127</x:v>
      </x:c>
      <x:c r="AP177" t="n">
        <x:v>0.991</x:v>
      </x:c>
      <x:c r="AQ177" t="n">
        <x:v>1</x:v>
      </x:c>
      <x:c r="AR177" t="n">
        <x:v>0.11373696480136611</x:v>
      </x:c>
      <x:c r="AS177" t="n">
        <x:v>0.005092789690071607</x:v>
      </x:c>
      <x:c r="AT177" t="n">
        <x:v>0.01270532264146283</x:v>
      </x:c>
      <x:c r="AU177" t="n">
        <x:v>0.9821604215034645</x:v>
      </x:c>
      <x:c r="AV177" t="str">
        <x:v>YES</x:v>
      </x:c>
    </x:row>
    <x:row r="178">
      <x:c r="A178" t="n">
        <x:v>325</x:v>
      </x:c>
      <x:c r="B178" t="n">
        <x:v>23</x:v>
      </x:c>
      <x:c r="C178" t="n">
        <x:v>231.46864</x:v>
      </x:c>
      <x:c r="D178" t="n">
        <x:v>1.11879</x:v>
      </x:c>
      <x:c r="E178" t="n">
        <x:v>25.01</x:v>
      </x:c>
      <x:c r="F178" t="n">
        <x:v>324.99497</x:v>
      </x:c>
      <x:c r="G178" t="n">
        <x:v>1.24666</x:v>
      </x:c>
      <x:c r="H178" t="n">
        <x:v>27.06</x:v>
      </x:c>
      <x:c r="I178" t="n">
        <x:v>324.99874</x:v>
      </x:c>
      <x:c r="J178" t="n">
        <x:v>11.59284</x:v>
      </x:c>
      <x:c r="K178" t="n">
        <x:v>40.66</x:v>
      </x:c>
      <x:c r="L178" t="n">
        <x:v>324.99239</x:v>
      </x:c>
      <x:c r="M178" t="n">
        <x:v>0.87656</x:v>
      </x:c>
      <x:c r="N178" t="n">
        <x:v>324.99497</x:v>
      </x:c>
      <x:c r="O178" t="n">
        <x:v>1.24666</x:v>
      </x:c>
      <x:c r="P178" t="n">
        <x:v>324.99874</x:v>
      </x:c>
      <x:c r="Q178" t="n">
        <x:v>11.59284</x:v>
      </x:c>
      <x:c r="R178" t="n">
        <x:v>324.99866</x:v>
      </x:c>
      <x:c r="S178" t="n">
        <x:v>-0.00134</x:v>
      </x:c>
      <x:c r="T178" t="n">
        <x:v>0.87656</x:v>
      </x:c>
      <x:c r="U178" t="n">
        <x:v>1.24666</x:v>
      </x:c>
      <x:c r="V178" t="n">
        <x:v>11.59284</x:v>
      </x:c>
      <x:c r="W178" t="n">
        <x:v>11.69258</x:v>
      </x:c>
      <x:c r="X178" t="n">
        <x:v>43.16</x:v>
      </x:c>
      <x:c r="Y178" t="str">
        <x:v>Z</x:v>
      </x:c>
      <x:c r="Z178" t="n">
        <x:v>0.84963</x:v>
      </x:c>
      <x:c r="AA178" t="n">
        <x:v>-9.21</x:v>
      </x:c>
      <x:c r="AB178" t="n">
        <x:v>0.413</x:v>
      </x:c>
      <x:c r="AC178" t="n">
        <x:v>4.47</x:v>
      </x:c>
      <x:c r="AD178" t="n">
        <x:v>1.27459</x:v>
      </x:c>
      <x:c r="AE178" t="n">
        <x:v>-27.57</x:v>
      </x:c>
      <x:c r="AF178" t="n">
        <x:v>0.598</x:v>
      </x:c>
      <x:c r="AG178" t="n">
        <x:v>1.19</x:v>
      </x:c>
      <x:c r="AH178" t="n">
        <x:v>11.62964</x:v>
      </x:c>
      <x:c r="AI178" t="n">
        <x:v>-20.13</x:v>
      </x:c>
      <x:c r="AJ178" t="n">
        <x:v>0.928</x:v>
      </x:c>
      <x:c r="AK178" t="n">
        <x:v>0.63</x:v>
      </x:c>
      <x:c r="AL178" t="n">
        <x:v>11.73016</x:v>
      </x:c>
      <x:c r="AM178" t="n">
        <x:v>0.61</x:v>
      </x:c>
      <x:c r="AN178" t="n">
        <x:v>0.0724</x:v>
      </x:c>
      <x:c r="AO178" t="n">
        <x:v>0.1087</x:v>
      </x:c>
      <x:c r="AP178" t="n">
        <x:v>0.9914</x:v>
      </x:c>
      <x:c r="AQ178" t="n">
        <x:v>1</x:v>
      </x:c>
      <x:c r="AR178" t="n">
        <x:v>0.10959840545365118</x:v>
      </x:c>
      <x:c r="AS178" t="n">
        <x:v>0.005246284105601935</x:v>
      </x:c>
      <x:c r="AT178" t="n">
        <x:v>0.011806825422662351</x:v>
      </x:c>
      <x:c r="AU178" t="n">
        <x:v>0.9829347078280753</x:v>
      </x:c>
      <x:c r="AV178" t="str">
        <x:v>YES</x:v>
      </x:c>
    </x:row>
    <x:row r="179">
      <x:c r="A179" t="n">
        <x:v>325</x:v>
      </x:c>
      <x:c r="B179" t="n">
        <x:v>25</x:v>
      </x:c>
      <x:c r="C179" t="n">
        <x:v>231.59738</x:v>
      </x:c>
      <x:c r="D179" t="n">
        <x:v>1.15055</x:v>
      </x:c>
      <x:c r="E179" t="n">
        <x:v>25.2</x:v>
      </x:c>
      <x:c r="F179" t="n">
        <x:v>324.99929</x:v>
      </x:c>
      <x:c r="G179" t="n">
        <x:v>1.35348</x:v>
      </x:c>
      <x:c r="H179" t="n">
        <x:v>27.65</x:v>
      </x:c>
      <x:c r="I179" t="n">
        <x:v>325.00351</x:v>
      </x:c>
      <x:c r="J179" t="n">
        <x:v>12.90882</x:v>
      </x:c>
      <x:c r="K179" t="n">
        <x:v>40.91</x:v>
      </x:c>
      <x:c r="L179" t="n">
        <x:v>325.00309</x:v>
      </x:c>
      <x:c r="M179" t="n">
        <x:v>0.91892</x:v>
      </x:c>
      <x:c r="N179" t="n">
        <x:v>324.99929</x:v>
      </x:c>
      <x:c r="O179" t="n">
        <x:v>1.35348</x:v>
      </x:c>
      <x:c r="P179" t="n">
        <x:v>325.00351</x:v>
      </x:c>
      <x:c r="Q179" t="n">
        <x:v>12.90882</x:v>
      </x:c>
      <x:c r="R179" t="n">
        <x:v>325.00346</x:v>
      </x:c>
      <x:c r="S179" t="n">
        <x:v>0.00346</x:v>
      </x:c>
      <x:c r="T179" t="n">
        <x:v>0.91892</x:v>
      </x:c>
      <x:c r="U179" t="n">
        <x:v>1.35348</x:v>
      </x:c>
      <x:c r="V179" t="n">
        <x:v>12.90882</x:v>
      </x:c>
      <x:c r="W179" t="n">
        <x:v>13.01207</x:v>
      </x:c>
      <x:c r="X179" t="n">
        <x:v>41.51</x:v>
      </x:c>
      <x:c r="Y179" t="str">
        <x:v>Z</x:v>
      </x:c>
      <x:c r="Z179" t="n">
        <x:v>0.97178</x:v>
      </x:c>
      <x:c r="AA179" t="n">
        <x:v>-11.2</x:v>
      </x:c>
      <x:c r="AB179" t="n">
        <x:v>0.45</x:v>
      </x:c>
      <x:c r="AC179" t="n">
        <x:v>2.34</x:v>
      </x:c>
      <x:c r="AD179" t="n">
        <x:v>1.37307</x:v>
      </x:c>
      <x:c r="AE179" t="n">
        <x:v>-25.18</x:v>
      </x:c>
      <x:c r="AF179" t="n">
        <x:v>0.593</x:v>
      </x:c>
      <x:c r="AG179" t="n">
        <x:v>2.24</x:v>
      </x:c>
      <x:c r="AH179" t="n">
        <x:v>12.95336</x:v>
      </x:c>
      <x:c r="AI179" t="n">
        <x:v>-19.77</x:v>
      </x:c>
      <x:c r="AJ179" t="n">
        <x:v>0.929</x:v>
      </x:c>
      <x:c r="AK179" t="n">
        <x:v>0.79</x:v>
      </x:c>
      <x:c r="AL179" t="n">
        <x:v>13.06217</x:v>
      </x:c>
      <x:c r="AM179" t="n">
        <x:v>0.79</x:v>
      </x:c>
      <x:c r="AN179" t="n">
        <x:v>0.0744</x:v>
      </x:c>
      <x:c r="AO179" t="n">
        <x:v>0.1051</x:v>
      </x:c>
      <x:c r="AP179" t="n">
        <x:v>0.9917</x:v>
      </x:c>
      <x:c r="AQ179" t="n">
        <x:v>1</x:v>
      </x:c>
      <x:c r="AR179" t="n">
        <x:v>0.10600106844864962</x:v>
      </x:c>
      <x:c r="AS179" t="n">
        <x:v>0.005534842283244666</x:v>
      </x:c>
      <x:c r="AT179" t="n">
        <x:v>0.011049807024391478</x:v>
      </x:c>
      <x:c r="AU179" t="n">
        <x:v>0.983409066410285</x:v>
      </x:c>
      <x:c r="AV179" t="str">
        <x:v>YES</x:v>
      </x:c>
    </x:row>
    <x:row r="180">
      <x:c r="A180" t="n">
        <x:v>325</x:v>
      </x:c>
      <x:c r="B180" t="n">
        <x:v>27</x:v>
      </x:c>
      <x:c r="C180" t="n">
        <x:v>231.51719</x:v>
      </x:c>
      <x:c r="D180" t="n">
        <x:v>1.17575</x:v>
      </x:c>
      <x:c r="E180" t="n">
        <x:v>24.61</x:v>
      </x:c>
      <x:c r="F180" t="n">
        <x:v>324.99658</x:v>
      </x:c>
      <x:c r="G180" t="n">
        <x:v>1.47597</x:v>
      </x:c>
      <x:c r="H180" t="n">
        <x:v>28.48</x:v>
      </x:c>
      <x:c r="I180" t="n">
        <x:v>325.00277</x:v>
      </x:c>
      <x:c r="J180" t="n">
        <x:v>14.12229</x:v>
      </x:c>
      <x:c r="K180" t="n">
        <x:v>40.64</x:v>
      </x:c>
      <x:c r="L180" t="n">
        <x:v>324.9931</x:v>
      </x:c>
      <x:c r="M180" t="n">
        <x:v>1.0376</x:v>
      </x:c>
      <x:c r="N180" t="n">
        <x:v>324.99658</x:v>
      </x:c>
      <x:c r="O180" t="n">
        <x:v>1.47597</x:v>
      </x:c>
      <x:c r="P180" t="n">
        <x:v>325.00277</x:v>
      </x:c>
      <x:c r="Q180" t="n">
        <x:v>14.12229</x:v>
      </x:c>
      <x:c r="R180" t="n">
        <x:v>325.00265</x:v>
      </x:c>
      <x:c r="S180" t="n">
        <x:v>0.00265</x:v>
      </x:c>
      <x:c r="T180" t="n">
        <x:v>1.0376</x:v>
      </x:c>
      <x:c r="U180" t="n">
        <x:v>1.47597</x:v>
      </x:c>
      <x:c r="V180" t="n">
        <x:v>14.12229</x:v>
      </x:c>
      <x:c r="W180" t="n">
        <x:v>14.23707</x:v>
      </x:c>
      <x:c r="X180" t="n">
        <x:v>44.07</x:v>
      </x:c>
      <x:c r="Y180" t="str">
        <x:v>Z</x:v>
      </x:c>
      <x:c r="Z180" t="n">
        <x:v>1.04108</x:v>
      </x:c>
      <x:c r="AA180" t="n">
        <x:v>-11.44</x:v>
      </x:c>
      <x:c r="AB180" t="n">
        <x:v>0.463</x:v>
      </x:c>
      <x:c r="AC180" t="n">
        <x:v>3.75</x:v>
      </x:c>
      <x:c r="AD180" t="n">
        <x:v>1.45959</x:v>
      </x:c>
      <x:c r="AE180" t="n">
        <x:v>-23.83</x:v>
      </x:c>
      <x:c r="AF180" t="n">
        <x:v>0.641</x:v>
      </x:c>
      <x:c r="AG180" t="n">
        <x:v>1.24</x:v>
      </x:c>
      <x:c r="AH180" t="n">
        <x:v>14.13802</x:v>
      </x:c>
      <x:c r="AI180" t="n">
        <x:v>-21.37</x:v>
      </x:c>
      <x:c r="AJ180" t="n">
        <x:v>0.93</x:v>
      </x:c>
      <x:c r="AK180" t="n">
        <x:v>0.41</x:v>
      </x:c>
      <x:c r="AL180" t="n">
        <x:v>14.25129</x:v>
      </x:c>
      <x:c r="AM180" t="n">
        <x:v>0.42</x:v>
      </x:c>
      <x:c r="AN180" t="n">
        <x:v>0.0731</x:v>
      </x:c>
      <x:c r="AO180" t="n">
        <x:v>0.1024</x:v>
      </x:c>
      <x:c r="AP180" t="n">
        <x:v>0.9921</x:v>
      </x:c>
      <x:c r="AQ180" t="n">
        <x:v>1</x:v>
      </x:c>
      <x:c r="AR180" t="n">
        <x:v>0.10323864303488042</x:v>
      </x:c>
      <x:c r="AS180" t="n">
        <x:v>0.0053365410136735954</x:v>
      </x:c>
      <x:c r="AT180" t="n">
        <x:v>0.010489466570174336</x:v>
      </x:c>
      <x:c r="AU180" t="n">
        <x:v>0.9841670666934593</x:v>
      </x:c>
      <x:c r="AV180" t="str">
        <x:v>YES</x:v>
      </x:c>
    </x:row>
    <x:row r="181">
      <x:c r="A181" t="n">
        <x:v>325</x:v>
      </x:c>
      <x:c r="B181" t="n">
        <x:v>29</x:v>
      </x:c>
      <x:c r="C181" t="n">
        <x:v>231.51112</x:v>
      </x:c>
      <x:c r="D181" t="n">
        <x:v>1.2437</x:v>
      </x:c>
      <x:c r="E181" t="n">
        <x:v>22.93</x:v>
      </x:c>
      <x:c r="F181" t="n">
        <x:v>324.97784</x:v>
      </x:c>
      <x:c r="G181" t="n">
        <x:v>1.58118</x:v>
      </x:c>
      <x:c r="H181" t="n">
        <x:v>27.33</x:v>
      </x:c>
      <x:c r="I181" t="n">
        <x:v>325.00118</x:v>
      </x:c>
      <x:c r="J181" t="n">
        <x:v>15.33676</x:v>
      </x:c>
      <x:c r="K181" t="n">
        <x:v>40.09</x:v>
      </x:c>
      <x:c r="L181" t="n">
        <x:v>325.0013</x:v>
      </x:c>
      <x:c r="M181" t="n">
        <x:v>1.1715</x:v>
      </x:c>
      <x:c r="N181" t="n">
        <x:v>324.97784</x:v>
      </x:c>
      <x:c r="O181" t="n">
        <x:v>1.58118</x:v>
      </x:c>
      <x:c r="P181" t="n">
        <x:v>325.00118</x:v>
      </x:c>
      <x:c r="Q181" t="n">
        <x:v>15.33676</x:v>
      </x:c>
      <x:c r="R181" t="n">
        <x:v>325.00094</x:v>
      </x:c>
      <x:c r="S181" t="n">
        <x:v>0.00094</x:v>
      </x:c>
      <x:c r="T181" t="n">
        <x:v>1.1715</x:v>
      </x:c>
      <x:c r="U181" t="n">
        <x:v>1.58118</x:v>
      </x:c>
      <x:c r="V181" t="n">
        <x:v>15.33676</x:v>
      </x:c>
      <x:c r="W181" t="n">
        <x:v>15.46249</x:v>
      </x:c>
      <x:c r="X181" t="n">
        <x:v>42.75</x:v>
      </x:c>
      <x:c r="Y181" t="str">
        <x:v>Z</x:v>
      </x:c>
      <x:c r="Z181" t="n">
        <x:v>1.14749</x:v>
      </x:c>
      <x:c r="AA181" t="n">
        <x:v>-7.29</x:v>
      </x:c>
      <x:c r="AB181" t="n">
        <x:v>0.491</x:v>
      </x:c>
      <x:c r="AC181" t="n">
        <x:v>2.61</x:v>
      </x:c>
      <x:c r="AD181" t="n">
        <x:v>1.57231</x:v>
      </x:c>
      <x:c r="AE181" t="n">
        <x:v>-23.76</x:v>
      </x:c>
      <x:c r="AF181" t="n">
        <x:v>0.667</x:v>
      </x:c>
      <x:c r="AG181" t="n">
        <x:v>2.5</x:v>
      </x:c>
      <x:c r="AH181" t="n">
        <x:v>14.91825</x:v>
      </x:c>
      <x:c r="AI181" t="n">
        <x:v>-21.89</x:v>
      </x:c>
      <x:c r="AJ181" t="n">
        <x:v>0.927</x:v>
      </x:c>
      <x:c r="AK181" t="n">
        <x:v>0.57</x:v>
      </x:c>
      <x:c r="AL181" t="n">
        <x:v>15.04477</x:v>
      </x:c>
      <x:c r="AM181" t="n">
        <x:v>0.55</x:v>
      </x:c>
      <x:c r="AN181" t="n">
        <x:v>0.0763</x:v>
      </x:c>
      <x:c r="AO181" t="n">
        <x:v>0.1045</x:v>
      </x:c>
      <x:c r="AP181" t="n">
        <x:v>0.9916</x:v>
      </x:c>
      <x:c r="AQ181" t="n">
        <x:v>1</x:v>
      </x:c>
      <x:c r="AR181" t="n">
        <x:v>0.10539506979706065</x:v>
      </x:c>
      <x:c r="AS181" t="n">
        <x:v>0.00581737035516814</x:v>
      </x:c>
      <x:c r="AT181" t="n">
        <x:v>0.010922077343654843</x:v>
      </x:c>
      <x:c r="AU181" t="n">
        <x:v>0.983251586990415</x:v>
      </x:c>
      <x:c r="AV181" t="str">
        <x:v>YES</x:v>
      </x:c>
    </x:row>
  </x:sheetData>
  <x:pageMargins left="0.7" right="0.7" top="0.75" bottom="0.75" header="0.3" footer="0.3"/>
</x:worksheet>
</file>

<file path=xl/worksheets/sheet18.xml><?xml version="1.0" encoding="utf-8"?>
<x:worksheet xmlns:x="http://schemas.openxmlformats.org/spreadsheetml/2006/main">
  <x:sheetFormatPr defaultRowHeight="15"/>
  <x:cols>
    <x:col min="22" max="22" width="24" hidden="0" customWidth="1"/>
    <x:col min="23" max="23" width="24" hidden="0" customWidth="1"/>
  </x:cols>
  <x:sheetData>
    <x:row r="1">
      <x:c r="A1" s="111" t="str">
        <x:v>Freq Hz</x:v>
      </x:c>
      <x:c r="B1" s="111" t="str">
        <x:v>Program-valid onset</x:v>
      </x:c>
      <x:c r="C1" s="111" t="str">
        <x:v>Z control-quality onset</x:v>
      </x:c>
      <x:c r="D1" s="111" t="str">
        <x:v>Total R² 11–29</x:v>
      </x:c>
      <x:c r="E1" s="111" t="str">
        <x:v>Total monotonicity</x:v>
      </x:c>
      <x:c r="F1" s="111" t="str">
        <x:v>Z R² 11–29</x:v>
      </x:c>
      <x:c r="G1" s="111" t="str">
        <x:v>Z monotonicity</x:v>
      </x:c>
      <x:c r="H1" s="111" t="str">
        <x:v>Y R² 11–29</x:v>
      </x:c>
      <x:c r="I1" s="111" t="str">
        <x:v>Y monotonicity</x:v>
      </x:c>
      <x:c r="J1" s="111" t="str">
        <x:v>X R² 11–29</x:v>
      </x:c>
      <x:c r="K1" s="111" t="str">
        <x:v>X monotonicity</x:v>
      </x:c>
      <x:c r="L1" s="111" t="str">
        <x:v>Mean X sync</x:v>
      </x:c>
      <x:c r="M1" s="111" t="str">
        <x:v>Mean Y sync</x:v>
      </x:c>
      <x:c r="N1" s="111" t="str">
        <x:v>Mean Z sync</x:v>
      </x:c>
      <x:c r="O1" s="111" t="str">
        <x:v>Median X CV %</x:v>
      </x:c>
      <x:c r="P1" s="111" t="str">
        <x:v>Median Y CV %</x:v>
      </x:c>
      <x:c r="Q1" s="111" t="str">
        <x:v>Median Z CV %</x:v>
      </x:c>
      <x:c r="R1" s="111" t="str">
        <x:v>Median Total CV %</x:v>
      </x:c>
      <x:c r="S1" s="111" t="str">
        <x:v>Z phase drift deg</x:v>
      </x:c>
      <x:c r="T1" s="111" t="str">
        <x:v>Y phase drift deg</x:v>
      </x:c>
      <x:c r="U1" s="111" t="str">
        <x:v>Max freq error Hz</x:v>
      </x:c>
      <x:c r="V1" s="111" t="str">
        <x:v>Dominance 11–29</x:v>
      </x:c>
      <x:c r="W1" s="111" t="str">
        <x:v>Dominance transitions</x:v>
      </x:c>
      <x:c r="X1" s="111" t="str">
        <x:v>Z @11</x:v>
      </x:c>
      <x:c r="Y1" s="111" t="str">
        <x:v>Z @15</x:v>
      </x:c>
      <x:c r="Z1" s="111" t="str">
        <x:v>Z @19</x:v>
      </x:c>
      <x:c r="AA1" s="111" t="str">
        <x:v>Z @29</x:v>
      </x:c>
      <x:c r="AB1" s="111" t="str">
        <x:v>Total @11</x:v>
      </x:c>
      <x:c r="AC1" s="111" t="str">
        <x:v>Total @15</x:v>
      </x:c>
      <x:c r="AD1" s="111" t="str">
        <x:v>Total @19</x:v>
      </x:c>
      <x:c r="AE1" s="111" t="str">
        <x:v>Total @29</x:v>
      </x:c>
    </x:row>
    <x:row r="2">
      <x:c r="A2" t="n">
        <x:v>100</x:v>
      </x:c>
      <x:c r="B2" t="n">
        <x:v>13</x:v>
      </x:c>
      <x:c r="C2" t="n">
        <x:v>19</x:v>
      </x:c>
      <x:c r="D2" t="n">
        <x:v>0.9897093371545704</x:v>
      </x:c>
      <x:c r="E2" t="n">
        <x:v>1</x:v>
      </x:c>
      <x:c r="F2" t="n">
        <x:v>0.9890591618140423</x:v>
      </x:c>
      <x:c r="G2" t="n">
        <x:v>1</x:v>
      </x:c>
      <x:c r="H2" t="n">
        <x:v>0.9082335834993698</x:v>
      </x:c>
      <x:c r="I2" t="n">
        <x:v>0.875</x:v>
      </x:c>
      <x:c r="J2" t="n">
        <x:v>0.9719705325207652</x:v>
      </x:c>
      <x:c r="K2" t="n">
        <x:v>1</x:v>
      </x:c>
      <x:c r="L2" t="n">
        <x:v>0.2051111111111111</x:v>
      </x:c>
      <x:c r="M2" t="n">
        <x:v>0.16833333333333333</x:v>
      </x:c>
      <x:c r="N2" t="n">
        <x:v>0.8044444444444445</x:v>
      </x:c>
      <x:c r="O2" t="n">
        <x:v>10.89</x:v>
      </x:c>
      <x:c r="P2" t="n">
        <x:v>10.68</x:v>
      </x:c>
      <x:c r="Q2" t="n">
        <x:v>1.82</x:v>
      </x:c>
      <x:c r="R2" t="n">
        <x:v>3.07</x:v>
      </x:c>
      <x:c r="S2" t="n">
        <x:v>3.0200000000000102</x:v>
      </x:c>
      <x:c r="T2" t="n">
        <x:v>4.230000000000004</x:v>
      </x:c>
      <x:c r="U2" t="n">
        <x:v>0.0459</x:v>
      </x:c>
      <x:c r="V2" t="str">
        <x:v>ZZZZZZZZZ</x:v>
      </x:c>
      <x:c r="W2" t="str">
        <x:v>None</x:v>
      </x:c>
      <x:c r="X2" t="n">
        <x:v>0.02653</x:v>
      </x:c>
      <x:c r="Y2" t="n">
        <x:v>0.3975</x:v>
      </x:c>
      <x:c r="Z2" t="n">
        <x:v>0.75406</x:v>
      </x:c>
      <x:c r="AA2" t="n">
        <x:v>1.3763</x:v>
      </x:c>
      <x:c r="AB2" t="n">
        <x:v>0.03466</x:v>
      </x:c>
      <x:c r="AC2" t="n">
        <x:v>0.4079</x:v>
      </x:c>
      <x:c r="AD2" t="n">
        <x:v>0.772</x:v>
      </x:c>
      <x:c r="AE2" t="n">
        <x:v>1.42394</x:v>
      </x:c>
    </x:row>
    <x:row r="3">
      <x:c r="A3" t="n">
        <x:v>125</x:v>
      </x:c>
      <x:c r="B3" t="n">
        <x:v>5</x:v>
      </x:c>
      <x:c r="C3" t="n">
        <x:v>13</x:v>
      </x:c>
      <x:c r="D3" t="n">
        <x:v>0.996967364915863</x:v>
      </x:c>
      <x:c r="E3" t="n">
        <x:v>1</x:v>
      </x:c>
      <x:c r="F3" t="n">
        <x:v>0.9971035332235505</x:v>
      </x:c>
      <x:c r="G3" t="n">
        <x:v>1</x:v>
      </x:c>
      <x:c r="H3" t="n">
        <x:v>0.9911479066491222</x:v>
      </x:c>
      <x:c r="I3" t="n">
        <x:v>1</x:v>
      </x:c>
      <x:c r="J3" t="n">
        <x:v>0.9877162845890258</x:v>
      </x:c>
      <x:c r="K3" t="n">
        <x:v>1</x:v>
      </x:c>
      <x:c r="L3" t="n">
        <x:v>0.2895</x:v>
      </x:c>
      <x:c r="M3" t="n">
        <x:v>0.3322</x:v>
      </x:c>
      <x:c r="N3" t="n">
        <x:v>0.9107</x:v>
      </x:c>
      <x:c r="O3" t="n">
        <x:v>5.66</x:v>
      </x:c>
      <x:c r="P3" t="n">
        <x:v>4.305</x:v>
      </x:c>
      <x:c r="Q3" t="n">
        <x:v>1.185</x:v>
      </x:c>
      <x:c r="R3" t="n">
        <x:v>1.175</x:v>
      </x:c>
      <x:c r="S3" t="n">
        <x:v>-3.3400000000000034</x:v>
      </x:c>
      <x:c r="T3" t="n">
        <x:v>-5.909999999999997</x:v>
      </x:c>
      <x:c r="U3" t="n">
        <x:v>0.022</x:v>
      </x:c>
      <x:c r="V3" t="str">
        <x:v>ZZZZZZZZZZ</x:v>
      </x:c>
      <x:c r="W3" t="str">
        <x:v>None</x:v>
      </x:c>
      <x:c r="X3" t="n">
        <x:v>0.50023</x:v>
      </x:c>
      <x:c r="Y3" t="n">
        <x:v>0.88713</x:v>
      </x:c>
      <x:c r="Z3" t="n">
        <x:v>1.20984</x:v>
      </x:c>
      <x:c r="AA3" t="n">
        <x:v>2.15151</x:v>
      </x:c>
      <x:c r="AB3" t="n">
        <x:v>0.51596</x:v>
      </x:c>
      <x:c r="AC3" t="n">
        <x:v>0.91695</x:v>
      </x:c>
      <x:c r="AD3" t="n">
        <x:v>1.25116</x:v>
      </x:c>
      <x:c r="AE3" t="n">
        <x:v>2.22569</x:v>
      </x:c>
    </x:row>
    <x:row r="4">
      <x:c r="A4" t="n">
        <x:v>150</x:v>
      </x:c>
      <x:c r="B4" t="n">
        <x:v>3</x:v>
      </x:c>
      <x:c r="C4" t="n">
        <x:v>13</x:v>
      </x:c>
      <x:c r="D4" t="n">
        <x:v>0.9991299908379532</x:v>
      </x:c>
      <x:c r="E4" t="n">
        <x:v>1</x:v>
      </x:c>
      <x:c r="F4" t="n">
        <x:v>0.9990519906186547</x:v>
      </x:c>
      <x:c r="G4" t="n">
        <x:v>1</x:v>
      </x:c>
      <x:c r="H4" t="n">
        <x:v>0.9968571411841849</x:v>
      </x:c>
      <x:c r="I4" t="n">
        <x:v>1</x:v>
      </x:c>
      <x:c r="J4" t="n">
        <x:v>0.990092864340935</x:v>
      </x:c>
      <x:c r="K4" t="n">
        <x:v>1</x:v>
      </x:c>
      <x:c r="L4" t="n">
        <x:v>0.29500000000000004</x:v>
      </x:c>
      <x:c r="M4" t="n">
        <x:v>0.4121</x:v>
      </x:c>
      <x:c r="N4" t="n">
        <x:v>0.891</x:v>
      </x:c>
      <x:c r="O4" t="n">
        <x:v>9.105</x:v>
      </x:c>
      <x:c r="P4" t="n">
        <x:v>3.2</x:v>
      </x:c>
      <x:c r="Q4" t="n">
        <x:v>0.99</x:v>
      </x:c>
      <x:c r="R4" t="n">
        <x:v>0.935</x:v>
      </x:c>
      <x:c r="S4" t="n">
        <x:v>13.780000000000001</x:v>
      </x:c>
      <x:c r="T4" t="n">
        <x:v>25.439999999999998</x:v>
      </x:c>
      <x:c r="U4" t="n">
        <x:v>0.00486</x:v>
      </x:c>
      <x:c r="V4" t="str">
        <x:v>ZZZZZZZZZZ</x:v>
      </x:c>
      <x:c r="W4" t="str">
        <x:v>None</x:v>
      </x:c>
      <x:c r="X4" t="n">
        <x:v>0.89744</x:v>
      </x:c>
      <x:c r="Y4" t="n">
        <x:v>1.42202</x:v>
      </x:c>
      <x:c r="Z4" t="n">
        <x:v>1.9835</x:v>
      </x:c>
      <x:c r="AA4" t="n">
        <x:v>3.28108</x:v>
      </x:c>
      <x:c r="AB4" t="n">
        <x:v>0.92831</x:v>
      </x:c>
      <x:c r="AC4" t="n">
        <x:v>1.47562</x:v>
      </x:c>
      <x:c r="AD4" t="n">
        <x:v>2.06075</x:v>
      </x:c>
      <x:c r="AE4" t="n">
        <x:v>3.42422</x:v>
      </x:c>
    </x:row>
    <x:row r="5">
      <x:c r="A5" t="n">
        <x:v>175</x:v>
      </x:c>
      <x:c r="B5" t="n">
        <x:v>7</x:v>
      </x:c>
      <x:c r="C5" t="n">
        <x:v>11</x:v>
      </x:c>
      <x:c r="D5" t="n">
        <x:v>0.998256566738917</x:v>
      </x:c>
      <x:c r="E5" t="n">
        <x:v>1</x:v>
      </x:c>
      <x:c r="F5" t="n">
        <x:v>0.997996550144411</x:v>
      </x:c>
      <x:c r="G5" t="n">
        <x:v>1</x:v>
      </x:c>
      <x:c r="H5" t="n">
        <x:v>0.99891577166312</x:v>
      </x:c>
      <x:c r="I5" t="n">
        <x:v>1</x:v>
      </x:c>
      <x:c r="J5" t="n">
        <x:v>0.995277359646447</x:v>
      </x:c>
      <x:c r="K5" t="n">
        <x:v>1</x:v>
      </x:c>
      <x:c r="L5" t="n">
        <x:v>0.3352</x:v>
      </x:c>
      <x:c r="M5" t="n">
        <x:v>0.6032</x:v>
      </x:c>
      <x:c r="N5" t="n">
        <x:v>0.9368000000000001</x:v>
      </x:c>
      <x:c r="O5" t="n">
        <x:v>4.539999999999999</x:v>
      </x:c>
      <x:c r="P5" t="n">
        <x:v>1.76</x:v>
      </x:c>
      <x:c r="Q5" t="n">
        <x:v>0.66</x:v>
      </x:c>
      <x:c r="R5" t="n">
        <x:v>0.64</x:v>
      </x:c>
      <x:c r="S5" t="n">
        <x:v>16.409999999999997</x:v>
      </x:c>
      <x:c r="T5" t="n">
        <x:v>21.97</x:v>
      </x:c>
      <x:c r="U5" t="n">
        <x:v>0.00524</x:v>
      </x:c>
      <x:c r="V5" t="str">
        <x:v>ZZZZZZZZZZ</x:v>
      </x:c>
      <x:c r="W5" t="str">
        <x:v>None</x:v>
      </x:c>
      <x:c r="X5" t="n">
        <x:v>1.21838</x:v>
      </x:c>
      <x:c r="Y5" t="n">
        <x:v>2.17158</x:v>
      </x:c>
      <x:c r="Z5" t="n">
        <x:v>3.04674</x:v>
      </x:c>
      <x:c r="AA5" t="n">
        <x:v>4.96715</x:v>
      </x:c>
      <x:c r="AB5" t="n">
        <x:v>1.2683</x:v>
      </x:c>
      <x:c r="AC5" t="n">
        <x:v>2.25961</x:v>
      </x:c>
      <x:c r="AD5" t="n">
        <x:v>3.18042</x:v>
      </x:c>
      <x:c r="AE5" t="n">
        <x:v>5.21566</x:v>
      </x:c>
    </x:row>
    <x:row r="6">
      <x:c r="A6" t="n">
        <x:v>200</x:v>
      </x:c>
      <x:c r="B6" t="n">
        <x:v>3</x:v>
      </x:c>
      <x:c r="C6" t="n">
        <x:v>7</x:v>
      </x:c>
      <x:c r="D6" t="n">
        <x:v>0.9899710416978681</x:v>
      </x:c>
      <x:c r="E6" t="n">
        <x:v>1</x:v>
      </x:c>
      <x:c r="F6" t="n">
        <x:v>0.992434892986319</x:v>
      </x:c>
      <x:c r="G6" t="n">
        <x:v>1</x:v>
      </x:c>
      <x:c r="H6" t="n">
        <x:v>0.9599142647169149</x:v>
      </x:c>
      <x:c r="I6" t="n">
        <x:v>1</x:v>
      </x:c>
      <x:c r="J6" t="n">
        <x:v>0.9419056544643226</x:v>
      </x:c>
      <x:c r="K6" t="n">
        <x:v>1</x:v>
      </x:c>
      <x:c r="L6" t="n">
        <x:v>0.5016</x:v>
      </x:c>
      <x:c r="M6" t="n">
        <x:v>0.776</x:v>
      </x:c>
      <x:c r="N6" t="n">
        <x:v>0.9615</x:v>
      </x:c>
      <x:c r="O6" t="n">
        <x:v>6.46</x:v>
      </x:c>
      <x:c r="P6" t="n">
        <x:v>2.465</x:v>
      </x:c>
      <x:c r="Q6" t="n">
        <x:v>1.68</x:v>
      </x:c>
      <x:c r="R6" t="n">
        <x:v>1.62</x:v>
      </x:c>
      <x:c r="S6" t="n">
        <x:v>-5.939999999999998</x:v>
      </x:c>
      <x:c r="T6" t="n">
        <x:v>22.27000000000001</x:v>
      </x:c>
      <x:c r="U6" t="n">
        <x:v>0.0043</x:v>
      </x:c>
      <x:c r="V6" t="str">
        <x:v>ZZZZZZZZZZ</x:v>
      </x:c>
      <x:c r="W6" t="str">
        <x:v>None</x:v>
      </x:c>
      <x:c r="X6" t="n">
        <x:v>2.35038</x:v>
      </x:c>
      <x:c r="Y6" t="n">
        <x:v>3.4694</x:v>
      </x:c>
      <x:c r="Z6" t="n">
        <x:v>4.52668</x:v>
      </x:c>
      <x:c r="AA6" t="n">
        <x:v>7.88099</x:v>
      </x:c>
      <x:c r="AB6" t="n">
        <x:v>2.47828</x:v>
      </x:c>
      <x:c r="AC6" t="n">
        <x:v>3.66316</x:v>
      </x:c>
      <x:c r="AD6" t="n">
        <x:v>4.78014</x:v>
      </x:c>
      <x:c r="AE6" t="n">
        <x:v>8.42012</x:v>
      </x:c>
    </x:row>
    <x:row r="7">
      <x:c r="A7" t="n">
        <x:v>225</x:v>
      </x:c>
      <x:c r="B7" t="n">
        <x:v>7</x:v>
      </x:c>
      <x:c r="C7" t="n">
        <x:v>9</x:v>
      </x:c>
      <x:c r="D7" t="n">
        <x:v>0.9976759383104153</x:v>
      </x:c>
      <x:c r="E7" t="n">
        <x:v>1</x:v>
      </x:c>
      <x:c r="F7" t="n">
        <x:v>0.9976292412309415</x:v>
      </x:c>
      <x:c r="G7" t="n">
        <x:v>1</x:v>
      </x:c>
      <x:c r="H7" t="n">
        <x:v>0.997872228625234</x:v>
      </x:c>
      <x:c r="I7" t="n">
        <x:v>1</x:v>
      </x:c>
      <x:c r="J7" t="n">
        <x:v>0.9883121992837733</x:v>
      </x:c>
      <x:c r="K7" t="n">
        <x:v>1</x:v>
      </x:c>
      <x:c r="L7" t="n">
        <x:v>0.4218</x:v>
      </x:c>
      <x:c r="M7" t="n">
        <x:v>0.7776000000000001</x:v>
      </x:c>
      <x:c r="N7" t="n">
        <x:v>0.9460000000000001</x:v>
      </x:c>
      <x:c r="O7" t="n">
        <x:v>2.835</x:v>
      </x:c>
      <x:c r="P7" t="n">
        <x:v>1.14</x:v>
      </x:c>
      <x:c r="Q7" t="n">
        <x:v>0.52</x:v>
      </x:c>
      <x:c r="R7" t="n">
        <x:v>0.5</x:v>
      </x:c>
      <x:c r="S7" t="n">
        <x:v>-1.969999999999999</x:v>
      </x:c>
      <x:c r="T7" t="n">
        <x:v>8.530000000000001</x:v>
      </x:c>
      <x:c r="U7" t="n">
        <x:v>0.00446</x:v>
      </x:c>
      <x:c r="V7" t="str">
        <x:v>ZZZZZZZZZZ</x:v>
      </x:c>
      <x:c r="W7" t="str">
        <x:v>None</x:v>
      </x:c>
      <x:c r="X7" t="n">
        <x:v>2.32407</x:v>
      </x:c>
      <x:c r="Y7" t="n">
        <x:v>4.22079</x:v>
      </x:c>
      <x:c r="Z7" t="n">
        <x:v>6.17147</x:v>
      </x:c>
      <x:c r="AA7" t="n">
        <x:v>10.2022</x:v>
      </x:c>
      <x:c r="AB7" t="n">
        <x:v>2.41962</x:v>
      </x:c>
      <x:c r="AC7" t="n">
        <x:v>4.45143</x:v>
      </x:c>
      <x:c r="AD7" t="n">
        <x:v>6.55481</x:v>
      </x:c>
      <x:c r="AE7" t="n">
        <x:v>10.89964</x:v>
      </x:c>
    </x:row>
    <x:row r="8">
      <x:c r="A8" t="n">
        <x:v>250</x:v>
      </x:c>
      <x:c r="B8" t="n">
        <x:v>3</x:v>
      </x:c>
      <x:c r="C8" t="n">
        <x:v>11</x:v>
      </x:c>
      <x:c r="D8" t="n">
        <x:v>0.977637273819068</x:v>
      </x:c>
      <x:c r="E8" t="n">
        <x:v>1</x:v>
      </x:c>
      <x:c r="F8" t="n">
        <x:v>0.9716926845502882</x:v>
      </x:c>
      <x:c r="G8" t="n">
        <x:v>1</x:v>
      </x:c>
      <x:c r="H8" t="n">
        <x:v>0.9871598061995907</x:v>
      </x:c>
      <x:c r="I8" t="n">
        <x:v>0.8888888888888888</x:v>
      </x:c>
      <x:c r="J8" t="n">
        <x:v>0.9590844892457768</x:v>
      </x:c>
      <x:c r="K8" t="n">
        <x:v>1</x:v>
      </x:c>
      <x:c r="L8" t="n">
        <x:v>0.45840000000000003</x:v>
      </x:c>
      <x:c r="M8" t="n">
        <x:v>0.7766</x:v>
      </x:c>
      <x:c r="N8" t="n">
        <x:v>0.9254999999999999</x:v>
      </x:c>
      <x:c r="O8" t="n">
        <x:v>4.43</x:v>
      </x:c>
      <x:c r="P8" t="n">
        <x:v>0.775</x:v>
      </x:c>
      <x:c r="Q8" t="n">
        <x:v>0.78</x:v>
      </x:c>
      <x:c r="R8" t="n">
        <x:v>0.7050000000000001</x:v>
      </x:c>
      <x:c r="S8" t="n">
        <x:v>-41.140000000000015</x:v>
      </x:c>
      <x:c r="T8" t="n">
        <x:v>109.28</x:v>
      </x:c>
      <x:c r="U8" t="n">
        <x:v>0.00442</x:v>
      </x:c>
      <x:c r="V8" t="str">
        <x:v>ZZZZZZZZZZ</x:v>
      </x:c>
      <x:c r="W8" t="str">
        <x:v>Y→Z between DAC 3–5</x:v>
      </x:c>
      <x:c r="X8" t="n">
        <x:v>0.95815</x:v>
      </x:c>
      <x:c r="Y8" t="n">
        <x:v>3.65459</x:v>
      </x:c>
      <x:c r="Z8" t="n">
        <x:v>5.39883</x:v>
      </x:c>
      <x:c r="AA8" t="n">
        <x:v>8.50032</x:v>
      </x:c>
      <x:c r="AB8" t="n">
        <x:v>1.14271</x:v>
      </x:c>
      <x:c r="AC8" t="n">
        <x:v>3.83189</x:v>
      </x:c>
      <x:c r="AD8" t="n">
        <x:v>5.73748</x:v>
      </x:c>
      <x:c r="AE8" t="n">
        <x:v>9.13253</x:v>
      </x:c>
    </x:row>
    <x:row r="9">
      <x:c r="A9" t="n">
        <x:v>268</x:v>
      </x:c>
      <x:c r="B9" t="n">
        <x:v>3</x:v>
      </x:c>
      <x:c r="C9" t="n">
        <x:v>11</x:v>
      </x:c>
      <x:c r="D9" t="n">
        <x:v>0.9700171329041498</x:v>
      </x:c>
      <x:c r="E9" t="n">
        <x:v>1</x:v>
      </x:c>
      <x:c r="F9" t="n">
        <x:v>0.9594183045685757</x:v>
      </x:c>
      <x:c r="G9" t="n">
        <x:v>1</x:v>
      </x:c>
      <x:c r="H9" t="n">
        <x:v>0.02306416601590644</x:v>
      </x:c>
      <x:c r="I9" t="n">
        <x:v>0.6666666666666666</x:v>
      </x:c>
      <x:c r="J9" t="n">
        <x:v>0.9437542334175226</x:v>
      </x:c>
      <x:c r="K9" t="n">
        <x:v>0.8888888888888888</x:v>
      </x:c>
      <x:c r="L9" t="n">
        <x:v>0.1518</x:v>
      </x:c>
      <x:c r="M9" t="n">
        <x:v>0.7290000000000001</x:v>
      </x:c>
      <x:c r="N9" t="n">
        <x:v>0.8885</x:v>
      </x:c>
      <x:c r="O9" t="n">
        <x:v>11.725</x:v>
      </x:c>
      <x:c r="P9" t="n">
        <x:v>3.2350000000000003</x:v>
      </x:c>
      <x:c r="Q9" t="n">
        <x:v>1.31</x:v>
      </x:c>
      <x:c r="R9" t="n">
        <x:v>1.07</x:v>
      </x:c>
      <x:c r="S9" t="n">
        <x:v>-14.099999999999994</x:v>
      </x:c>
      <x:c r="T9" t="n">
        <x:v>39.31</x:v>
      </x:c>
      <x:c r="U9" t="n">
        <x:v>0.04092</x:v>
      </x:c>
      <x:c r="V9" t="str">
        <x:v>YYZZZZZZZZ</x:v>
      </x:c>
      <x:c r="W9" t="str">
        <x:v>Y→Z between DAC 13–15</x:v>
      </x:c>
      <x:c r="X9" t="n">
        <x:v>0.92507</x:v>
      </x:c>
      <x:c r="Y9" t="n">
        <x:v>1.47123</x:v>
      </x:c>
      <x:c r="Z9" t="n">
        <x:v>2.1238</x:v>
      </x:c>
      <x:c r="AA9" t="n">
        <x:v>5.11903</x:v>
      </x:c>
      <x:c r="AB9" t="n">
        <x:v>1.38499</x:v>
      </x:c>
      <x:c r="AC9" t="n">
        <x:v>2.00736</x:v>
      </x:c>
      <x:c r="AD9" t="n">
        <x:v>2.62847</x:v>
      </x:c>
      <x:c r="AE9" t="n">
        <x:v>5.25905</x:v>
      </x:c>
    </x:row>
    <x:row r="10">
      <x:c r="A10" t="n">
        <x:v>270</x:v>
      </x:c>
      <x:c r="B10" t="n">
        <x:v>3</x:v>
      </x:c>
      <x:c r="C10" t="n">
        <x:v>9</x:v>
      </x:c>
      <x:c r="D10" t="n">
        <x:v>0.9978261963582679</x:v>
      </x:c>
      <x:c r="E10" t="n">
        <x:v>1</x:v>
      </x:c>
      <x:c r="F10" t="n">
        <x:v>0.9944367717155941</x:v>
      </x:c>
      <x:c r="G10" t="n">
        <x:v>1</x:v>
      </x:c>
      <x:c r="H10" t="n">
        <x:v>0.6952741505581392</x:v>
      </x:c>
      <x:c r="I10" t="n">
        <x:v>0.7777777777777778</x:v>
      </x:c>
      <x:c r="J10" t="n">
        <x:v>0.9740201616069415</x:v>
      </x:c>
      <x:c r="K10" t="n">
        <x:v>1</x:v>
      </x:c>
      <x:c r="L10" t="n">
        <x:v>0.3098</x:v>
      </x:c>
      <x:c r="M10" t="n">
        <x:v>0.6681999999999999</x:v>
      </x:c>
      <x:c r="N10" t="n">
        <x:v>0.9176</x:v>
      </x:c>
      <x:c r="O10" t="n">
        <x:v>12.18</x:v>
      </x:c>
      <x:c r="P10" t="n">
        <x:v>2.38</x:v>
      </x:c>
      <x:c r="Q10" t="n">
        <x:v>0.45999999999999996</x:v>
      </x:c>
      <x:c r="R10" t="n">
        <x:v>0.5800000000000001</x:v>
      </x:c>
      <x:c r="S10" t="n">
        <x:v>-30.00999999999999</x:v>
      </x:c>
      <x:c r="T10" t="n">
        <x:v>90.84</x:v>
      </x:c>
      <x:c r="U10" t="n">
        <x:v>0.09111</x:v>
      </x:c>
      <x:c r="V10" t="str">
        <x:v>ZZZZZZZZZZ</x:v>
      </x:c>
      <x:c r="W10" t="str">
        <x:v>Z→Y between DAC 3–5; Y→Z between DAC 9–11</x:v>
      </x:c>
      <x:c r="X10" t="n">
        <x:v>1.09421</x:v>
      </x:c>
      <x:c r="Y10" t="n">
        <x:v>2.4024</x:v>
      </x:c>
      <x:c r="Z10" t="n">
        <x:v>3.8667</x:v>
      </x:c>
      <x:c r="AA10" t="n">
        <x:v>6.73012</x:v>
      </x:c>
      <x:c r="AB10" t="n">
        <x:v>1.50555</x:v>
      </x:c>
      <x:c r="AC10" t="n">
        <x:v>2.52202</x:v>
      </x:c>
      <x:c r="AD10" t="n">
        <x:v>3.98122</x:v>
      </x:c>
      <x:c r="AE10" t="n">
        <x:v>7.0583</x:v>
      </x:c>
    </x:row>
    <x:row r="11">
      <x:c r="A11" t="n">
        <x:v>275</x:v>
      </x:c>
      <x:c r="B11" t="n">
        <x:v>3</x:v>
      </x:c>
      <x:c r="C11" t="n">
        <x:v>9</x:v>
      </x:c>
      <x:c r="D11" t="n">
        <x:v>0.9904956903614919</x:v>
      </x:c>
      <x:c r="E11" t="n">
        <x:v>1</x:v>
      </x:c>
      <x:c r="F11" t="n">
        <x:v>0.9902833568100035</x:v>
      </x:c>
      <x:c r="G11" t="n">
        <x:v>1</x:v>
      </x:c>
      <x:c r="H11" t="n">
        <x:v>0.06173744859262431</x:v>
      </x:c>
      <x:c r="I11" t="n">
        <x:v>0.6666666666666666</x:v>
      </x:c>
      <x:c r="J11" t="n">
        <x:v>0.9790544293129158</x:v>
      </x:c>
      <x:c r="K11" t="n">
        <x:v>1</x:v>
      </x:c>
      <x:c r="L11" t="n">
        <x:v>0.27620000000000006</x:v>
      </x:c>
      <x:c r="M11" t="n">
        <x:v>0.7358999999999999</x:v>
      </x:c>
      <x:c r="N11" t="n">
        <x:v>0.9084000000000001</x:v>
      </x:c>
      <x:c r="O11" t="n">
        <x:v>7.25</x:v>
      </x:c>
      <x:c r="P11" t="n">
        <x:v>1.3900000000000001</x:v>
      </x:c>
      <x:c r="Q11" t="n">
        <x:v>0.8049999999999999</x:v>
      </x:c>
      <x:c r="R11" t="n">
        <x:v>0.71</x:v>
      </x:c>
      <x:c r="S11" t="n">
        <x:v>-22.609999999999985</x:v>
      </x:c>
      <x:c r="T11" t="n">
        <x:v>67.03999999999999</x:v>
      </x:c>
      <x:c r="U11" t="n">
        <x:v>0.00379</x:v>
      </x:c>
      <x:c r="V11" t="str">
        <x:v>YYYZZZZZZZ</x:v>
      </x:c>
      <x:c r="W11" t="str">
        <x:v>Y→Z between DAC 15–17</x:v>
      </x:c>
      <x:c r="X11" t="n">
        <x:v>1.11122</x:v>
      </x:c>
      <x:c r="Y11" t="n">
        <x:v>1.68411</x:v>
      </x:c>
      <x:c r="Z11" t="n">
        <x:v>3.37262</x:v>
      </x:c>
      <x:c r="AA11" t="n">
        <x:v>6.52926</x:v>
      </x:c>
      <x:c r="AB11" t="n">
        <x:v>1.66732</x:v>
      </x:c>
      <x:c r="AC11" t="n">
        <x:v>2.38568</x:v>
      </x:c>
      <x:c r="AD11" t="n">
        <x:v>3.56587</x:v>
      </x:c>
      <x:c r="AE11" t="n">
        <x:v>6.80275</x:v>
      </x:c>
    </x:row>
    <x:row r="12">
      <x:c r="A12" t="n">
        <x:v>300</x:v>
      </x:c>
      <x:c r="B12" t="n">
        <x:v>3</x:v>
      </x:c>
      <x:c r="C12" t="n">
        <x:v>7</x:v>
      </x:c>
      <x:c r="D12" t="n">
        <x:v>0.9995417647348014</x:v>
      </x:c>
      <x:c r="E12" t="n">
        <x:v>1</x:v>
      </x:c>
      <x:c r="F12" t="n">
        <x:v>0.9990883050021226</x:v>
      </x:c>
      <x:c r="G12" t="n">
        <x:v>1</x:v>
      </x:c>
      <x:c r="H12" t="n">
        <x:v>0.8180968800013542</x:v>
      </x:c>
      <x:c r="I12" t="n">
        <x:v>0.7777777777777778</x:v>
      </x:c>
      <x:c r="J12" t="n">
        <x:v>0.9900448198503076</x:v>
      </x:c>
      <x:c r="K12" t="n">
        <x:v>1</x:v>
      </x:c>
      <x:c r="L12" t="n">
        <x:v>0.33100000000000007</x:v>
      </x:c>
      <x:c r="M12" t="n">
        <x:v>0.674</x:v>
      </x:c>
      <x:c r="N12" t="n">
        <x:v>0.9307000000000001</x:v>
      </x:c>
      <x:c r="O12" t="n">
        <x:v>9.504999999999999</x:v>
      </x:c>
      <x:c r="P12" t="n">
        <x:v>2.51</x:v>
      </x:c>
      <x:c r="Q12" t="n">
        <x:v>0.45</x:v>
      </x:c>
      <x:c r="R12" t="n">
        <x:v>0.43000000000000005</x:v>
      </x:c>
      <x:c r="S12" t="n">
        <x:v>-10.120000000000005</x:v>
      </x:c>
      <x:c r="T12" t="n">
        <x:v>56.99000000000001</x:v>
      </x:c>
      <x:c r="U12" t="n">
        <x:v>0.00294</x:v>
      </x:c>
      <x:c r="V12" t="str">
        <x:v>ZZZZZZZZZZ</x:v>
      </x:c>
      <x:c r="W12" t="str">
        <x:v>Y→Z between DAC 9–11</x:v>
      </x:c>
      <x:c r="X12" t="n">
        <x:v>2.64446</x:v>
      </x:c>
      <x:c r="Y12" t="n">
        <x:v>4.37324</x:v>
      </x:c>
      <x:c r="Z12" t="n">
        <x:v>6.11729</x:v>
      </x:c>
      <x:c r="AA12" t="n">
        <x:v>9.95559</x:v>
      </x:c>
      <x:c r="AB12" t="n">
        <x:v>2.84166</x:v>
      </x:c>
      <x:c r="AC12" t="n">
        <x:v>4.47303</x:v>
      </x:c>
      <x:c r="AD12" t="n">
        <x:v>6.2134</x:v>
      </x:c>
      <x:c r="AE12" t="n">
        <x:v>10.10794</x:v>
      </x:c>
    </x:row>
    <x:row r="13">
      <x:c r="A13" t="n">
        <x:v>325</x:v>
      </x:c>
      <x:c r="B13" t="n">
        <x:v>3</x:v>
      </x:c>
      <x:c r="C13" t="n">
        <x:v>7</x:v>
      </x:c>
      <x:c r="D13" t="n">
        <x:v>0.9989560135699139</x:v>
      </x:c>
      <x:c r="E13" t="n">
        <x:v>1</x:v>
      </x:c>
      <x:c r="F13" t="n">
        <x:v>0.9989081760647525</x:v>
      </x:c>
      <x:c r="G13" t="n">
        <x:v>1</x:v>
      </x:c>
      <x:c r="H13" t="n">
        <x:v>0.959353766752984</x:v>
      </x:c>
      <x:c r="I13" t="n">
        <x:v>0.8888888888888888</x:v>
      </x:c>
      <x:c r="J13" t="n">
        <x:v>0.9950417192343155</x:v>
      </x:c>
      <x:c r="K13" t="n">
        <x:v>1</x:v>
      </x:c>
      <x:c r="L13" t="n">
        <x:v>0.4064</x:v>
      </x:c>
      <x:c r="M13" t="n">
        <x:v>0.5985999999999999</x:v>
      </x:c>
      <x:c r="N13" t="n">
        <x:v>0.9269000000000001</x:v>
      </x:c>
      <x:c r="O13" t="n">
        <x:v>4.109999999999999</x:v>
      </x:c>
      <x:c r="P13" t="n">
        <x:v>1.77</x:v>
      </x:c>
      <x:c r="Q13" t="n">
        <x:v>0.5249999999999999</x:v>
      </x:c>
      <x:c r="R13" t="n">
        <x:v>0.545</x:v>
      </x:c>
      <x:c r="S13" t="n">
        <x:v>-5.210000000000008</x:v>
      </x:c>
      <x:c r="T13" t="n">
        <x:v>38.94999999999999</x:v>
      </x:c>
      <x:c r="U13" t="n">
        <x:v>0.00592</x:v>
      </x:c>
      <x:c r="V13" t="str">
        <x:v>ZZZZZZZZZZ</x:v>
      </x:c>
      <x:c r="W13" t="str">
        <x:v>Y→Z between DAC 5–7</x:v>
      </x:c>
      <x:c r="X13" t="n">
        <x:v>4.37181</x:v>
      </x:c>
      <x:c r="Y13" t="n">
        <x:v>6.76945</x:v>
      </x:c>
      <x:c r="Z13" t="n">
        <x:v>9.207</x:v>
      </x:c>
      <x:c r="AA13" t="n">
        <x:v>14.91825</x:v>
      </x:c>
      <x:c r="AB13" t="n">
        <x:v>4.48336</x:v>
      </x:c>
      <x:c r="AC13" t="n">
        <x:v>6.85634</x:v>
      </x:c>
      <x:c r="AD13" t="n">
        <x:v>9.29901</x:v>
      </x:c>
      <x:c r="AE13" t="n">
        <x:v>15.04477</x:v>
      </x:c>
    </x:row>
  </x:sheetData>
  <x:conditionalFormatting sqref="E2:E13">
    <x:cfRule type="cellIs" dxfId="0" priority="1">
      <x:formula>1</x:formula>
    </x:cfRule>
  </x:conditionalFormatting>
  <x:conditionalFormatting sqref="G2:G13">
    <x:cfRule type="cellIs" dxfId="1" priority="2">
      <x:formula>1</x:formula>
    </x:cfRule>
  </x:conditionalFormatting>
  <x:conditionalFormatting sqref="I2:I13">
    <x:cfRule type="cellIs" dxfId="2" priority="3" operator="lessThan">
      <x:formula>1</x:formula>
    </x:cfRule>
  </x:conditionalFormatting>
  <x:pageMargins left="0.7" right="0.7" top="0.75" bottom="0.75" header="0.3" footer="0.3"/>
</x:worksheet>
</file>

<file path=xl/worksheets/sheet19.xml><?xml version="1.0" encoding="utf-8"?>
<x:worksheet xmlns:x="http://schemas.openxmlformats.org/spreadsheetml/2006/main">
  <x:sheetFormatPr defaultRowHeight="15"/>
  <x:sheetData>
    <x:row r="1">
      <x:c r="A1" s="99" t="str">
        <x:v>Exact-frequency amplitude matrix — full inclined DAC sweep</x:v>
      </x:c>
      <x:c r="B1" s="99"/>
      <x:c r="C1" s="99"/>
      <x:c r="D1" s="99"/>
      <x:c r="E1" s="99"/>
      <x:c r="F1" s="99"/>
      <x:c r="G1" s="99"/>
      <x:c r="H1" s="99"/>
      <x:c r="I1" s="99"/>
      <x:c r="J1" s="99"/>
      <x:c r="K1" s="99"/>
      <x:c r="L1" s="99"/>
      <x:c r="M1" s="99"/>
      <x:c r="N1" s="99"/>
      <x:c r="O1" s="99"/>
      <x:c r="P1" s="99"/>
      <x:c r="Q1" s="99"/>
    </x:row>
    <x:row r="2">
      <x:c r="A2" s="102" t="str">
        <x:v>Values are exact-command-frequency quadrature amplitudes. These matrices make full-range monotonicity and directional redistribution directly visible.</x:v>
      </x:c>
      <x:c r="B2" s="102"/>
      <x:c r="C2" s="102"/>
      <x:c r="D2" s="102"/>
      <x:c r="E2" s="102"/>
      <x:c r="F2" s="102"/>
      <x:c r="G2" s="102"/>
      <x:c r="H2" s="102"/>
      <x:c r="I2" s="102"/>
      <x:c r="J2" s="102"/>
      <x:c r="K2" s="102"/>
      <x:c r="L2" s="102"/>
      <x:c r="M2" s="102"/>
      <x:c r="N2" s="102"/>
      <x:c r="O2" s="102"/>
      <x:c r="P2" s="102"/>
      <x:c r="Q2" s="102"/>
    </x:row>
    <x:row r="4">
      <x:c r="A4" s="114" t="str">
        <x:v>Z amplitude (m/s²)</x:v>
      </x:c>
      <x:c r="B4" s="114"/>
      <x:c r="C4" s="114"/>
      <x:c r="D4" s="114"/>
      <x:c r="E4" s="114"/>
      <x:c r="F4" s="114"/>
      <x:c r="G4" s="114"/>
      <x:c r="H4" s="114"/>
      <x:c r="I4" s="114"/>
      <x:c r="J4" s="114"/>
      <x:c r="K4" s="114"/>
      <x:c r="L4" s="114"/>
      <x:c r="M4" s="114"/>
      <x:c r="N4" s="114"/>
      <x:c r="O4" s="114"/>
      <x:c r="P4" s="114"/>
      <x:c r="Q4" s="114"/>
    </x:row>
    <x:row r="5">
      <x:c r="A5" s="107" t="str">
        <x:v>Frequency</x:v>
      </x:c>
      <x:c r="B5" s="107" t="n">
        <x:v>1</x:v>
      </x:c>
      <x:c r="C5" s="107" t="n">
        <x:v>3</x:v>
      </x:c>
      <x:c r="D5" s="107" t="n">
        <x:v>5</x:v>
      </x:c>
      <x:c r="E5" s="107" t="n">
        <x:v>7</x:v>
      </x:c>
      <x:c r="F5" s="107" t="n">
        <x:v>9</x:v>
      </x:c>
      <x:c r="G5" s="107" t="n">
        <x:v>11</x:v>
      </x:c>
      <x:c r="H5" s="107" t="n">
        <x:v>13</x:v>
      </x:c>
      <x:c r="I5" s="107" t="n">
        <x:v>15</x:v>
      </x:c>
      <x:c r="J5" s="107" t="n">
        <x:v>17</x:v>
      </x:c>
      <x:c r="K5" s="107" t="n">
        <x:v>19</x:v>
      </x:c>
      <x:c r="L5" s="107" t="n">
        <x:v>21</x:v>
      </x:c>
      <x:c r="M5" s="107" t="n">
        <x:v>23</x:v>
      </x:c>
      <x:c r="N5" s="107" t="n">
        <x:v>25</x:v>
      </x:c>
      <x:c r="O5" s="107" t="n">
        <x:v>27</x:v>
      </x:c>
      <x:c r="P5" s="107" t="n">
        <x:v>29</x:v>
      </x:c>
    </x:row>
    <x:row r="6">
      <x:c r="A6" t="n">
        <x:v>100</x:v>
      </x:c>
      <x:c r="B6" s="61" t="n">
        <x:v>0.03186</x:v>
      </x:c>
      <x:c r="C6" s="61" t="n">
        <x:v>0.01535</x:v>
      </x:c>
      <x:c r="D6" s="61" t="n">
        <x:v>0.01823</x:v>
      </x:c>
      <x:c r="E6" s="61" t="n">
        <x:v>0.02039</x:v>
      </x:c>
      <x:c r="F6" s="61" t="n">
        <x:v>0.02268</x:v>
      </x:c>
      <x:c r="G6" s="61" t="n">
        <x:v>0.02653</x:v>
      </x:c>
      <x:c r="H6" s="61" t="n">
        <x:v>0.33036</x:v>
      </x:c>
      <x:c r="I6" s="61" t="n">
        <x:v>0.3975</x:v>
      </x:c>
      <x:c r="J6" s="61" t="n">
        <x:v>0.55993</x:v>
      </x:c>
      <x:c r="K6" s="61" t="n">
        <x:v>0.75406</x:v>
      </x:c>
      <x:c r="L6" s="61" t="n">
        <x:v>0.8988</x:v>
      </x:c>
      <x:c r="M6" s="61" t="n">
        <x:v>1.02957</x:v>
      </x:c>
      <x:c r="N6" s="61" t="n">
        <x:v>1.10536</x:v>
      </x:c>
      <x:c r="O6" s="61" t="n">
        <x:v>1.20373</x:v>
      </x:c>
      <x:c r="P6" s="61" t="n">
        <x:v>1.3763</x:v>
      </x:c>
    </x:row>
    <x:row r="7">
      <x:c r="A7" t="n">
        <x:v>125</x:v>
      </x:c>
      <x:c r="B7" s="61" t="n">
        <x:v>0.02098</x:v>
      </x:c>
      <x:c r="C7" s="61" t="n">
        <x:v>0.02223</x:v>
      </x:c>
      <x:c r="D7" s="61" t="n">
        <x:v>0.03633</x:v>
      </x:c>
      <x:c r="E7" s="61" t="n">
        <x:v>0.16634</x:v>
      </x:c>
      <x:c r="F7" s="61" t="n">
        <x:v>0.34723</x:v>
      </x:c>
      <x:c r="G7" s="61" t="n">
        <x:v>0.50023</x:v>
      </x:c>
      <x:c r="H7" s="61" t="n">
        <x:v>0.72882</x:v>
      </x:c>
      <x:c r="I7" s="61" t="n">
        <x:v>0.88713</x:v>
      </x:c>
      <x:c r="J7" s="61" t="n">
        <x:v>1.04453</x:v>
      </x:c>
      <x:c r="K7" s="61" t="n">
        <x:v>1.20984</x:v>
      </x:c>
      <x:c r="L7" s="61" t="n">
        <x:v>1.36835</x:v>
      </x:c>
      <x:c r="M7" s="61" t="n">
        <x:v>1.55531</x:v>
      </x:c>
      <x:c r="N7" s="61" t="n">
        <x:v>1.70762</x:v>
      </x:c>
      <x:c r="O7" s="61" t="n">
        <x:v>1.93018</x:v>
      </x:c>
      <x:c r="P7" s="61" t="n">
        <x:v>2.15151</x:v>
      </x:c>
    </x:row>
    <x:row r="8">
      <x:c r="A8" t="n">
        <x:v>150</x:v>
      </x:c>
      <x:c r="B8" s="61" t="n">
        <x:v>0.01748</x:v>
      </x:c>
      <x:c r="C8" s="61" t="n">
        <x:v>0.05685</x:v>
      </x:c>
      <x:c r="D8" s="61" t="n">
        <x:v>0.19704</x:v>
      </x:c>
      <x:c r="E8" s="61" t="n">
        <x:v>0.47868</x:v>
      </x:c>
      <x:c r="F8" s="61" t="n">
        <x:v>0.67194</x:v>
      </x:c>
      <x:c r="G8" s="61" t="n">
        <x:v>0.89744</x:v>
      </x:c>
      <x:c r="H8" s="61" t="n">
        <x:v>1.12831</x:v>
      </x:c>
      <x:c r="I8" s="61" t="n">
        <x:v>1.42202</x:v>
      </x:c>
      <x:c r="J8" s="61" t="n">
        <x:v>1.69743</x:v>
      </x:c>
      <x:c r="K8" s="61" t="n">
        <x:v>1.9835</x:v>
      </x:c>
      <x:c r="L8" s="61" t="n">
        <x:v>2.21698</x:v>
      </x:c>
      <x:c r="M8" s="61" t="n">
        <x:v>2.44814</x:v>
      </x:c>
      <x:c r="N8" s="61" t="n">
        <x:v>2.70623</x:v>
      </x:c>
      <x:c r="O8" s="61" t="n">
        <x:v>2.96244</x:v>
      </x:c>
      <x:c r="P8" s="61" t="n">
        <x:v>3.28108</x:v>
      </x:c>
    </x:row>
    <x:row r="9">
      <x:c r="A9" t="n">
        <x:v>175</x:v>
      </x:c>
      <x:c r="B9" s="61" t="n">
        <x:v>0.02111</x:v>
      </x:c>
      <x:c r="C9" s="61" t="n">
        <x:v>0.06053</x:v>
      </x:c>
      <x:c r="D9" s="61" t="n">
        <x:v>0.12789</x:v>
      </x:c>
      <x:c r="E9" s="61" t="n">
        <x:v>0.31253</x:v>
      </x:c>
      <x:c r="F9" s="61" t="n">
        <x:v>0.75239</x:v>
      </x:c>
      <x:c r="G9" s="61" t="n">
        <x:v>1.21838</x:v>
      </x:c>
      <x:c r="H9" s="61" t="n">
        <x:v>1.70717</x:v>
      </x:c>
      <x:c r="I9" s="61" t="n">
        <x:v>2.17158</x:v>
      </x:c>
      <x:c r="J9" s="61" t="n">
        <x:v>2.57099</x:v>
      </x:c>
      <x:c r="K9" s="61" t="n">
        <x:v>3.04674</x:v>
      </x:c>
      <x:c r="L9" s="61" t="n">
        <x:v>3.43564</x:v>
      </x:c>
      <x:c r="M9" s="61" t="n">
        <x:v>3.78786</x:v>
      </x:c>
      <x:c r="N9" s="61" t="n">
        <x:v>4.16333</x:v>
      </x:c>
      <x:c r="O9" s="61" t="n">
        <x:v>4.5648</x:v>
      </x:c>
      <x:c r="P9" s="61" t="n">
        <x:v>4.96715</x:v>
      </x:c>
    </x:row>
    <x:row r="10">
      <x:c r="A10" t="n">
        <x:v>200</x:v>
      </x:c>
      <x:c r="B10" s="61" t="n">
        <x:v>0.02374</x:v>
      </x:c>
      <x:c r="C10" s="61" t="n">
        <x:v>0.11043</x:v>
      </x:c>
      <x:c r="D10" s="61" t="n">
        <x:v>0.42465</x:v>
      </x:c>
      <x:c r="E10" s="61" t="n">
        <x:v>1.10603</x:v>
      </x:c>
      <x:c r="F10" s="61" t="n">
        <x:v>1.69444</x:v>
      </x:c>
      <x:c r="G10" s="61" t="n">
        <x:v>2.35038</x:v>
      </x:c>
      <x:c r="H10" s="61" t="n">
        <x:v>2.83345</x:v>
      </x:c>
      <x:c r="I10" s="61" t="n">
        <x:v>3.4694</x:v>
      </x:c>
      <x:c r="J10" s="61" t="n">
        <x:v>3.98518</x:v>
      </x:c>
      <x:c r="K10" s="61" t="n">
        <x:v>4.52668</x:v>
      </x:c>
      <x:c r="L10" s="61" t="n">
        <x:v>5.04935</x:v>
      </x:c>
      <x:c r="M10" s="61" t="n">
        <x:v>5.64847</x:v>
      </x:c>
      <x:c r="N10" s="61" t="n">
        <x:v>6.22447</x:v>
      </x:c>
      <x:c r="O10" s="61" t="n">
        <x:v>6.77847</x:v>
      </x:c>
      <x:c r="P10" s="61" t="n">
        <x:v>7.88099</x:v>
      </x:c>
    </x:row>
    <x:row r="11">
      <x:c r="A11" t="n">
        <x:v>225</x:v>
      </x:c>
      <x:c r="B11" s="61" t="n">
        <x:v>0.02366</x:v>
      </x:c>
      <x:c r="C11" s="61" t="n">
        <x:v>0.11363</x:v>
      </x:c>
      <x:c r="D11" s="61" t="n">
        <x:v>0.24118</x:v>
      </x:c>
      <x:c r="E11" s="61" t="n">
        <x:v>0.40376</x:v>
      </x:c>
      <x:c r="F11" s="61" t="n">
        <x:v>1.4559</x:v>
      </x:c>
      <x:c r="G11" s="61" t="n">
        <x:v>2.32407</x:v>
      </x:c>
      <x:c r="H11" s="61" t="n">
        <x:v>3.26586</x:v>
      </x:c>
      <x:c r="I11" s="61" t="n">
        <x:v>4.22079</x:v>
      </x:c>
      <x:c r="J11" s="61" t="n">
        <x:v>5.19021</x:v>
      </x:c>
      <x:c r="K11" s="61" t="n">
        <x:v>6.17147</x:v>
      </x:c>
      <x:c r="L11" s="61" t="n">
        <x:v>7.0303</x:v>
      </x:c>
      <x:c r="M11" s="61" t="n">
        <x:v>7.8257</x:v>
      </x:c>
      <x:c r="N11" s="61" t="n">
        <x:v>8.60264</x:v>
      </x:c>
      <x:c r="O11" s="61" t="n">
        <x:v>9.37669</x:v>
      </x:c>
      <x:c r="P11" s="61" t="n">
        <x:v>10.2022</x:v>
      </x:c>
    </x:row>
    <x:row r="12">
      <x:c r="A12" t="n">
        <x:v>250</x:v>
      </x:c>
      <x:c r="B12" s="61" t="n">
        <x:v>0.0289</x:v>
      </x:c>
      <x:c r="C12" s="61" t="n">
        <x:v>0.11649</x:v>
      </x:c>
      <x:c r="D12" s="61" t="n">
        <x:v>0.29535</x:v>
      </x:c>
      <x:c r="E12" s="61" t="n">
        <x:v>0.47568</x:v>
      </x:c>
      <x:c r="F12" s="61" t="n">
        <x:v>0.64371</x:v>
      </x:c>
      <x:c r="G12" s="61" t="n">
        <x:v>0.95815</x:v>
      </x:c>
      <x:c r="H12" s="61" t="n">
        <x:v>2.57721</x:v>
      </x:c>
      <x:c r="I12" s="61" t="n">
        <x:v>3.65459</x:v>
      </x:c>
      <x:c r="J12" s="61" t="n">
        <x:v>4.627</x:v>
      </x:c>
      <x:c r="K12" s="61" t="n">
        <x:v>5.39883</x:v>
      </x:c>
      <x:c r="L12" s="61" t="n">
        <x:v>6.14431</x:v>
      </x:c>
      <x:c r="M12" s="61" t="n">
        <x:v>6.81001</x:v>
      </x:c>
      <x:c r="N12" s="61" t="n">
        <x:v>7.37713</x:v>
      </x:c>
      <x:c r="O12" s="61" t="n">
        <x:v>8.06993</x:v>
      </x:c>
      <x:c r="P12" s="61" t="n">
        <x:v>8.50032</x:v>
      </x:c>
    </x:row>
    <x:row r="13">
      <x:c r="A13" t="n">
        <x:v>268</x:v>
      </x:c>
      <x:c r="B13" s="61" t="n">
        <x:v>0.0237</x:v>
      </x:c>
      <x:c r="C13" s="61" t="n">
        <x:v>0.15749</x:v>
      </x:c>
      <x:c r="D13" s="61" t="n">
        <x:v>0.32284</x:v>
      </x:c>
      <x:c r="E13" s="61" t="n">
        <x:v>0.52941</x:v>
      </x:c>
      <x:c r="F13" s="61" t="n">
        <x:v>0.69985</x:v>
      </x:c>
      <x:c r="G13" s="61" t="n">
        <x:v>0.92507</x:v>
      </x:c>
      <x:c r="H13" s="61" t="n">
        <x:v>1.15724</x:v>
      </x:c>
      <x:c r="I13" s="61" t="n">
        <x:v>1.47123</x:v>
      </x:c>
      <x:c r="J13" s="61" t="n">
        <x:v>1.78192</x:v>
      </x:c>
      <x:c r="K13" s="61" t="n">
        <x:v>2.1238</x:v>
      </x:c>
      <x:c r="L13" s="61" t="n">
        <x:v>2.49691</x:v>
      </x:c>
      <x:c r="M13" s="61" t="n">
        <x:v>2.9408</x:v>
      </x:c>
      <x:c r="N13" s="61" t="n">
        <x:v>3.72347</x:v>
      </x:c>
      <x:c r="O13" s="61" t="n">
        <x:v>4.40504</x:v>
      </x:c>
      <x:c r="P13" s="61" t="n">
        <x:v>5.11903</x:v>
      </x:c>
    </x:row>
    <x:row r="14">
      <x:c r="A14" t="n">
        <x:v>270</x:v>
      </x:c>
      <x:c r="B14" s="61" t="n">
        <x:v>0.03403</x:v>
      </x:c>
      <x:c r="C14" s="61" t="n">
        <x:v>0.17614</x:v>
      </x:c>
      <x:c r="D14" s="61" t="n">
        <x:v>0.37833</x:v>
      </x:c>
      <x:c r="E14" s="61" t="n">
        <x:v>0.60403</x:v>
      </x:c>
      <x:c r="F14" s="61" t="n">
        <x:v>0.83413</x:v>
      </x:c>
      <x:c r="G14" s="61" t="n">
        <x:v>1.09421</x:v>
      </x:c>
      <x:c r="H14" s="61" t="n">
        <x:v>1.54509</x:v>
      </x:c>
      <x:c r="I14" s="61" t="n">
        <x:v>2.4024</x:v>
      </x:c>
      <x:c r="J14" s="61" t="n">
        <x:v>3.25499</x:v>
      </x:c>
      <x:c r="K14" s="61" t="n">
        <x:v>3.8667</x:v>
      </x:c>
      <x:c r="L14" s="61" t="n">
        <x:v>4.49238</x:v>
      </x:c>
      <x:c r="M14" s="61" t="n">
        <x:v>5.06329</x:v>
      </x:c>
      <x:c r="N14" s="61" t="n">
        <x:v>5.63042</x:v>
      </x:c>
      <x:c r="O14" s="61" t="n">
        <x:v>6.18114</x:v>
      </x:c>
      <x:c r="P14" s="61" t="n">
        <x:v>6.73012</x:v>
      </x:c>
    </x:row>
    <x:row r="15">
      <x:c r="A15" t="n">
        <x:v>275</x:v>
      </x:c>
      <x:c r="B15" s="61" t="n">
        <x:v>0.01886</x:v>
      </x:c>
      <x:c r="C15" s="61" t="n">
        <x:v>0.20361</x:v>
      </x:c>
      <x:c r="D15" s="61" t="n">
        <x:v>0.39573</x:v>
      </x:c>
      <x:c r="E15" s="61" t="n">
        <x:v>0.62839</x:v>
      </x:c>
      <x:c r="F15" s="61" t="n">
        <x:v>0.85553</x:v>
      </x:c>
      <x:c r="G15" s="61" t="n">
        <x:v>1.11122</x:v>
      </x:c>
      <x:c r="H15" s="61" t="n">
        <x:v>1.35926</x:v>
      </x:c>
      <x:c r="I15" s="61" t="n">
        <x:v>1.68411</x:v>
      </x:c>
      <x:c r="J15" s="61" t="n">
        <x:v>2.42662</x:v>
      </x:c>
      <x:c r="K15" s="61" t="n">
        <x:v>3.37262</x:v>
      </x:c>
      <x:c r="L15" s="61" t="n">
        <x:v>4.05366</x:v>
      </x:c>
      <x:c r="M15" s="61" t="n">
        <x:v>4.65783</x:v>
      </x:c>
      <x:c r="N15" s="61" t="n">
        <x:v>5.21148</x:v>
      </x:c>
      <x:c r="O15" s="61" t="n">
        <x:v>5.90645</x:v>
      </x:c>
      <x:c r="P15" s="61" t="n">
        <x:v>6.52926</x:v>
      </x:c>
    </x:row>
    <x:row r="16">
      <x:c r="A16" t="n">
        <x:v>300</x:v>
      </x:c>
      <x:c r="B16" s="61" t="n">
        <x:v>0.02302</x:v>
      </x:c>
      <x:c r="C16" s="61" t="n">
        <x:v>0.26978</x:v>
      </x:c>
      <x:c r="D16" s="61" t="n">
        <x:v>0.58562</x:v>
      </x:c>
      <x:c r="E16" s="61" t="n">
        <x:v>0.89287</x:v>
      </x:c>
      <x:c r="F16" s="61" t="n">
        <x:v>1.4661</x:v>
      </x:c>
      <x:c r="G16" s="61" t="n">
        <x:v>2.64446</x:v>
      </x:c>
      <x:c r="H16" s="61" t="n">
        <x:v>3.51282</x:v>
      </x:c>
      <x:c r="I16" s="61" t="n">
        <x:v>4.37324</x:v>
      </x:c>
      <x:c r="J16" s="61" t="n">
        <x:v>5.20089</x:v>
      </x:c>
      <x:c r="K16" s="61" t="n">
        <x:v>6.11729</x:v>
      </x:c>
      <x:c r="L16" s="61" t="n">
        <x:v>6.86996</x:v>
      </x:c>
      <x:c r="M16" s="61" t="n">
        <x:v>7.57221</x:v>
      </x:c>
      <x:c r="N16" s="61" t="n">
        <x:v>8.40582</x:v>
      </x:c>
      <x:c r="O16" s="61" t="n">
        <x:v>9.13737</x:v>
      </x:c>
      <x:c r="P16" s="61" t="n">
        <x:v>9.95559</x:v>
      </x:c>
    </x:row>
    <x:row r="17">
      <x:c r="A17" t="n">
        <x:v>325</x:v>
      </x:c>
      <x:c r="B17" s="61" t="n">
        <x:v>0.01835</x:v>
      </x:c>
      <x:c r="C17" s="61" t="n">
        <x:v>0.28431</x:v>
      </x:c>
      <x:c r="D17" s="61" t="n">
        <x:v>0.5843</x:v>
      </x:c>
      <x:c r="E17" s="61" t="n">
        <x:v>1.68952</x:v>
      </x:c>
      <x:c r="F17" s="61" t="n">
        <x:v>3.11784</x:v>
      </x:c>
      <x:c r="G17" s="61" t="n">
        <x:v>4.37181</x:v>
      </x:c>
      <x:c r="H17" s="61" t="n">
        <x:v>5.54404</x:v>
      </x:c>
      <x:c r="I17" s="61" t="n">
        <x:v>6.76945</x:v>
      </x:c>
      <x:c r="J17" s="61" t="n">
        <x:v>7.94399</x:v>
      </x:c>
      <x:c r="K17" s="61" t="n">
        <x:v>9.207</x:v>
      </x:c>
      <x:c r="L17" s="61" t="n">
        <x:v>10.4237</x:v>
      </x:c>
      <x:c r="M17" s="61" t="n">
        <x:v>11.62964</x:v>
      </x:c>
      <x:c r="N17" s="61" t="n">
        <x:v>12.95336</x:v>
      </x:c>
      <x:c r="O17" s="61" t="n">
        <x:v>14.13802</x:v>
      </x:c>
      <x:c r="P17" s="61" t="n">
        <x:v>14.91825</x:v>
      </x:c>
    </x:row>
    <x:row r="19">
      <x:c r="A19" s="114" t="str">
        <x:v>Y amplitude (m/s²)</x:v>
      </x:c>
      <x:c r="B19" s="114"/>
      <x:c r="C19" s="114"/>
      <x:c r="D19" s="114"/>
      <x:c r="E19" s="114"/>
      <x:c r="F19" s="114"/>
      <x:c r="G19" s="114"/>
      <x:c r="H19" s="114"/>
      <x:c r="I19" s="114"/>
      <x:c r="J19" s="114"/>
      <x:c r="K19" s="114"/>
      <x:c r="L19" s="114"/>
      <x:c r="M19" s="114"/>
      <x:c r="N19" s="114"/>
      <x:c r="O19" s="114"/>
      <x:c r="P19" s="114"/>
      <x:c r="Q19" s="114"/>
    </x:row>
    <x:row r="20">
      <x:c r="A20" s="107" t="str">
        <x:v>Frequency</x:v>
      </x:c>
      <x:c r="B20" s="107" t="n">
        <x:v>1</x:v>
      </x:c>
      <x:c r="C20" s="107" t="n">
        <x:v>3</x:v>
      </x:c>
      <x:c r="D20" s="107" t="n">
        <x:v>5</x:v>
      </x:c>
      <x:c r="E20" s="107" t="n">
        <x:v>7</x:v>
      </x:c>
      <x:c r="F20" s="107" t="n">
        <x:v>9</x:v>
      </x:c>
      <x:c r="G20" s="107" t="n">
        <x:v>11</x:v>
      </x:c>
      <x:c r="H20" s="107" t="n">
        <x:v>13</x:v>
      </x:c>
      <x:c r="I20" s="107" t="n">
        <x:v>15</x:v>
      </x:c>
      <x:c r="J20" s="107" t="n">
        <x:v>17</x:v>
      </x:c>
      <x:c r="K20" s="107" t="n">
        <x:v>19</x:v>
      </x:c>
      <x:c r="L20" s="107" t="n">
        <x:v>21</x:v>
      </x:c>
      <x:c r="M20" s="107" t="n">
        <x:v>23</x:v>
      </x:c>
      <x:c r="N20" s="107" t="n">
        <x:v>25</x:v>
      </x:c>
      <x:c r="O20" s="107" t="n">
        <x:v>27</x:v>
      </x:c>
      <x:c r="P20" s="107" t="n">
        <x:v>29</x:v>
      </x:c>
    </x:row>
    <x:row r="21">
      <x:c r="A21" t="n">
        <x:v>100</x:v>
      </x:c>
      <x:c r="B21" s="61" t="n">
        <x:v>0.01089</x:v>
      </x:c>
      <x:c r="C21" s="61" t="n">
        <x:v>0.01387</x:v>
      </x:c>
      <x:c r="D21" s="61" t="n">
        <x:v>0.01073</x:v>
      </x:c>
      <x:c r="E21" s="61" t="n">
        <x:v>0.01063</x:v>
      </x:c>
      <x:c r="F21" s="61" t="n">
        <x:v>0.01657</x:v>
      </x:c>
      <x:c r="G21" s="61" t="n">
        <x:v>0.01235</x:v>
      </x:c>
      <x:c r="H21" s="61" t="n">
        <x:v>0.10233</x:v>
      </x:c>
      <x:c r="I21" s="61" t="n">
        <x:v>0.06686</x:v>
      </x:c>
      <x:c r="J21" s="61" t="n">
        <x:v>0.08919</x:v>
      </x:c>
      <x:c r="K21" s="61" t="n">
        <x:v>0.12237</x:v>
      </x:c>
      <x:c r="L21" s="61" t="n">
        <x:v>0.1461</x:v>
      </x:c>
      <x:c r="M21" s="61" t="n">
        <x:v>0.15587</x:v>
      </x:c>
      <x:c r="N21" s="61" t="n">
        <x:v>0.19304</x:v>
      </x:c>
      <x:c r="O21" s="61" t="n">
        <x:v>0.20827</x:v>
      </x:c>
      <x:c r="P21" s="61" t="n">
        <x:v>0.25191</x:v>
      </x:c>
    </x:row>
    <x:row r="22">
      <x:c r="A22" t="n">
        <x:v>125</x:v>
      </x:c>
      <x:c r="B22" s="61" t="n">
        <x:v>0.02036</x:v>
      </x:c>
      <x:c r="C22" s="61" t="n">
        <x:v>0.01375</x:v>
      </x:c>
      <x:c r="D22" s="61" t="n">
        <x:v>0.0102</x:v>
      </x:c>
      <x:c r="E22" s="61" t="n">
        <x:v>0.03341</x:v>
      </x:c>
      <x:c r="F22" s="61" t="n">
        <x:v>0.08025</x:v>
      </x:c>
      <x:c r="G22" s="61" t="n">
        <x:v>0.09753</x:v>
      </x:c>
      <x:c r="H22" s="61" t="n">
        <x:v>0.15382</x:v>
      </x:c>
      <x:c r="I22" s="61" t="n">
        <x:v>0.18755</x:v>
      </x:c>
      <x:c r="J22" s="61" t="n">
        <x:v>0.21531</x:v>
      </x:c>
      <x:c r="K22" s="61" t="n">
        <x:v>0.26074</x:v>
      </x:c>
      <x:c r="L22" s="61" t="n">
        <x:v>0.26857</x:v>
      </x:c>
      <x:c r="M22" s="61" t="n">
        <x:v>0.32367</x:v>
      </x:c>
      <x:c r="N22" s="61" t="n">
        <x:v>0.35854</x:v>
      </x:c>
      <x:c r="O22" s="61" t="n">
        <x:v>0.39318</x:v>
      </x:c>
      <x:c r="P22" s="61" t="n">
        <x:v>0.44881</x:v>
      </x:c>
    </x:row>
    <x:row r="23">
      <x:c r="A23" t="n">
        <x:v>150</x:v>
      </x:c>
      <x:c r="B23" s="61" t="n">
        <x:v>0.00933</x:v>
      </x:c>
      <x:c r="C23" s="61" t="n">
        <x:v>0.02564</x:v>
      </x:c>
      <x:c r="D23" s="61" t="n">
        <x:v>0.03277</x:v>
      </x:c>
      <x:c r="E23" s="61" t="n">
        <x:v>0.08964</x:v>
      </x:c>
      <x:c r="F23" s="61" t="n">
        <x:v>0.12912</x:v>
      </x:c>
      <x:c r="G23" s="61" t="n">
        <x:v>0.19907</x:v>
      </x:c>
      <x:c r="H23" s="61" t="n">
        <x:v>0.24322</x:v>
      </x:c>
      <x:c r="I23" s="61" t="n">
        <x:v>0.33141</x:v>
      </x:c>
      <x:c r="J23" s="61" t="n">
        <x:v>0.40261</x:v>
      </x:c>
      <x:c r="K23" s="61" t="n">
        <x:v>0.48372</x:v>
      </x:c>
      <x:c r="L23" s="61" t="n">
        <x:v>0.54785</x:v>
      </x:c>
      <x:c r="M23" s="61" t="n">
        <x:v>0.61647</x:v>
      </x:c>
      <x:c r="N23" s="61" t="n">
        <x:v>0.68815</x:v>
      </x:c>
      <x:c r="O23" s="61" t="n">
        <x:v>0.77291</x:v>
      </x:c>
      <x:c r="P23" s="61" t="n">
        <x:v>0.87493</x:v>
      </x:c>
    </x:row>
    <x:row r="24">
      <x:c r="A24" t="n">
        <x:v>175</x:v>
      </x:c>
      <x:c r="B24" s="61" t="n">
        <x:v>0.02791</x:v>
      </x:c>
      <x:c r="C24" s="61" t="n">
        <x:v>0.04142</x:v>
      </x:c>
      <x:c r="D24" s="61" t="n">
        <x:v>0.05438</x:v>
      </x:c>
      <x:c r="E24" s="61" t="n">
        <x:v>0.06259</x:v>
      </x:c>
      <x:c r="F24" s="61" t="n">
        <x:v>0.15726</x:v>
      </x:c>
      <x:c r="G24" s="61" t="n">
        <x:v>0.29464</x:v>
      </x:c>
      <x:c r="H24" s="61" t="n">
        <x:v>0.41802</x:v>
      </x:c>
      <x:c r="I24" s="61" t="n">
        <x:v>0.56904</x:v>
      </x:c>
      <x:c r="J24" s="61" t="n">
        <x:v>0.7011</x:v>
      </x:c>
      <x:c r="K24" s="61" t="n">
        <x:v>0.84472</x:v>
      </x:c>
      <x:c r="L24" s="61" t="n">
        <x:v>0.96213</x:v>
      </x:c>
      <x:c r="M24" s="61" t="n">
        <x:v>1.0938</x:v>
      </x:c>
      <x:c r="N24" s="61" t="n">
        <x:v>1.20347</x:v>
      </x:c>
      <x:c r="O24" s="61" t="n">
        <x:v>1.32553</x:v>
      </x:c>
      <x:c r="P24" s="61" t="n">
        <x:v>1.4826</x:v>
      </x:c>
    </x:row>
    <x:row r="25">
      <x:c r="A25" t="n">
        <x:v>200</x:v>
      </x:c>
      <x:c r="B25" s="61" t="n">
        <x:v>0.01468</x:v>
      </x:c>
      <x:c r="C25" s="61" t="n">
        <x:v>0.03388</x:v>
      </x:c>
      <x:c r="D25" s="61" t="n">
        <x:v>0.06234</x:v>
      </x:c>
      <x:c r="E25" s="61" t="n">
        <x:v>0.31963</x:v>
      </x:c>
      <x:c r="F25" s="61" t="n">
        <x:v>0.51285</x:v>
      </x:c>
      <x:c r="G25" s="61" t="n">
        <x:v>0.72017</x:v>
      </x:c>
      <x:c r="H25" s="61" t="n">
        <x:v>0.86602</x:v>
      </x:c>
      <x:c r="I25" s="61" t="n">
        <x:v>1.09221</x:v>
      </x:c>
      <x:c r="J25" s="61" t="n">
        <x:v>1.26611</x:v>
      </x:c>
      <x:c r="K25" s="61" t="n">
        <x:v>1.42897</x:v>
      </x:c>
      <x:c r="L25" s="61" t="n">
        <x:v>1.63979</x:v>
      </x:c>
      <x:c r="M25" s="61" t="n">
        <x:v>1.72432</x:v>
      </x:c>
      <x:c r="N25" s="61" t="n">
        <x:v>1.95147</x:v>
      </x:c>
      <x:c r="O25" s="61" t="n">
        <x:v>2.10682</x:v>
      </x:c>
      <x:c r="P25" s="61" t="n">
        <x:v>2.73636</x:v>
      </x:c>
    </x:row>
    <x:row r="26">
      <x:c r="A26" t="n">
        <x:v>225</x:v>
      </x:c>
      <x:c r="B26" s="61" t="n">
        <x:v>0.0267</x:v>
      </x:c>
      <x:c r="C26" s="61" t="n">
        <x:v>0.08345</x:v>
      </x:c>
      <x:c r="D26" s="61" t="n">
        <x:v>0.14247</x:v>
      </x:c>
      <x:c r="E26" s="61" t="n">
        <x:v>0.20666</x:v>
      </x:c>
      <x:c r="F26" s="61" t="n">
        <x:v>0.30037</x:v>
      </x:c>
      <x:c r="G26" s="61" t="n">
        <x:v>0.6177</x:v>
      </x:c>
      <x:c r="H26" s="61" t="n">
        <x:v>0.95589</x:v>
      </x:c>
      <x:c r="I26" s="61" t="n">
        <x:v>1.33293</x:v>
      </x:c>
      <x:c r="J26" s="61" t="n">
        <x:v>1.72447</x:v>
      </x:c>
      <x:c r="K26" s="61" t="n">
        <x:v>2.10488</x:v>
      </x:c>
      <x:c r="L26" s="61" t="n">
        <x:v>2.44471</x:v>
      </x:c>
      <x:c r="M26" s="61" t="n">
        <x:v>2.75098</x:v>
      </x:c>
      <x:c r="N26" s="61" t="n">
        <x:v>3.04721</x:v>
      </x:c>
      <x:c r="O26" s="61" t="n">
        <x:v>3.36563</x:v>
      </x:c>
      <x:c r="P26" s="61" t="n">
        <x:v>3.69864</x:v>
      </x:c>
    </x:row>
    <x:row r="27">
      <x:c r="A27" t="n">
        <x:v>250</x:v>
      </x:c>
      <x:c r="B27" s="61" t="n">
        <x:v>0.01304</x:v>
      </x:c>
      <x:c r="C27" s="61" t="n">
        <x:v>0.1371</x:v>
      </x:c>
      <x:c r="D27" s="61" t="n">
        <x:v>0.27568</x:v>
      </x:c>
      <x:c r="E27" s="61" t="n">
        <x:v>0.42166</x:v>
      </x:c>
      <x:c r="F27" s="61" t="n">
        <x:v>0.55994</x:v>
      </x:c>
      <x:c r="G27" s="61" t="n">
        <x:v>0.61592</x:v>
      </x:c>
      <x:c r="H27" s="61" t="n">
        <x:v>0.59081</x:v>
      </x:c>
      <x:c r="I27" s="61" t="n">
        <x:v>1.06548</x:v>
      </x:c>
      <x:c r="J27" s="61" t="n">
        <x:v>1.48706</x:v>
      </x:c>
      <x:c r="K27" s="61" t="n">
        <x:v>1.8247</x:v>
      </x:c>
      <x:c r="L27" s="61" t="n">
        <x:v>2.15413</x:v>
      </x:c>
      <x:c r="M27" s="61" t="n">
        <x:v>2.43483</x:v>
      </x:c>
      <x:c r="N27" s="61" t="n">
        <x:v>2.69022</x:v>
      </x:c>
      <x:c r="O27" s="61" t="n">
        <x:v>2.98</x:v>
      </x:c>
      <x:c r="P27" s="61" t="n">
        <x:v>3.18142</x:v>
      </x:c>
    </x:row>
    <x:row r="28">
      <x:c r="A28" t="n">
        <x:v>268</x:v>
      </x:c>
      <x:c r="B28" s="61" t="n">
        <x:v>0.02974</x:v>
      </x:c>
      <x:c r="C28" s="61" t="n">
        <x:v>0.17202</x:v>
      </x:c>
      <x:c r="D28" s="61" t="n">
        <x:v>0.37565</x:v>
      </x:c>
      <x:c r="E28" s="61" t="n">
        <x:v>0.61072</x:v>
      </x:c>
      <x:c r="F28" s="61" t="n">
        <x:v>0.81573</x:v>
      </x:c>
      <x:c r="G28" s="61" t="n">
        <x:v>1.02902</x:v>
      </x:c>
      <x:c r="H28" s="61" t="n">
        <x:v>1.2222</x:v>
      </x:c>
      <x:c r="I28" s="61" t="n">
        <x:v>1.35978</x:v>
      </x:c>
      <x:c r="J28" s="61" t="n">
        <x:v>1.45697</x:v>
      </x:c>
      <x:c r="K28" s="61" t="n">
        <x:v>1.54126</x:v>
      </x:c>
      <x:c r="L28" s="61" t="n">
        <x:v>1.56594</x:v>
      </x:c>
      <x:c r="M28" s="61" t="n">
        <x:v>1.56808</x:v>
      </x:c>
      <x:c r="N28" s="61" t="n">
        <x:v>1.34242</x:v>
      </x:c>
      <x:c r="O28" s="61" t="n">
        <x:v>1.23524</x:v>
      </x:c>
      <x:c r="P28" s="61" t="n">
        <x:v>1.15971</x:v>
      </x:c>
    </x:row>
    <x:row r="29">
      <x:c r="A29" t="n">
        <x:v>270</x:v>
      </x:c>
      <x:c r="B29" s="61" t="n">
        <x:v>0.01999</x:v>
      </x:c>
      <x:c r="C29" s="61" t="n">
        <x:v>0.17539</x:v>
      </x:c>
      <x:c r="D29" s="61" t="n">
        <x:v>0.42319</x:v>
      </x:c>
      <x:c r="E29" s="61" t="n">
        <x:v>0.63433</x:v>
      </x:c>
      <x:c r="F29" s="61" t="n">
        <x:v>0.85015</x:v>
      </x:c>
      <x:c r="G29" s="61" t="n">
        <x:v>1.02982</x:v>
      </x:c>
      <x:c r="H29" s="61" t="n">
        <x:v>1.04764</x:v>
      </x:c>
      <x:c r="I29" s="61" t="n">
        <x:v>0.72443</x:v>
      </x:c>
      <x:c r="J29" s="61" t="n">
        <x:v>0.67716</x:v>
      </x:c>
      <x:c r="K29" s="61" t="n">
        <x:v>0.87393</x:v>
      </x:c>
      <x:c r="L29" s="61" t="n">
        <x:v>1.12211</x:v>
      </x:c>
      <x:c r="M29" s="61" t="n">
        <x:v>1.31146</x:v>
      </x:c>
      <x:c r="N29" s="61" t="n">
        <x:v>1.58079</x:v>
      </x:c>
      <x:c r="O29" s="61" t="n">
        <x:v>1.79004</x:v>
      </x:c>
      <x:c r="P29" s="61" t="n">
        <x:v>2.04135</x:v>
      </x:c>
    </x:row>
    <x:row r="30">
      <x:c r="A30" t="n">
        <x:v>275</x:v>
      </x:c>
      <x:c r="B30" s="61" t="n">
        <x:v>0.02064</x:v>
      </x:c>
      <x:c r="C30" s="61" t="n">
        <x:v>0.2101</x:v>
      </x:c>
      <x:c r="D30" s="61" t="n">
        <x:v>0.46165</x:v>
      </x:c>
      <x:c r="E30" s="61" t="n">
        <x:v>0.73377</x:v>
      </x:c>
      <x:c r="F30" s="61" t="n">
        <x:v>1.00255</x:v>
      </x:c>
      <x:c r="G30" s="61" t="n">
        <x:v>1.23979</x:v>
      </x:c>
      <x:c r="H30" s="61" t="n">
        <x:v>1.48084</x:v>
      </x:c>
      <x:c r="I30" s="61" t="n">
        <x:v>1.68516</x:v>
      </x:c>
      <x:c r="J30" s="61" t="n">
        <x:v>1.43614</x:v>
      </x:c>
      <x:c r="K30" s="61" t="n">
        <x:v>1.12197</x:v>
      </x:c>
      <x:c r="L30" s="61" t="n">
        <x:v>1.08026</x:v>
      </x:c>
      <x:c r="M30" s="61" t="n">
        <x:v>1.17909</x:v>
      </x:c>
      <x:c r="N30" s="61" t="n">
        <x:v>1.33791</x:v>
      </x:c>
      <x:c r="O30" s="61" t="n">
        <x:v>1.60322</x:v>
      </x:c>
      <x:c r="P30" s="61" t="n">
        <x:v>1.79885</x:v>
      </x:c>
    </x:row>
    <x:row r="31">
      <x:c r="A31" t="n">
        <x:v>300</x:v>
      </x:c>
      <x:c r="B31" s="61" t="n">
        <x:v>0.01666</x:v>
      </x:c>
      <x:c r="C31" s="61" t="n">
        <x:v>0.42318</x:v>
      </x:c>
      <x:c r="D31" s="61" t="n">
        <x:v>0.91464</x:v>
      </x:c>
      <x:c r="E31" s="61" t="n">
        <x:v>1.4008</x:v>
      </x:c>
      <x:c r="F31" s="61" t="n">
        <x:v>1.56818</x:v>
      </x:c>
      <x:c r="G31" s="61" t="n">
        <x:v>1.0248</x:v>
      </x:c>
      <x:c r="H31" s="61" t="n">
        <x:v>0.90629</x:v>
      </x:c>
      <x:c r="I31" s="61" t="n">
        <x:v>0.89349</x:v>
      </x:c>
      <x:c r="J31" s="61" t="n">
        <x:v>0.89458</x:v>
      </x:c>
      <x:c r="K31" s="61" t="n">
        <x:v>1.00222</x:v>
      </x:c>
      <x:c r="L31" s="61" t="n">
        <x:v>1.11374</x:v>
      </x:c>
      <x:c r="M31" s="61" t="n">
        <x:v>1.22962</x:v>
      </x:c>
      <x:c r="N31" s="61" t="n">
        <x:v>1.37034</x:v>
      </x:c>
      <x:c r="O31" s="61" t="n">
        <x:v>1.49286</x:v>
      </x:c>
      <x:c r="P31" s="61" t="n">
        <x:v>1.62187</x:v>
      </x:c>
    </x:row>
    <x:row r="32">
      <x:c r="A32" t="n">
        <x:v>325</x:v>
      </x:c>
      <x:c r="B32" s="61" t="n">
        <x:v>0.02227</x:v>
      </x:c>
      <x:c r="C32" s="61" t="n">
        <x:v>0.65948</x:v>
      </x:c>
      <x:c r="D32" s="61" t="n">
        <x:v>1.28436</x:v>
      </x:c>
      <x:c r="E32" s="61" t="n">
        <x:v>1.27554</x:v>
      </x:c>
      <x:c r="F32" s="61" t="n">
        <x:v>1.00281</x:v>
      </x:c>
      <x:c r="G32" s="61" t="n">
        <x:v>0.93584</x:v>
      </x:c>
      <x:c r="H32" s="61" t="n">
        <x:v>0.92633</x:v>
      </x:c>
      <x:c r="I32" s="61" t="n">
        <x:v>0.96576</x:v>
      </x:c>
      <x:c r="J32" s="61" t="n">
        <x:v>0.99988</x:v>
      </x:c>
      <x:c r="K32" s="61" t="n">
        <x:v>1.1111</x:v>
      </x:c>
      <x:c r="L32" s="61" t="n">
        <x:v>1.18556</x:v>
      </x:c>
      <x:c r="M32" s="61" t="n">
        <x:v>1.27459</x:v>
      </x:c>
      <x:c r="N32" s="61" t="n">
        <x:v>1.37307</x:v>
      </x:c>
      <x:c r="O32" s="61" t="n">
        <x:v>1.45959</x:v>
      </x:c>
      <x:c r="P32" s="61" t="n">
        <x:v>1.57231</x:v>
      </x:c>
    </x:row>
    <x:row r="34">
      <x:c r="A34" s="114" t="str">
        <x:v>X amplitude (m/s²)</x:v>
      </x:c>
      <x:c r="B34" s="114"/>
      <x:c r="C34" s="114"/>
      <x:c r="D34" s="114"/>
      <x:c r="E34" s="114"/>
      <x:c r="F34" s="114"/>
      <x:c r="G34" s="114"/>
      <x:c r="H34" s="114"/>
      <x:c r="I34" s="114"/>
      <x:c r="J34" s="114"/>
      <x:c r="K34" s="114"/>
      <x:c r="L34" s="114"/>
      <x:c r="M34" s="114"/>
      <x:c r="N34" s="114"/>
      <x:c r="O34" s="114"/>
      <x:c r="P34" s="114"/>
      <x:c r="Q34" s="114"/>
    </x:row>
    <x:row r="35">
      <x:c r="A35" s="107" t="str">
        <x:v>Frequency</x:v>
      </x:c>
      <x:c r="B35" s="107" t="n">
        <x:v>1</x:v>
      </x:c>
      <x:c r="C35" s="107" t="n">
        <x:v>3</x:v>
      </x:c>
      <x:c r="D35" s="107" t="n">
        <x:v>5</x:v>
      </x:c>
      <x:c r="E35" s="107" t="n">
        <x:v>7</x:v>
      </x:c>
      <x:c r="F35" s="107" t="n">
        <x:v>9</x:v>
      </x:c>
      <x:c r="G35" s="107" t="n">
        <x:v>11</x:v>
      </x:c>
      <x:c r="H35" s="107" t="n">
        <x:v>13</x:v>
      </x:c>
      <x:c r="I35" s="107" t="n">
        <x:v>15</x:v>
      </x:c>
      <x:c r="J35" s="107" t="n">
        <x:v>17</x:v>
      </x:c>
      <x:c r="K35" s="107" t="n">
        <x:v>19</x:v>
      </x:c>
      <x:c r="L35" s="107" t="n">
        <x:v>21</x:v>
      </x:c>
      <x:c r="M35" s="107" t="n">
        <x:v>23</x:v>
      </x:c>
      <x:c r="N35" s="107" t="n">
        <x:v>25</x:v>
      </x:c>
      <x:c r="O35" s="107" t="n">
        <x:v>27</x:v>
      </x:c>
      <x:c r="P35" s="107" t="n">
        <x:v>29</x:v>
      </x:c>
    </x:row>
    <x:row r="36">
      <x:c r="A36" t="n">
        <x:v>100</x:v>
      </x:c>
      <x:c r="B36" s="61" t="n">
        <x:v>0.0128</x:v>
      </x:c>
      <x:c r="C36" s="61" t="n">
        <x:v>0.01274</x:v>
      </x:c>
      <x:c r="D36" s="61" t="n">
        <x:v>0.01507</x:v>
      </x:c>
      <x:c r="E36" s="61" t="n">
        <x:v>0.015</x:v>
      </x:c>
      <x:c r="F36" s="61" t="n">
        <x:v>0.01462</x:v>
      </x:c>
      <x:c r="G36" s="61" t="n">
        <x:v>0.01696</x:v>
      </x:c>
      <x:c r="H36" s="61" t="n">
        <x:v>0.04559</x:v>
      </x:c>
      <x:c r="I36" s="61" t="n">
        <x:v>0.05946</x:v>
      </x:c>
      <x:c r="J36" s="61" t="n">
        <x:v>0.0875</x:v>
      </x:c>
      <x:c r="K36" s="61" t="n">
        <x:v>0.10918</x:v>
      </x:c>
      <x:c r="L36" s="61" t="n">
        <x:v>0.13384</x:v>
      </x:c>
      <x:c r="M36" s="61" t="n">
        <x:v>0.1562</x:v>
      </x:c>
      <x:c r="N36" s="61" t="n">
        <x:v>0.16938</x:v>
      </x:c>
      <x:c r="O36" s="61" t="n">
        <x:v>0.21224</x:v>
      </x:c>
      <x:c r="P36" s="61" t="n">
        <x:v>0.26412</x:v>
      </x:c>
    </x:row>
    <x:row r="37">
      <x:c r="A37" t="n">
        <x:v>125</x:v>
      </x:c>
      <x:c r="B37" s="61" t="n">
        <x:v>0.01888</x:v>
      </x:c>
      <x:c r="C37" s="61" t="n">
        <x:v>0.01207</x:v>
      </x:c>
      <x:c r="D37" s="61" t="n">
        <x:v>0.02107</x:v>
      </x:c>
      <x:c r="E37" s="61" t="n">
        <x:v>0.02533</x:v>
      </x:c>
      <x:c r="F37" s="61" t="n">
        <x:v>0.05688</x:v>
      </x:c>
      <x:c r="G37" s="61" t="n">
        <x:v>0.08009</x:v>
      </x:c>
      <x:c r="H37" s="61" t="n">
        <x:v>0.09417</x:v>
      </x:c>
      <x:c r="I37" s="61" t="n">
        <x:v>0.13598</x:v>
      </x:c>
      <x:c r="J37" s="61" t="n">
        <x:v>0.15541</x:v>
      </x:c>
      <x:c r="K37" s="61" t="n">
        <x:v>0.18272</x:v>
      </x:c>
      <x:c r="L37" s="61" t="n">
        <x:v>0.20376</x:v>
      </x:c>
      <x:c r="M37" s="61" t="n">
        <x:v>0.24254</x:v>
      </x:c>
      <x:c r="N37" s="61" t="n">
        <x:v>0.26191</x:v>
      </x:c>
      <x:c r="O37" s="61" t="n">
        <x:v>0.29664</x:v>
      </x:c>
      <x:c r="P37" s="61" t="n">
        <x:v>0.35034</x:v>
      </x:c>
    </x:row>
    <x:row r="38">
      <x:c r="A38" t="n">
        <x:v>150</x:v>
      </x:c>
      <x:c r="B38" s="61" t="n">
        <x:v>0.01666</x:v>
      </x:c>
      <x:c r="C38" s="61" t="n">
        <x:v>0.01961</x:v>
      </x:c>
      <x:c r="D38" s="61" t="n">
        <x:v>0.04913</x:v>
      </x:c>
      <x:c r="E38" s="61" t="n">
        <x:v>0.07051</x:v>
      </x:c>
      <x:c r="F38" s="61" t="n">
        <x:v>0.12199</x:v>
      </x:c>
      <x:c r="G38" s="61" t="n">
        <x:v>0.1271</x:v>
      </x:c>
      <x:c r="H38" s="61" t="n">
        <x:v>0.18268</x:v>
      </x:c>
      <x:c r="I38" s="61" t="n">
        <x:v>0.2101</x:v>
      </x:c>
      <x:c r="J38" s="61" t="n">
        <x:v>0.24095</x:v>
      </x:c>
      <x:c r="K38" s="61" t="n">
        <x:v>0.27908</x:v>
      </x:c>
      <x:c r="L38" s="61" t="n">
        <x:v>0.32132</x:v>
      </x:c>
      <x:c r="M38" s="61" t="n">
        <x:v>0.35122</x:v>
      </x:c>
      <x:c r="N38" s="61" t="n">
        <x:v>0.40717</x:v>
      </x:c>
      <x:c r="O38" s="61" t="n">
        <x:v>0.42995</x:v>
      </x:c>
      <x:c r="P38" s="61" t="n">
        <x:v>0.4393</x:v>
      </x:c>
    </x:row>
    <x:row r="39">
      <x:c r="A39" t="n">
        <x:v>175</x:v>
      </x:c>
      <x:c r="B39" s="61" t="n">
        <x:v>0.01948</x:v>
      </x:c>
      <x:c r="C39" s="61" t="n">
        <x:v>0.04846</x:v>
      </x:c>
      <x:c r="D39" s="61" t="n">
        <x:v>0.05802</x:v>
      </x:c>
      <x:c r="E39" s="61" t="n">
        <x:v>0.06698</x:v>
      </x:c>
      <x:c r="F39" s="61" t="n">
        <x:v>0.14829</x:v>
      </x:c>
      <x:c r="G39" s="61" t="n">
        <x:v>0.19269</x:v>
      </x:c>
      <x:c r="H39" s="61" t="n">
        <x:v>0.20733</x:v>
      </x:c>
      <x:c r="I39" s="61" t="n">
        <x:v>0.25631</x:v>
      </x:c>
      <x:c r="J39" s="61" t="n">
        <x:v>0.30975</x:v>
      </x:c>
      <x:c r="K39" s="61" t="n">
        <x:v>0.34378</x:v>
      </x:c>
      <x:c r="L39" s="61" t="n">
        <x:v>0.40283</x:v>
      </x:c>
      <x:c r="M39" s="61" t="n">
        <x:v>0.43693</x:v>
      </x:c>
      <x:c r="N39" s="61" t="n">
        <x:v>0.49588</x:v>
      </x:c>
      <x:c r="O39" s="61" t="n">
        <x:v>0.53832</x:v>
      </x:c>
      <x:c r="P39" s="61" t="n">
        <x:v>0.5755</x:v>
      </x:c>
    </x:row>
    <x:row r="40">
      <x:c r="A40" t="n">
        <x:v>200</x:v>
      </x:c>
      <x:c r="B40" s="61" t="n">
        <x:v>0.01326</x:v>
      </x:c>
      <x:c r="C40" s="61" t="n">
        <x:v>0.04416</x:v>
      </x:c>
      <x:c r="D40" s="61" t="n">
        <x:v>0.06988</x:v>
      </x:c>
      <x:c r="E40" s="61" t="n">
        <x:v>0.15563</x:v>
      </x:c>
      <x:c r="F40" s="61" t="n">
        <x:v>0.20878</x:v>
      </x:c>
      <x:c r="G40" s="61" t="n">
        <x:v>0.30901</x:v>
      </x:c>
      <x:c r="H40" s="61" t="n">
        <x:v>0.38005</x:v>
      </x:c>
      <x:c r="I40" s="61" t="n">
        <x:v>0.43286</x:v>
      </x:c>
      <x:c r="J40" s="61" t="n">
        <x:v>0.50652</x:v>
      </x:c>
      <x:c r="K40" s="61" t="n">
        <x:v>0.56155</x:v>
      </x:c>
      <x:c r="L40" s="61" t="n">
        <x:v>0.62088</x:v>
      </x:c>
      <x:c r="M40" s="61" t="n">
        <x:v>0.75724</x:v>
      </x:c>
      <x:c r="N40" s="61" t="n">
        <x:v>0.78687</x:v>
      </x:c>
      <x:c r="O40" s="61" t="n">
        <x:v>0.84991</x:v>
      </x:c>
      <x:c r="P40" s="61" t="n">
        <x:v>1.13952</x:v>
      </x:c>
    </x:row>
    <x:row r="41">
      <x:c r="A41" t="n">
        <x:v>225</x:v>
      </x:c>
      <x:c r="B41" s="61" t="n">
        <x:v>0.05376</x:v>
      </x:c>
      <x:c r="C41" s="61" t="n">
        <x:v>0.06253</x:v>
      </x:c>
      <x:c r="D41" s="61" t="n">
        <x:v>0.05711</x:v>
      </x:c>
      <x:c r="E41" s="61" t="n">
        <x:v>0.0618</x:v>
      </x:c>
      <x:c r="F41" s="61" t="n">
        <x:v>0.18784</x:v>
      </x:c>
      <x:c r="G41" s="61" t="n">
        <x:v>0.26681</x:v>
      </x:c>
      <x:c r="H41" s="61" t="n">
        <x:v>0.38848</x:v>
      </x:c>
      <x:c r="I41" s="61" t="n">
        <x:v>0.47246</x:v>
      </x:c>
      <x:c r="J41" s="61" t="n">
        <x:v>0.55332</x:v>
      </x:c>
      <x:c r="K41" s="61" t="n">
        <x:v>0.66872</x:v>
      </x:c>
      <x:c r="L41" s="61" t="n">
        <x:v>0.75981</x:v>
      </x:c>
      <x:c r="M41" s="61" t="n">
        <x:v>0.80619</x:v>
      </x:c>
      <x:c r="N41" s="61" t="n">
        <x:v>0.90337</x:v>
      </x:c>
      <x:c r="O41" s="61" t="n">
        <x:v>0.93476</x:v>
      </x:c>
      <x:c r="P41" s="61" t="n">
        <x:v>1.01835</x:v>
      </x:c>
    </x:row>
    <x:row r="42">
      <x:c r="A42" t="n">
        <x:v>250</x:v>
      </x:c>
      <x:c r="B42" s="61" t="n">
        <x:v>0.01072</x:v>
      </x:c>
      <x:c r="C42" s="61" t="n">
        <x:v>0.01425</x:v>
      </x:c>
      <x:c r="D42" s="61" t="n">
        <x:v>0.03015</x:v>
      </x:c>
      <x:c r="E42" s="61" t="n">
        <x:v>0.052</x:v>
      </x:c>
      <x:c r="F42" s="61" t="n">
        <x:v>0.07101</x:v>
      </x:c>
      <x:c r="G42" s="61" t="n">
        <x:v>0.08913</x:v>
      </x:c>
      <x:c r="H42" s="61" t="n">
        <x:v>0.30589</x:v>
      </x:c>
      <x:c r="I42" s="61" t="n">
        <x:v>0.43746</x:v>
      </x:c>
      <x:c r="J42" s="61" t="n">
        <x:v>0.56918</x:v>
      </x:c>
      <x:c r="K42" s="61" t="n">
        <x:v>0.66409</x:v>
      </x:c>
      <x:c r="L42" s="61" t="n">
        <x:v>0.74832</x:v>
      </x:c>
      <x:c r="M42" s="61" t="n">
        <x:v>0.83043</x:v>
      </x:c>
      <x:c r="N42" s="61" t="n">
        <x:v>0.88713</x:v>
      </x:c>
      <x:c r="O42" s="61" t="n">
        <x:v>0.98155</x:v>
      </x:c>
      <x:c r="P42" s="61" t="n">
        <x:v>1.01189</x:v>
      </x:c>
    </x:row>
    <x:row r="43">
      <x:c r="A43" t="n">
        <x:v>268</x:v>
      </x:c>
      <x:c r="B43" s="61" t="n">
        <x:v>0.02339</x:v>
      </x:c>
      <x:c r="C43" s="61" t="n">
        <x:v>0.01632</x:v>
      </x:c>
      <x:c r="D43" s="61" t="n">
        <x:v>0.03035</x:v>
      </x:c>
      <x:c r="E43" s="61" t="n">
        <x:v>0.02911</x:v>
      </x:c>
      <x:c r="F43" s="61" t="n">
        <x:v>0.04186</x:v>
      </x:c>
      <x:c r="G43" s="61" t="n">
        <x:v>0.05258</x:v>
      </x:c>
      <x:c r="H43" s="61" t="n">
        <x:v>0.08629</x:v>
      </x:c>
      <x:c r="I43" s="61" t="n">
        <x:v>0.11563</x:v>
      </x:c>
      <x:c r="J43" s="61" t="n">
        <x:v>0.136</x:v>
      </x:c>
      <x:c r="K43" s="61" t="n">
        <x:v>0.13547</x:v>
      </x:c>
      <x:c r="L43" s="61" t="n">
        <x:v>0.15762</x:v>
      </x:c>
      <x:c r="M43" s="61" t="n">
        <x:v>0.18173</x:v>
      </x:c>
      <x:c r="N43" s="61" t="n">
        <x:v>0.24275</x:v>
      </x:c>
      <x:c r="O43" s="61" t="n">
        <x:v>0.289</x:v>
      </x:c>
      <x:c r="P43" s="61" t="n">
        <x:v>0.32707</x:v>
      </x:c>
    </x:row>
    <x:row r="44">
      <x:c r="A44" t="n">
        <x:v>270</x:v>
      </x:c>
      <x:c r="B44" s="61" t="n">
        <x:v>0.01631</x:v>
      </x:c>
      <x:c r="C44" s="61" t="n">
        <x:v>0.02342</x:v>
      </x:c>
      <x:c r="D44" s="61" t="n">
        <x:v>0.03456</x:v>
      </x:c>
      <x:c r="E44" s="61" t="n">
        <x:v>0.06715</x:v>
      </x:c>
      <x:c r="F44" s="61" t="n">
        <x:v>0.08289</x:v>
      </x:c>
      <x:c r="G44" s="61" t="n">
        <x:v>0.08926</x:v>
      </x:c>
      <x:c r="H44" s="61" t="n">
        <x:v>0.09631</x:v>
      </x:c>
      <x:c r="I44" s="61" t="n">
        <x:v>0.24639</x:v>
      </x:c>
      <x:c r="J44" s="61" t="n">
        <x:v>0.27509</x:v>
      </x:c>
      <x:c r="K44" s="61" t="n">
        <x:v>0.36195</x:v>
      </x:c>
      <x:c r="L44" s="61" t="n">
        <x:v>0.39895</x:v>
      </x:c>
      <x:c r="M44" s="61" t="n">
        <x:v>0.47867</x:v>
      </x:c>
      <x:c r="N44" s="61" t="n">
        <x:v>0.54685</x:v>
      </x:c>
      <x:c r="O44" s="61" t="n">
        <x:v>0.57536</x:v>
      </x:c>
      <x:c r="P44" s="61" t="n">
        <x:v>0.5961</x:v>
      </x:c>
    </x:row>
    <x:row r="45">
      <x:c r="A45" t="n">
        <x:v>275</x:v>
      </x:c>
      <x:c r="B45" s="61" t="n">
        <x:v>0.0146</x:v>
      </x:c>
      <x:c r="C45" s="61" t="n">
        <x:v>0.03277</x:v>
      </x:c>
      <x:c r="D45" s="61" t="n">
        <x:v>0.03283</x:v>
      </x:c>
      <x:c r="E45" s="61" t="n">
        <x:v>0.05801</x:v>
      </x:c>
      <x:c r="F45" s="61" t="n">
        <x:v>0.07955</x:v>
      </x:c>
      <x:c r="G45" s="61" t="n">
        <x:v>0.08777</x:v>
      </x:c>
      <x:c r="H45" s="61" t="n">
        <x:v>0.11154</x:v>
      </x:c>
      <x:c r="I45" s="61" t="n">
        <x:v>0.12168</x:v>
      </x:c>
      <x:c r="J45" s="61" t="n">
        <x:v>0.19333</x:v>
      </x:c>
      <x:c r="K45" s="61" t="n">
        <x:v>0.28376</x:v>
      </x:c>
      <x:c r="L45" s="61" t="n">
        <x:v>0.36237</x:v>
      </x:c>
      <x:c r="M45" s="61" t="n">
        <x:v>0.42623</x:v>
      </x:c>
      <x:c r="N45" s="61" t="n">
        <x:v>0.48748</x:v>
      </x:c>
      <x:c r="O45" s="61" t="n">
        <x:v>0.52788</x:v>
      </x:c>
      <x:c r="P45" s="61" t="n">
        <x:v>0.6399</x:v>
      </x:c>
    </x:row>
    <x:row r="46">
      <x:c r="A46" t="n">
        <x:v>300</x:v>
      </x:c>
      <x:c r="B46" s="61" t="n">
        <x:v>0.01328</x:v>
      </x:c>
      <x:c r="C46" s="61" t="n">
        <x:v>0.03951</x:v>
      </x:c>
      <x:c r="D46" s="61" t="n">
        <x:v>0.07394</x:v>
      </x:c>
      <x:c r="E46" s="61" t="n">
        <x:v>0.10661</x:v>
      </x:c>
      <x:c r="F46" s="61" t="n">
        <x:v>0.13504</x:v>
      </x:c>
      <x:c r="G46" s="61" t="n">
        <x:v>0.16745</x:v>
      </x:c>
      <x:c r="H46" s="61" t="n">
        <x:v>0.20634</x:v>
      </x:c>
      <x:c r="I46" s="61" t="n">
        <x:v>0.28069</x:v>
      </x:c>
      <x:c r="J46" s="61" t="n">
        <x:v>0.3259</x:v>
      </x:c>
      <x:c r="K46" s="61" t="n">
        <x:v>0.42393</x:v>
      </x:c>
      <x:c r="L46" s="61" t="n">
        <x:v>0.46736</x:v>
      </x:c>
      <x:c r="M46" s="61" t="n">
        <x:v>0.51351</x:v>
      </x:c>
      <x:c r="N46" s="61" t="n">
        <x:v>0.57549</x:v>
      </x:c>
      <x:c r="O46" s="61" t="n">
        <x:v>0.62073</x:v>
      </x:c>
      <x:c r="P46" s="61" t="n">
        <x:v>0.64799</x:v>
      </x:c>
    </x:row>
    <x:row r="47">
      <x:c r="A47" t="n">
        <x:v>325</x:v>
      </x:c>
      <x:c r="B47" s="61" t="n">
        <x:v>0.02537</x:v>
      </x:c>
      <x:c r="C47" s="61" t="n">
        <x:v>0.07229</x:v>
      </x:c>
      <x:c r="D47" s="61" t="n">
        <x:v>0.1123</x:v>
      </x:c>
      <x:c r="E47" s="61" t="n">
        <x:v>0.19228</x:v>
      </x:c>
      <x:c r="F47" s="61" t="n">
        <x:v>0.26357</x:v>
      </x:c>
      <x:c r="G47" s="61" t="n">
        <x:v>0.33424</x:v>
      </x:c>
      <x:c r="H47" s="61" t="n">
        <x:v>0.39601</x:v>
      </x:c>
      <x:c r="I47" s="61" t="n">
        <x:v>0.49996</x:v>
      </x:c>
      <x:c r="J47" s="61" t="n">
        <x:v>0.54262</x:v>
      </x:c>
      <x:c r="K47" s="61" t="n">
        <x:v>0.68368</x:v>
      </x:c>
      <x:c r="L47" s="61" t="n">
        <x:v>0.7506</x:v>
      </x:c>
      <x:c r="M47" s="61" t="n">
        <x:v>0.84963</x:v>
      </x:c>
      <x:c r="N47" s="61" t="n">
        <x:v>0.97178</x:v>
      </x:c>
      <x:c r="O47" s="61" t="n">
        <x:v>1.04108</x:v>
      </x:c>
      <x:c r="P47" s="61" t="n">
        <x:v>1.14749</x:v>
      </x:c>
    </x:row>
    <x:row r="49">
      <x:c r="A49" s="114" t="str">
        <x:v>Resultant amplitude (m/s²)</x:v>
      </x:c>
      <x:c r="B49" s="114"/>
      <x:c r="C49" s="114"/>
      <x:c r="D49" s="114"/>
      <x:c r="E49" s="114"/>
      <x:c r="F49" s="114"/>
      <x:c r="G49" s="114"/>
      <x:c r="H49" s="114"/>
      <x:c r="I49" s="114"/>
      <x:c r="J49" s="114"/>
      <x:c r="K49" s="114"/>
      <x:c r="L49" s="114"/>
      <x:c r="M49" s="114"/>
      <x:c r="N49" s="114"/>
      <x:c r="O49" s="114"/>
      <x:c r="P49" s="114"/>
      <x:c r="Q49" s="114"/>
    </x:row>
    <x:row r="50">
      <x:c r="A50" s="107" t="str">
        <x:v>Frequency</x:v>
      </x:c>
      <x:c r="B50" s="107" t="n">
        <x:v>1</x:v>
      </x:c>
      <x:c r="C50" s="107" t="n">
        <x:v>3</x:v>
      </x:c>
      <x:c r="D50" s="107" t="n">
        <x:v>5</x:v>
      </x:c>
      <x:c r="E50" s="107" t="n">
        <x:v>7</x:v>
      </x:c>
      <x:c r="F50" s="107" t="n">
        <x:v>9</x:v>
      </x:c>
      <x:c r="G50" s="107" t="n">
        <x:v>11</x:v>
      </x:c>
      <x:c r="H50" s="107" t="n">
        <x:v>13</x:v>
      </x:c>
      <x:c r="I50" s="107" t="n">
        <x:v>15</x:v>
      </x:c>
      <x:c r="J50" s="107" t="n">
        <x:v>17</x:v>
      </x:c>
      <x:c r="K50" s="107" t="n">
        <x:v>19</x:v>
      </x:c>
      <x:c r="L50" s="107" t="n">
        <x:v>21</x:v>
      </x:c>
      <x:c r="M50" s="107" t="n">
        <x:v>23</x:v>
      </x:c>
      <x:c r="N50" s="107" t="n">
        <x:v>25</x:v>
      </x:c>
      <x:c r="O50" s="107" t="n">
        <x:v>27</x:v>
      </x:c>
      <x:c r="P50" s="107" t="n">
        <x:v>29</x:v>
      </x:c>
    </x:row>
    <x:row r="51">
      <x:c r="A51" t="n">
        <x:v>100</x:v>
      </x:c>
      <x:c r="B51" s="61" t="n">
        <x:v>0.04064</x:v>
      </x:c>
      <x:c r="C51" s="61" t="n">
        <x:v>0.02585</x:v>
      </x:c>
      <x:c r="D51" s="61" t="n">
        <x:v>0.02764</x:v>
      </x:c>
      <x:c r="E51" s="61" t="n">
        <x:v>0.02912</x:v>
      </x:c>
      <x:c r="F51" s="61" t="n">
        <x:v>0.03417</x:v>
      </x:c>
      <x:c r="G51" s="61" t="n">
        <x:v>0.03466</x:v>
      </x:c>
      <x:c r="H51" s="61" t="n">
        <x:v>0.35021</x:v>
      </x:c>
      <x:c r="I51" s="61" t="n">
        <x:v>0.4079</x:v>
      </x:c>
      <x:c r="J51" s="61" t="n">
        <x:v>0.574</x:v>
      </x:c>
      <x:c r="K51" s="61" t="n">
        <x:v>0.772</x:v>
      </x:c>
      <x:c r="L51" s="61" t="n">
        <x:v>0.92049</x:v>
      </x:c>
      <x:c r="M51" s="61" t="n">
        <x:v>1.05316</x:v>
      </x:c>
      <x:c r="N51" s="61" t="n">
        <x:v>1.13499</x:v>
      </x:c>
      <x:c r="O51" s="61" t="n">
        <x:v>1.24</x:v>
      </x:c>
      <x:c r="P51" s="61" t="n">
        <x:v>1.42394</x:v>
      </x:c>
    </x:row>
    <x:row r="52">
      <x:c r="A52" t="n">
        <x:v>125</x:v>
      </x:c>
      <x:c r="B52" s="61" t="n">
        <x:v>0.03584</x:v>
      </x:c>
      <x:c r="C52" s="61" t="n">
        <x:v>0.03125</x:v>
      </x:c>
      <x:c r="D52" s="61" t="n">
        <x:v>0.04451</x:v>
      </x:c>
      <x:c r="E52" s="61" t="n">
        <x:v>0.17252</x:v>
      </x:c>
      <x:c r="F52" s="61" t="n">
        <x:v>0.36124</x:v>
      </x:c>
      <x:c r="G52" s="61" t="n">
        <x:v>0.51596</x:v>
      </x:c>
      <x:c r="H52" s="61" t="n">
        <x:v>0.75088</x:v>
      </x:c>
      <x:c r="I52" s="61" t="n">
        <x:v>0.91695</x:v>
      </x:c>
      <x:c r="J52" s="61" t="n">
        <x:v>1.0779</x:v>
      </x:c>
      <x:c r="K52" s="61" t="n">
        <x:v>1.25116</x:v>
      </x:c>
      <x:c r="L52" s="61" t="n">
        <x:v>1.40933</x:v>
      </x:c>
      <x:c r="M52" s="61" t="n">
        <x:v>1.60713</x:v>
      </x:c>
      <x:c r="N52" s="61" t="n">
        <x:v>1.76444</x:v>
      </x:c>
      <x:c r="O52" s="61" t="n">
        <x:v>1.99207</x:v>
      </x:c>
      <x:c r="P52" s="61" t="n">
        <x:v>2.22569</x:v>
      </x:c>
    </x:row>
    <x:row r="53">
      <x:c r="A53" t="n">
        <x:v>150</x:v>
      </x:c>
      <x:c r="B53" s="61" t="n">
        <x:v>0.02773</x:v>
      </x:c>
      <x:c r="C53" s="61" t="n">
        <x:v>0.06723</x:v>
      </x:c>
      <x:c r="D53" s="61" t="n">
        <x:v>0.20845</x:v>
      </x:c>
      <x:c r="E53" s="61" t="n">
        <x:v>0.49244</x:v>
      </x:c>
      <x:c r="F53" s="61" t="n">
        <x:v>0.69546</x:v>
      </x:c>
      <x:c r="G53" s="61" t="n">
        <x:v>0.92831</x:v>
      </x:c>
      <x:c r="H53" s="61" t="n">
        <x:v>1.1688</x:v>
      </x:c>
      <x:c r="I53" s="61" t="n">
        <x:v>1.47562</x:v>
      </x:c>
      <x:c r="J53" s="61" t="n">
        <x:v>1.76134</x:v>
      </x:c>
      <x:c r="K53" s="61" t="n">
        <x:v>2.06075</x:v>
      </x:c>
      <x:c r="L53" s="61" t="n">
        <x:v>2.30636</x:v>
      </x:c>
      <x:c r="M53" s="61" t="n">
        <x:v>2.54905</x:v>
      </x:c>
      <x:c r="N53" s="61" t="n">
        <x:v>2.82207</x:v>
      </x:c>
      <x:c r="O53" s="61" t="n">
        <x:v>3.09174</x:v>
      </x:c>
      <x:c r="P53" s="61" t="n">
        <x:v>3.42422</x:v>
      </x:c>
    </x:row>
    <x:row r="54">
      <x:c r="A54" t="n">
        <x:v>175</x:v>
      </x:c>
      <x:c r="B54" s="61" t="n">
        <x:v>0.04394</x:v>
      </x:c>
      <x:c r="C54" s="61" t="n">
        <x:v>0.09119</x:v>
      </x:c>
      <x:c r="D54" s="61" t="n">
        <x:v>0.15203</x:v>
      </x:c>
      <x:c r="E54" s="61" t="n">
        <x:v>0.32592</x:v>
      </x:c>
      <x:c r="F54" s="61" t="n">
        <x:v>0.78309</x:v>
      </x:c>
      <x:c r="G54" s="61" t="n">
        <x:v>1.2683</x:v>
      </x:c>
      <x:c r="H54" s="61" t="n">
        <x:v>1.77003</x:v>
      </x:c>
      <x:c r="I54" s="61" t="n">
        <x:v>2.25961</x:v>
      </x:c>
      <x:c r="J54" s="61" t="n">
        <x:v>2.68292</x:v>
      </x:c>
      <x:c r="K54" s="61" t="n">
        <x:v>3.18042</x:v>
      </x:c>
      <x:c r="L54" s="61" t="n">
        <x:v>3.59053</x:v>
      </x:c>
      <x:c r="M54" s="61" t="n">
        <x:v>3.96682</x:v>
      </x:c>
      <x:c r="N54" s="61" t="n">
        <x:v>4.36211</x:v>
      </x:c>
      <x:c r="O54" s="61" t="n">
        <x:v>4.78381</x:v>
      </x:c>
      <x:c r="P54" s="61" t="n">
        <x:v>5.21566</x:v>
      </x:c>
    </x:row>
    <x:row r="55">
      <x:c r="A55" t="n">
        <x:v>200</x:v>
      </x:c>
      <x:c r="B55" s="61" t="n">
        <x:v>0.03185</x:v>
      </x:c>
      <x:c r="C55" s="61" t="n">
        <x:v>0.12639</x:v>
      </x:c>
      <x:c r="D55" s="61" t="n">
        <x:v>0.43612</x:v>
      </x:c>
      <x:c r="E55" s="61" t="n">
        <x:v>1.16247</x:v>
      </x:c>
      <x:c r="F55" s="61" t="n">
        <x:v>1.78294</x:v>
      </x:c>
      <x:c r="G55" s="61" t="n">
        <x:v>2.47828</x:v>
      </x:c>
      <x:c r="H55" s="61" t="n">
        <x:v>2.98723</x:v>
      </x:c>
      <x:c r="I55" s="61" t="n">
        <x:v>3.66316</x:v>
      </x:c>
      <x:c r="J55" s="61" t="n">
        <x:v>4.21214</x:v>
      </x:c>
      <x:c r="K55" s="61" t="n">
        <x:v>4.78014</x:v>
      </x:c>
      <x:c r="L55" s="61" t="n">
        <x:v>5.3455</x:v>
      </x:c>
      <x:c r="M55" s="61" t="n">
        <x:v>5.9544</x:v>
      </x:c>
      <x:c r="N55" s="61" t="n">
        <x:v>6.57073</x:v>
      </x:c>
      <x:c r="O55" s="61" t="n">
        <x:v>7.1493</x:v>
      </x:c>
      <x:c r="P55" s="61" t="n">
        <x:v>8.42012</x:v>
      </x:c>
    </x:row>
    <x:row r="56">
      <x:c r="A56" t="n">
        <x:v>225</x:v>
      </x:c>
      <x:c r="B56" s="61" t="n">
        <x:v>0.067</x:v>
      </x:c>
      <x:c r="C56" s="61" t="n">
        <x:v>0.15699</x:v>
      </x:c>
      <x:c r="D56" s="61" t="n">
        <x:v>0.28814</x:v>
      </x:c>
      <x:c r="E56" s="61" t="n">
        <x:v>0.45876</x:v>
      </x:c>
      <x:c r="F56" s="61" t="n">
        <x:v>1.49877</x:v>
      </x:c>
      <x:c r="G56" s="61" t="n">
        <x:v>2.41962</x:v>
      </x:c>
      <x:c r="H56" s="61" t="n">
        <x:v>3.42504</x:v>
      </x:c>
      <x:c r="I56" s="61" t="n">
        <x:v>4.45143</x:v>
      </x:c>
      <x:c r="J56" s="61" t="n">
        <x:v>5.49719</x:v>
      </x:c>
      <x:c r="K56" s="61" t="n">
        <x:v>6.55481</x:v>
      </x:c>
      <x:c r="L56" s="61" t="n">
        <x:v>7.48197</x:v>
      </x:c>
      <x:c r="M56" s="61" t="n">
        <x:v>8.33426</x:v>
      </x:c>
      <x:c r="N56" s="61" t="n">
        <x:v>9.17101</x:v>
      </x:c>
      <x:c r="O56" s="61" t="n">
        <x:v>10.00634</x:v>
      </x:c>
      <x:c r="P56" s="61" t="n">
        <x:v>10.89964</x:v>
      </x:c>
    </x:row>
    <x:row r="57">
      <x:c r="A57" t="n">
        <x:v>250</x:v>
      </x:c>
      <x:c r="B57" s="61" t="n">
        <x:v>0.03436</x:v>
      </x:c>
      <x:c r="C57" s="61" t="n">
        <x:v>0.18126</x:v>
      </x:c>
      <x:c r="D57" s="61" t="n">
        <x:v>0.40559</x:v>
      </x:c>
      <x:c r="E57" s="61" t="n">
        <x:v>0.63802</x:v>
      </x:c>
      <x:c r="F57" s="61" t="n">
        <x:v>0.85653</x:v>
      </x:c>
      <x:c r="G57" s="61" t="n">
        <x:v>1.14271</x:v>
      </x:c>
      <x:c r="H57" s="61" t="n">
        <x:v>2.66177</x:v>
      </x:c>
      <x:c r="I57" s="61" t="n">
        <x:v>3.83189</x:v>
      </x:c>
      <x:c r="J57" s="61" t="n">
        <x:v>4.89341</x:v>
      </x:c>
      <x:c r="K57" s="61" t="n">
        <x:v>5.73748</x:v>
      </x:c>
      <x:c r="L57" s="61" t="n">
        <x:v>6.55388</x:v>
      </x:c>
      <x:c r="M57" s="61" t="n">
        <x:v>7.27976</x:v>
      </x:c>
      <x:c r="N57" s="61" t="n">
        <x:v>7.90233</x:v>
      </x:c>
      <x:c r="O57" s="61" t="n">
        <x:v>8.65847</x:v>
      </x:c>
      <x:c r="P57" s="61" t="n">
        <x:v>9.13253</x:v>
      </x:c>
    </x:row>
    <x:row r="58">
      <x:c r="A58" t="n">
        <x:v>268</x:v>
      </x:c>
      <x:c r="B58" s="61" t="n">
        <x:v>0.04591</x:v>
      </x:c>
      <x:c r="C58" s="61" t="n">
        <x:v>0.23715</x:v>
      </x:c>
      <x:c r="D58" s="61" t="n">
        <x:v>0.49672</x:v>
      </x:c>
      <x:c r="E58" s="61" t="n">
        <x:v>0.80907</x:v>
      </x:c>
      <x:c r="F58" s="61" t="n">
        <x:v>1.07596</x:v>
      </x:c>
      <x:c r="G58" s="61" t="n">
        <x:v>1.38499</x:v>
      </x:c>
      <x:c r="H58" s="61" t="n">
        <x:v>1.68556</x:v>
      </x:c>
      <x:c r="I58" s="61" t="n">
        <x:v>2.00736</x:v>
      </x:c>
      <x:c r="J58" s="61" t="n">
        <x:v>2.30624</x:v>
      </x:c>
      <x:c r="K58" s="61" t="n">
        <x:v>2.62847</x:v>
      </x:c>
      <x:c r="L58" s="61" t="n">
        <x:v>2.95182</x:v>
      </x:c>
      <x:c r="M58" s="61" t="n">
        <x:v>3.33781</x:v>
      </x:c>
      <x:c r="N58" s="61" t="n">
        <x:v>3.96564</x:v>
      </x:c>
      <x:c r="O58" s="61" t="n">
        <x:v>4.58428</x:v>
      </x:c>
      <x:c r="P58" s="61" t="n">
        <x:v>5.25905</x:v>
      </x:c>
    </x:row>
    <x:row r="59">
      <x:c r="A59" t="n">
        <x:v>270</x:v>
      </x:c>
      <x:c r="B59" s="61" t="n">
        <x:v>0.04503</x:v>
      </x:c>
      <x:c r="C59" s="61" t="n">
        <x:v>0.25002</x:v>
      </x:c>
      <x:c r="D59" s="61" t="n">
        <x:v>0.5695</x:v>
      </x:c>
      <x:c r="E59" s="61" t="n">
        <x:v>0.87908</x:v>
      </x:c>
      <x:c r="F59" s="61" t="n">
        <x:v>1.19487</x:v>
      </x:c>
      <x:c r="G59" s="61" t="n">
        <x:v>1.50555</x:v>
      </x:c>
      <x:c r="H59" s="61" t="n">
        <x:v>1.87026</x:v>
      </x:c>
      <x:c r="I59" s="61" t="n">
        <x:v>2.52202</x:v>
      </x:c>
      <x:c r="J59" s="61" t="n">
        <x:v>3.33635</x:v>
      </x:c>
      <x:c r="K59" s="61" t="n">
        <x:v>3.98122</x:v>
      </x:c>
      <x:c r="L59" s="61" t="n">
        <x:v>4.64799</x:v>
      </x:c>
      <x:c r="M59" s="61" t="n">
        <x:v>5.25247</x:v>
      </x:c>
      <x:c r="N59" s="61" t="n">
        <x:v>5.8738</x:v>
      </x:c>
      <x:c r="O59" s="61" t="n">
        <x:v>6.46097</x:v>
      </x:c>
      <x:c r="P59" s="61" t="n">
        <x:v>7.0583</x:v>
      </x:c>
    </x:row>
    <x:row r="60">
      <x:c r="A60" t="n">
        <x:v>275</x:v>
      </x:c>
      <x:c r="B60" s="61" t="n">
        <x:v>0.03302</x:v>
      </x:c>
      <x:c r="C60" s="61" t="n">
        <x:v>0.29519</x:v>
      </x:c>
      <x:c r="D60" s="61" t="n">
        <x:v>0.60916</x:v>
      </x:c>
      <x:c r="E60" s="61" t="n">
        <x:v>0.9679</x:v>
      </x:c>
      <x:c r="F60" s="61" t="n">
        <x:v>1.32075</x:v>
      </x:c>
      <x:c r="G60" s="61" t="n">
        <x:v>1.66732</x:v>
      </x:c>
      <x:c r="H60" s="61" t="n">
        <x:v>2.01335</x:v>
      </x:c>
      <x:c r="I60" s="61" t="n">
        <x:v>2.38568</x:v>
      </x:c>
      <x:c r="J60" s="61" t="n">
        <x:v>2.82653</x:v>
      </x:c>
      <x:c r="K60" s="61" t="n">
        <x:v>3.56587</x:v>
      </x:c>
      <x:c r="L60" s="61" t="n">
        <x:v>4.21082</x:v>
      </x:c>
      <x:c r="M60" s="61" t="n">
        <x:v>4.82368</x:v>
      </x:c>
      <x:c r="N60" s="61" t="n">
        <x:v>5.40263</x:v>
      </x:c>
      <x:c r="O60" s="61" t="n">
        <x:v>6.14296</x:v>
      </x:c>
      <x:c r="P60" s="61" t="n">
        <x:v>6.80275</x:v>
      </x:c>
    </x:row>
    <x:row r="61">
      <x:c r="A61" t="n">
        <x:v>300</x:v>
      </x:c>
      <x:c r="B61" s="61" t="n">
        <x:v>0.03289</x:v>
      </x:c>
      <x:c r="C61" s="61" t="n">
        <x:v>0.50386</x:v>
      </x:c>
      <x:c r="D61" s="61" t="n">
        <x:v>1.08882</x:v>
      </x:c>
      <x:c r="E61" s="61" t="n">
        <x:v>1.66512</x:v>
      </x:c>
      <x:c r="F61" s="61" t="n">
        <x:v>2.15204</x:v>
      </x:c>
      <x:c r="G61" s="61" t="n">
        <x:v>2.84166</x:v>
      </x:c>
      <x:c r="H61" s="61" t="n">
        <x:v>3.63399</x:v>
      </x:c>
      <x:c r="I61" s="61" t="n">
        <x:v>4.47303</x:v>
      </x:c>
      <x:c r="J61" s="61" t="n">
        <x:v>5.28747</x:v>
      </x:c>
      <x:c r="K61" s="61" t="n">
        <x:v>6.2134</x:v>
      </x:c>
      <x:c r="L61" s="61" t="n">
        <x:v>6.97545</x:v>
      </x:c>
      <x:c r="M61" s="61" t="n">
        <x:v>7.68863</x:v>
      </x:c>
      <x:c r="N61" s="61" t="n">
        <x:v>8.53639</x:v>
      </x:c>
      <x:c r="O61" s="61" t="n">
        <x:v>9.27952</x:v>
      </x:c>
      <x:c r="P61" s="61" t="n">
        <x:v>10.10794</x:v>
      </x:c>
    </x:row>
    <x:row r="62">
      <x:c r="A62" t="n">
        <x:v>325</x:v>
      </x:c>
      <x:c r="B62" s="61" t="n">
        <x:v>0.04213</x:v>
      </x:c>
      <x:c r="C62" s="61" t="n">
        <x:v>0.72233</x:v>
      </x:c>
      <x:c r="D62" s="61" t="n">
        <x:v>1.4157</x:v>
      </x:c>
      <x:c r="E62" s="61" t="n">
        <x:v>2.1259</x:v>
      </x:c>
      <x:c r="F62" s="61" t="n">
        <x:v>3.28604</x:v>
      </x:c>
      <x:c r="G62" s="61" t="n">
        <x:v>4.48336</x:v>
      </x:c>
      <x:c r="H62" s="61" t="n">
        <x:v>5.63488</x:v>
      </x:c>
      <x:c r="I62" s="61" t="n">
        <x:v>6.85634</x:v>
      </x:c>
      <x:c r="J62" s="61" t="n">
        <x:v>8.02512</x:v>
      </x:c>
      <x:c r="K62" s="61" t="n">
        <x:v>9.29901</x:v>
      </x:c>
      <x:c r="L62" s="61" t="n">
        <x:v>10.51794</x:v>
      </x:c>
      <x:c r="M62" s="61" t="n">
        <x:v>11.73016</x:v>
      </x:c>
      <x:c r="N62" s="61" t="n">
        <x:v>13.06217</x:v>
      </x:c>
      <x:c r="O62" s="61" t="n">
        <x:v>14.25129</x:v>
      </x:c>
      <x:c r="P62" s="61" t="n">
        <x:v>15.04477</x:v>
      </x:c>
    </x:row>
  </x:sheetData>
  <x:mergeCells>
    <x:mergeCell ref="A1:Q1"/>
    <x:mergeCell ref="A2:Q2"/>
    <x:mergeCell ref="A4:Q4"/>
    <x:mergeCell ref="A19:Q19"/>
    <x:mergeCell ref="A34:Q34"/>
    <x:mergeCell ref="A49:Q49"/>
  </x:mergeCells>
  <x:pageMargins left="0.7" right="0.7" top="0.75" bottom="0.75" header="0.3" footer="0.3"/>
</x:worksheet>
</file>

<file path=xl/worksheets/sheet20.xml><?xml version="1.0" encoding="utf-8"?>
<x:worksheet xmlns:x="http://schemas.openxmlformats.org/spreadsheetml/2006/main">
  <x:sheetFormatPr defaultRowHeight="15"/>
  <x:cols>
    <x:col min="12" max="12" width="60" hidden="0" customWidth="1"/>
  </x:cols>
  <x:sheetData>
    <x:row r="1">
      <x:c r="A1" s="99" t="str">
        <x:v>Consistency check: previous DAC11–20 sweep vs new full-range sweep</x:v>
      </x:c>
      <x:c r="B1" s="99"/>
      <x:c r="C1" s="99"/>
      <x:c r="D1" s="99"/>
      <x:c r="E1" s="99"/>
      <x:c r="F1" s="99"/>
      <x:c r="G1" s="99"/>
      <x:c r="H1" s="99"/>
      <x:c r="I1" s="99"/>
      <x:c r="J1" s="99"/>
      <x:c r="K1" s="99"/>
      <x:c r="L1" s="99"/>
    </x:row>
    <x:row r="2">
      <x:c r="A2" s="102" t="str">
        <x:v>Comparison uses common DAC values 11, 13, 15, 17 and 19. Correlation quantifies curve-shape agreement. Median new/old ratio quantifies absolute gain change. High correlation with a ratio far from 1 means the trend is repeated but the absolute transfer gain changed.</x:v>
      </x:c>
      <x:c r="B2" s="102"/>
      <x:c r="C2" s="102"/>
      <x:c r="D2" s="102"/>
      <x:c r="E2" s="102"/>
      <x:c r="F2" s="102"/>
      <x:c r="G2" s="102"/>
      <x:c r="H2" s="102"/>
      <x:c r="I2" s="102"/>
      <x:c r="J2" s="102"/>
      <x:c r="K2" s="102"/>
      <x:c r="L2" s="102"/>
    </x:row>
    <x:row r="4">
      <x:c r="A4" s="107" t="str">
        <x:v>Freq Hz</x:v>
      </x:c>
      <x:c r="B4" s="107" t="str">
        <x:v>Total corr</x:v>
      </x:c>
      <x:c r="C4" s="107" t="str">
        <x:v>Total median new/old</x:v>
      </x:c>
      <x:c r="D4" s="107" t="str">
        <x:v>Z corr</x:v>
      </x:c>
      <x:c r="E4" s="107" t="str">
        <x:v>Z median new/old</x:v>
      </x:c>
      <x:c r="F4" s="107" t="str">
        <x:v>Y corr</x:v>
      </x:c>
      <x:c r="G4" s="107" t="str">
        <x:v>Y median new/old</x:v>
      </x:c>
      <x:c r="H4" s="107" t="str">
        <x:v>X corr</x:v>
      </x:c>
      <x:c r="I4" s="107" t="str">
        <x:v>X median new/old</x:v>
      </x:c>
      <x:c r="J4" s="107" t="str">
        <x:v>Prior dominance</x:v>
      </x:c>
      <x:c r="K4" s="107" t="str">
        <x:v>Full-sweep dominance</x:v>
      </x:c>
      <x:c r="L4" s="107" t="str">
        <x:v>Interpretation</x:v>
      </x:c>
    </x:row>
    <x:row r="5">
      <x:c r="A5" t="n">
        <x:v>100</x:v>
      </x:c>
      <x:c r="B5" s="61" t="n">
        <x:v>0.9597731158282924</x:v>
      </x:c>
      <x:c r="C5" s="61" t="n">
        <x:v>1.6262658480184993</x:v>
      </x:c>
      <x:c r="D5" s="61" t="n">
        <x:v>0.9645383287610019</x:v>
      </x:c>
      <x:c r="E5" s="61" t="n">
        <x:v>1.6353313860204879</x:v>
      </x:c>
      <x:c r="F5" s="61" t="n">
        <x:v>0.8133219653422081</x:v>
      </x:c>
      <x:c r="G5" s="61" t="n">
        <x:v>2.774183514774495</x:v>
      </x:c>
      <x:c r="H5" s="61" t="n">
        <x:v>0.9717546882061249</x:v>
      </x:c>
      <x:c r="I5" s="61" t="n">
        <x:v>1.1139003372049456</x:v>
      </x:c>
      <x:c r="J5" t="str">
        <x:v>ZZZZZ</x:v>
      </x:c>
      <x:c r="K5" t="str">
        <x:v>ZZZZZ</x:v>
      </x:c>
      <x:c r="L5" s="29" t="str">
        <x:v>Strong shape agreement, but absolute gain changed substantially between sessions.</x:v>
      </x:c>
    </x:row>
    <x:row r="6">
      <x:c r="A6" t="n">
        <x:v>125</x:v>
      </x:c>
      <x:c r="B6" s="61" t="n">
        <x:v>0.9654111382526654</x:v>
      </x:c>
      <x:c r="C6" s="61" t="n">
        <x:v>4.1318943763518385</x:v>
      </x:c>
      <x:c r="D6" s="61" t="n">
        <x:v>0.966125192264498</x:v>
      </x:c>
      <x:c r="E6" s="61" t="n">
        <x:v>4.234106529209622</x:v>
      </x:c>
      <x:c r="F6" s="61" t="n">
        <x:v>-0.05840232141645637</x:v>
      </x:c>
      <x:c r="G6" s="61" t="n">
        <x:v>3.5747153148965842</x:v>
      </x:c>
      <x:c r="H6" s="61" t="n">
        <x:v>0.902887846912628</x:v>
      </x:c>
      <x:c r="I6" s="61" t="n">
        <x:v>2.705743243243243</x:v>
      </x:c>
      <x:c r="J6" t="str">
        <x:v>ZZZZZ</x:v>
      </x:c>
      <x:c r="K6" t="str">
        <x:v>ZZZZZ</x:v>
      </x:c>
      <x:c r="L6" s="29" t="str">
        <x:v>Strong shape agreement, but absolute gain changed substantially between sessions.</x:v>
      </x:c>
    </x:row>
    <x:row r="7">
      <x:c r="A7" t="n">
        <x:v>150</x:v>
      </x:c>
      <x:c r="B7" s="61" t="n">
        <x:v>0.9713788649473897</x:v>
      </x:c>
      <x:c r="C7" s="61" t="n">
        <x:v>3.7341853035143773</x:v>
      </x:c>
      <x:c r="D7" s="61" t="n">
        <x:v>0.9695313463283611</x:v>
      </x:c>
      <x:c r="E7" s="61" t="n">
        <x:v>3.938213094611199</x:v>
      </x:c>
      <x:c r="F7" s="61" t="n">
        <x:v>0.6080328500029671</x:v>
      </x:c>
      <x:c r="G7" s="61" t="n">
        <x:v>3.1571877679336953</x:v>
      </x:c>
      <x:c r="H7" s="61" t="n">
        <x:v>0.979841603086675</x:v>
      </x:c>
      <x:c r="I7" s="61" t="n">
        <x:v>3.7183641975308643</x:v>
      </x:c>
      <x:c r="J7" t="str">
        <x:v>ZZZZZ</x:v>
      </x:c>
      <x:c r="K7" t="str">
        <x:v>ZZZZZ</x:v>
      </x:c>
      <x:c r="L7" s="29" t="str">
        <x:v>Strong shape agreement, but absolute gain changed substantially between sessions.</x:v>
      </x:c>
    </x:row>
    <x:row r="8">
      <x:c r="A8" t="n">
        <x:v>175</x:v>
      </x:c>
      <x:c r="B8" s="61" t="n">
        <x:v>0.9749954013127876</x:v>
      </x:c>
      <x:c r="C8" s="61" t="n">
        <x:v>5.3947881743370925</x:v>
      </x:c>
      <x:c r="D8" s="61" t="n">
        <x:v>0.9642613826062254</x:v>
      </x:c>
      <x:c r="E8" s="61" t="n">
        <x:v>5.946438840055861</x:v>
      </x:c>
      <x:c r="F8" s="61" t="n">
        <x:v>0.9382563261349262</x:v>
      </x:c>
      <x:c r="G8" s="61" t="n">
        <x:v>3.025842816122514</x:v>
      </x:c>
      <x:c r="H8" s="61" t="n">
        <x:v>0.8542788014913503</x:v>
      </x:c>
      <x:c r="I8" s="61" t="n">
        <x:v>3.9088118249005115</x:v>
      </x:c>
      <x:c r="J8" t="str">
        <x:v>ZZZZZ</x:v>
      </x:c>
      <x:c r="K8" t="str">
        <x:v>ZZZZZ</x:v>
      </x:c>
      <x:c r="L8" s="29" t="str">
        <x:v>Strong shape agreement, but absolute gain changed substantially between sessions.</x:v>
      </x:c>
    </x:row>
    <x:row r="9">
      <x:c r="A9" t="n">
        <x:v>200</x:v>
      </x:c>
      <x:c r="B9" s="61" t="n">
        <x:v>0.9883381522276158</x:v>
      </x:c>
      <x:c r="C9" s="61" t="n">
        <x:v>6.8015255009107465</x:v>
      </x:c>
      <x:c r="D9" s="61" t="n">
        <x:v>0.9892480692279898</x:v>
      </x:c>
      <x:c r="E9" s="61" t="n">
        <x:v>7.556959268133304</x:v>
      </x:c>
      <x:c r="F9" s="61" t="n">
        <x:v>0.9831752499423007</x:v>
      </x:c>
      <x:c r="G9" s="61" t="n">
        <x:v>3.725277311913379</x:v>
      </x:c>
      <x:c r="H9" s="61" t="n">
        <x:v>0.9340788080344625</x:v>
      </x:c>
      <x:c r="I9" s="61" t="n">
        <x:v>6.132367533240723</x:v>
      </x:c>
      <x:c r="J9" t="str">
        <x:v>ZZZZZ</x:v>
      </x:c>
      <x:c r="K9" t="str">
        <x:v>ZZZZZ</x:v>
      </x:c>
      <x:c r="L9" s="29" t="str">
        <x:v>Strong shape agreement, but absolute gain changed substantially between sessions.</x:v>
      </x:c>
    </x:row>
    <x:row r="10">
      <x:c r="A10" t="n">
        <x:v>225</x:v>
      </x:c>
      <x:c r="B10" s="61" t="n">
        <x:v>0.9998964354409835</x:v>
      </x:c>
      <x:c r="C10" s="61" t="n">
        <x:v>4.375772886787445</x:v>
      </x:c>
      <x:c r="D10" s="61" t="n">
        <x:v>0.999521492542257</x:v>
      </x:c>
      <x:c r="E10" s="61" t="n">
        <x:v>5.136155662099346</x:v>
      </x:c>
      <x:c r="F10" s="61" t="n">
        <x:v>0.9943454679403196</x:v>
      </x:c>
      <x:c r="G10" s="61" t="n">
        <x:v>2.2619637523757805</x:v>
      </x:c>
      <x:c r="H10" s="61" t="n">
        <x:v>0.9652486920707624</x:v>
      </x:c>
      <x:c r="I10" s="61" t="n">
        <x:v>4.296262617077384</x:v>
      </x:c>
      <x:c r="J10" t="str">
        <x:v>ZZZZZ</x:v>
      </x:c>
      <x:c r="K10" t="str">
        <x:v>ZZZZZ</x:v>
      </x:c>
      <x:c r="L10" s="29" t="str">
        <x:v>Strong shape agreement, but absolute gain changed substantially between sessions.</x:v>
      </x:c>
    </x:row>
    <x:row r="11">
      <x:c r="A11" t="n">
        <x:v>250</x:v>
      </x:c>
      <x:c r="B11" s="61" t="n">
        <x:v>0.9930551610067121</x:v>
      </x:c>
      <x:c r="C11" s="61" t="n">
        <x:v>2.526448694872454</x:v>
      </x:c>
      <x:c r="D11" s="61" t="n">
        <x:v>0.9841842885787667</x:v>
      </x:c>
      <x:c r="E11" s="61" t="n">
        <x:v>3.307351197748396</x:v>
      </x:c>
      <x:c r="F11" s="61" t="n">
        <x:v>0.9672831186293555</x:v>
      </x:c>
      <x:c r="G11" s="61" t="n">
        <x:v>1.0341855453963078</x:v>
      </x:c>
      <x:c r="H11" s="61" t="n">
        <x:v>0.9948535143038884</x:v>
      </x:c>
      <x:c r="I11" s="61" t="n">
        <x:v>3.314090909090909</x:v>
      </x:c>
      <x:c r="J11" t="str">
        <x:v>ZZZZZ</x:v>
      </x:c>
      <x:c r="K11" t="str">
        <x:v>ZZZZZ</x:v>
      </x:c>
      <x:c r="L11" s="29" t="str">
        <x:v>Strong shape agreement, but absolute gain changed substantially between sessions.</x:v>
      </x:c>
    </x:row>
    <x:row r="12">
      <x:c r="A12" t="n">
        <x:v>268</x:v>
      </x:c>
      <x:c r="B12" s="61" t="n">
        <x:v>0.9993034440565031</x:v>
      </x:c>
      <x:c r="C12" s="61" t="n">
        <x:v>0.9380493754468603</x:v>
      </x:c>
      <x:c r="D12" s="61" t="n">
        <x:v>0.997557749692412</x:v>
      </x:c>
      <x:c r="E12" s="61" t="n">
        <x:v>1.025797814855358</x:v>
      </x:c>
      <x:c r="F12" s="61" t="n">
        <x:v>0.9878234218795635</x:v>
      </x:c>
      <x:c r="G12" s="61" t="n">
        <x:v>0.8600867816164657</x:v>
      </x:c>
      <x:c r="H12" s="61" t="n">
        <x:v>0.8786931724169779</x:v>
      </x:c>
      <x:c r="I12" s="61" t="n">
        <x:v>0.6668985238426463</x:v>
      </x:c>
      <x:c r="J12" t="str">
        <x:v>YYYYZ</x:v>
      </x:c>
      <x:c r="K12" t="str">
        <x:v>YYZZZ</x:v>
      </x:c>
      <x:c r="L12" s="29" t="str">
        <x:v>Strong shape and approximate magnitude agreement.</x:v>
      </x:c>
    </x:row>
    <x:row r="13">
      <x:c r="A13" t="n">
        <x:v>270</x:v>
      </x:c>
      <x:c r="B13" s="61" t="n">
        <x:v>0.9940063985172388</x:v>
      </x:c>
      <x:c r="C13" s="61" t="n">
        <x:v>1.1305653678566945</x:v>
      </x:c>
      <x:c r="D13" s="61" t="n">
        <x:v>0.9870661450333578</x:v>
      </x:c>
      <x:c r="E13" s="61" t="n">
        <x:v>1.6319765230150536</x:v>
      </x:c>
      <x:c r="F13" s="61" t="n">
        <x:v>-0.6824383906548742</x:v>
      </x:c>
      <x:c r="G13" s="61" t="n">
        <x:v>0.44006747570371113</x:v>
      </x:c>
      <x:c r="H13" s="61" t="n">
        <x:v>0.9066764017370944</x:v>
      </x:c>
      <x:c r="I13" s="61" t="n">
        <x:v>1.4807298955754118</x:v>
      </x:c>
      <x:c r="J13" t="str">
        <x:v>YYYYZ</x:v>
      </x:c>
      <x:c r="K13" t="str">
        <x:v>ZZZZZ</x:v>
      </x:c>
      <x:c r="L13" s="29" t="str">
        <x:v>Strong shape and approximate magnitude agreement.</x:v>
      </x:c>
    </x:row>
    <x:row r="14">
      <x:c r="A14" t="n">
        <x:v>275</x:v>
      </x:c>
      <x:c r="B14" s="61" t="n">
        <x:v>0.9836304673575506</x:v>
      </x:c>
      <x:c r="C14" s="61" t="n">
        <x:v>0.97105572718873</x:v>
      </x:c>
      <x:c r="D14" s="61" t="n">
        <x:v>0.8791518567061201</x:v>
      </x:c>
      <x:c r="E14" s="61" t="n">
        <x:v>1.004574383452665</x:v>
      </x:c>
      <x:c r="F14" s="61" t="n">
        <x:v>-0.4284775394829643</x:v>
      </x:c>
      <x:c r="G14" s="61" t="n">
        <x:v>0.8740949117649133</x:v>
      </x:c>
      <x:c r="H14" s="61" t="n">
        <x:v>0.8685137876149341</x:v>
      </x:c>
      <x:c r="I14" s="61" t="n">
        <x:v>0.8928199791883454</x:v>
      </x:c>
      <x:c r="J14" t="str">
        <x:v>YYZYZ</x:v>
      </x:c>
      <x:c r="K14" t="str">
        <x:v>YYYZZ</x:v>
      </x:c>
      <x:c r="L14" s="29" t="str">
        <x:v>Strong shape and approximate magnitude agreement.</x:v>
      </x:c>
    </x:row>
    <x:row r="15">
      <x:c r="A15" t="n">
        <x:v>300</x:v>
      </x:c>
      <x:c r="B15" s="61" t="n">
        <x:v>0.9844586016503788</x:v>
      </x:c>
      <x:c r="C15" s="61" t="n">
        <x:v>1.1875857894219817</x:v>
      </x:c>
      <x:c r="D15" s="61" t="n">
        <x:v>0.9792855725310295</x:v>
      </x:c>
      <x:c r="E15" s="61" t="n">
        <x:v>1.5363440747349637</x:v>
      </x:c>
      <x:c r="F15" s="61" t="n">
        <x:v>-0.10677792904888986</x:v>
      </x:c>
      <x:c r="G15" s="61" t="n">
        <x:v>0.3837027224661846</x:v>
      </x:c>
      <x:c r="H15" s="61" t="n">
        <x:v>0.9758467774180176</x:v>
      </x:c>
      <x:c r="I15" s="61" t="n">
        <x:v>0.9637424892703862</x:v>
      </x:c>
      <x:c r="J15" t="str">
        <x:v>YZZZZ</x:v>
      </x:c>
      <x:c r="K15" t="str">
        <x:v>ZZZZZ</x:v>
      </x:c>
      <x:c r="L15" s="29" t="str">
        <x:v>Strong shape and approximate magnitude agreement.</x:v>
      </x:c>
    </x:row>
    <x:row r="16">
      <x:c r="A16" t="n">
        <x:v>325</x:v>
      </x:c>
      <x:c r="B16" s="61" t="n">
        <x:v>0.9949214120948041</x:v>
      </x:c>
      <x:c r="C16" s="61" t="n">
        <x:v>1.3012785348368092</x:v>
      </x:c>
      <x:c r="D16" s="61" t="n">
        <x:v>0.9965293298707336</x:v>
      </x:c>
      <x:c r="E16" s="61" t="n">
        <x:v>1.51906389338312</x:v>
      </x:c>
      <x:c r="F16" s="61" t="n">
        <x:v>-0.8663663325480484</x:v>
      </x:c>
      <x:c r="G16" s="61" t="n">
        <x:v>0.3897116385676354</x:v>
      </x:c>
      <x:c r="H16" s="61" t="n">
        <x:v>0.9934368012165652</x:v>
      </x:c>
      <x:c r="I16" s="61" t="n">
        <x:v>1.0368532075939942</x:v>
      </x:c>
      <x:c r="J16" t="str">
        <x:v>ZZZZZ</x:v>
      </x:c>
      <x:c r="K16" t="str">
        <x:v>ZZZZZ</x:v>
      </x:c>
      <x:c r="L16" s="29" t="str">
        <x:v>Strong shape agreement, but absolute gain changed substantially between sessions.</x:v>
      </x:c>
    </x:row>
    <x:row r="17">
      <x:c r="B17" s="61"/>
      <x:c r="C17" s="61"/>
      <x:c r="D17" s="61"/>
      <x:c r="E17" s="61"/>
      <x:c r="F17" s="61"/>
      <x:c r="G17" s="61"/>
      <x:c r="H17" s="61"/>
      <x:c r="I17" s="61"/>
      <x:c r="L17" s="29"/>
    </x:row>
    <x:row r="18">
      <x:c r="B18" s="61"/>
      <x:c r="C18" s="61"/>
      <x:c r="D18" s="61"/>
      <x:c r="E18" s="61"/>
      <x:c r="F18" s="61"/>
      <x:c r="G18" s="61"/>
      <x:c r="H18" s="61"/>
      <x:c r="I18" s="61"/>
      <x:c r="L18" s="29"/>
    </x:row>
    <x:row r="19">
      <x:c r="B19" s="61"/>
      <x:c r="C19" s="61"/>
      <x:c r="D19" s="61"/>
      <x:c r="E19" s="61"/>
      <x:c r="F19" s="61"/>
      <x:c r="G19" s="61"/>
      <x:c r="H19" s="61"/>
      <x:c r="I19" s="61"/>
      <x:c r="L19" s="29"/>
    </x:row>
    <x:row r="20">
      <x:c r="B20" s="61"/>
      <x:c r="C20" s="61"/>
      <x:c r="D20" s="61"/>
      <x:c r="E20" s="61"/>
      <x:c r="F20" s="61"/>
      <x:c r="G20" s="61"/>
      <x:c r="H20" s="61"/>
      <x:c r="I20" s="61"/>
      <x:c r="L20" s="29"/>
    </x:row>
  </x:sheetData>
  <x:mergeCells>
    <x:mergeCell ref="A1:L1"/>
    <x:mergeCell ref="A2:L2"/>
  </x:mergeCells>
  <x:pageMargins left="0.7" right="0.7" top="0.75" bottom="0.75" header="0.3" footer="0.3"/>
</x:worksheet>
</file>

<file path=xl/worksheets/sheet21.xml><?xml version="1.0" encoding="utf-8"?>
<x:worksheet xmlns:x="http://schemas.openxmlformats.org/spreadsheetml/2006/main">
  <x:sheetFormatPr defaultRowHeight="15"/>
  <x:cols>
    <x:col min="1" max="1" width="32" hidden="0" customWidth="1"/>
    <x:col min="2" max="2" width="24" hidden="0" customWidth="1"/>
    <x:col min="3" max="3" width="24" hidden="0" customWidth="1"/>
    <x:col min="4" max="4" width="24" hidden="0" customWidth="1"/>
    <x:col min="5" max="5" width="62" hidden="0" customWidth="1"/>
    <x:col min="7" max="7" width="38" hidden="0" customWidth="1"/>
  </x:cols>
  <x:sheetData>
    <x:row r="1">
      <x:c r="A1" s="99" t="str">
        <x:v>Final actuator-axis decision before phase cancellation</x:v>
      </x:c>
      <x:c r="B1" s="99"/>
      <x:c r="C1" s="99"/>
      <x:c r="D1" s="99"/>
      <x:c r="E1" s="99"/>
      <x:c r="F1" s="99"/>
      <x:c r="G1" s="99"/>
      <x:c r="H1" s="99"/>
      <x:c r="I1" s="99"/>
      <x:c r="J1" s="99"/>
      <x:c r="K1" s="99"/>
      <x:c r="L1" s="99"/>
      <x:c r="M1" s="99"/>
      <x:c r="N1" s="99"/>
    </x:row>
    <x:row r="2">
      <x:c r="A2" s="102" t="str">
        <x:v>Decision is based on the complete DAC1–29 characterization, not amplitude dominance at one DAC. The preferred axis must be monotonic, synchronous, low-variance and retain authority across the search range.</x:v>
      </x:c>
      <x:c r="B2" s="102"/>
      <x:c r="C2" s="102"/>
      <x:c r="D2" s="102"/>
      <x:c r="E2" s="102"/>
      <x:c r="F2" s="102"/>
      <x:c r="G2" s="102"/>
      <x:c r="H2" s="102"/>
      <x:c r="I2" s="102"/>
      <x:c r="J2" s="102"/>
      <x:c r="K2" s="102"/>
      <x:c r="L2" s="102"/>
      <x:c r="M2" s="102"/>
      <x:c r="N2" s="102"/>
    </x:row>
    <x:row r="4">
      <x:c r="A4" s="107" t="str">
        <x:v>Criterion</x:v>
      </x:c>
      <x:c r="B4" s="107" t="str">
        <x:v>X</x:v>
      </x:c>
      <x:c r="C4" s="107" t="str">
        <x:v>Y</x:v>
      </x:c>
      <x:c r="D4" s="107" t="str">
        <x:v>Z</x:v>
      </x:c>
      <x:c r="E4" s="107" t="str">
        <x:v>Control implication</x:v>
      </x:c>
    </x:row>
    <x:row r="5">
      <x:c r="A5" s="110" t="str">
        <x:v>Amplitude authority around 268–275 Hz</x:v>
      </x:c>
      <x:c r="B5" s="29" t="str">
        <x:v>Low</x:v>
      </x:c>
      <x:c r="C5" s="29" t="str">
        <x:v>High</x:v>
      </x:c>
      <x:c r="D5" s="29" t="str">
        <x:v>High to very high</x:v>
      </x:c>
      <x:c r="E5" s="29" t="str">
        <x:v>X requires much more drive for the same coherent authority.</x:v>
      </x:c>
    </x:row>
    <x:row r="6">
      <x:c r="A6" s="110" t="str">
        <x:v>Monotonicity over DAC11–29</x:v>
      </x:c>
      <x:c r="B6" s="29" t="str">
        <x:v>Mostly monotonic</x:v>
      </x:c>
      <x:c r="C6" s="29" t="str">
        <x:v>Not globally monotonic</x:v>
      </x:c>
      <x:c r="D6" s="29" t="str">
        <x:v>100% monotonic at all frequencies</x:v>
      </x:c>
      <x:c r="E6" s="29" t="str">
        <x:v>Z gives an unambiguous amplitude-search direction.</x:v>
      </x:c>
    </x:row>
    <x:row r="7">
      <x:c r="A7" s="110" t="str">
        <x:v>Synchronization around 268–275 Hz</x:v>
      </x:c>
      <x:c r="B7" s="29" t="str">
        <x:v>Low</x:v>
      </x:c>
      <x:c r="C7" s="29" t="str">
        <x:v>Moderate-high</x:v>
      </x:c>
      <x:c r="D7" s="29" t="str">
        <x:v>High (~0.9 at useful DAC)</x:v>
      </x:c>
      <x:c r="E7" s="29" t="str">
        <x:v>Z phase/amplitude estimates are the cleanest.</x:v>
      </x:c>
    </x:row>
    <x:row r="8">
      <x:c r="A8" s="110" t="str">
        <x:v>Within-record stability</x:v>
      </x:c>
      <x:c r="B8" s="29" t="str">
        <x:v>Weaker due low signal</x:v>
      </x:c>
      <x:c r="C8" s="29" t="str">
        <x:v>Generally good</x:v>
      </x:c>
      <x:c r="D8" s="29" t="str">
        <x:v>Very good</x:v>
      </x:c>
      <x:c r="E8" s="29" t="str">
        <x:v>Z has the most reliable exact-frequency measurement.</x:v>
      </x:c>
    </x:row>
    <x:row r="9">
      <x:c r="A9" s="110" t="str">
        <x:v>Drive-dependent directional redistribution</x:v>
      </x:c>
      <x:c r="B9" s="29" t="str">
        <x:v>Secondary</x:v>
      </x:c>
      <x:c r="C9" s="29" t="str">
        <x:v>Strongly affected</x:v>
      </x:c>
      <x:c r="D9" s="29" t="str">
        <x:v>Receives redistributed energy</x:v>
      </x:c>
      <x:c r="E9" s="29" t="str">
        <x:v>At high drive the response tends to rotate from Y toward Z.</x:v>
      </x:c>
    </x:row>
    <x:row r="10">
      <x:c r="A10" s="110" t="str">
        <x:v>Phase dependence on DAC</x:v>
      </x:c>
      <x:c r="B10" s="29" t="str">
        <x:v>Unreliable when sync is low</x:v>
      </x:c>
      <x:c r="C10" s="29" t="str">
        <x:v>Large changes in transition region</x:v>
      </x:c>
      <x:c r="D10" s="29" t="str">
        <x:v>Smooth but non-zero drift</x:v>
      </x:c>
      <x:c r="E10" s="29" t="str">
        <x:v>Freeze DAC first, then perform phase sweep at that DAC.</x:v>
      </x:c>
    </x:row>
    <x:row r="11">
      <x:c r="A11" s="110" t="str">
        <x:v>Final actuator-side choice</x:v>
      </x:c>
      <x:c r="B11" s="29" t="str">
        <x:v>Not preferred</x:v>
      </x:c>
      <x:c r="C11" s="29" t="str">
        <x:v>Secondary option</x:v>
      </x:c>
      <x:c r="D11" s="29" t="str">
        <x:v>PREFERRED</x:v>
      </x:c>
      <x:c r="E11" s="29" t="str">
        <x:v>Proceed with Z matcher / Z phase sweep if the tool has sufficient Z disturbance at the target frequency.</x:v>
      </x:c>
    </x:row>
    <x:row r="14">
      <x:c r="A14" s="107" t="str">
        <x:v>Freq</x:v>
      </x:c>
      <x:c r="B14" s="107" t="str">
        <x:v>Z-control onset</x:v>
      </x:c>
      <x:c r="C14" s="107" t="str">
        <x:v>Z monotonic</x:v>
      </x:c>
      <x:c r="D14" s="107" t="str">
        <x:v>Y monotonic</x:v>
      </x:c>
      <x:c r="E14" s="107" t="str">
        <x:v>Mean Z sync 11–29</x:v>
      </x:c>
      <x:c r="F14" s="107" t="str">
        <x:v>Z phase drift 11–29</x:v>
      </x:c>
      <x:c r="G14" s="107" t="str">
        <x:v>Dominance transition</x:v>
      </x:c>
    </x:row>
    <x:row r="15">
      <x:c r="A15" t="n">
        <x:v>250</x:v>
      </x:c>
      <x:c r="B15" t="n">
        <x:v>11</x:v>
      </x:c>
      <x:c r="C15" t="n">
        <x:v>1</x:v>
      </x:c>
      <x:c r="D15" t="n">
        <x:v>0.8888888888888888</x:v>
      </x:c>
      <x:c r="E15" s="61" t="n">
        <x:v>0.9254999999999999</x:v>
      </x:c>
      <x:c r="F15" s="61" t="n">
        <x:v>-41.140000000000015</x:v>
      </x:c>
      <x:c r="G15" t="str">
        <x:v>Y→Z between DAC 3–5</x:v>
      </x:c>
    </x:row>
    <x:row r="16">
      <x:c r="A16" t="n">
        <x:v>268</x:v>
      </x:c>
      <x:c r="B16" t="n">
        <x:v>11</x:v>
      </x:c>
      <x:c r="C16" t="n">
        <x:v>1</x:v>
      </x:c>
      <x:c r="D16" t="n">
        <x:v>0.6666666666666666</x:v>
      </x:c>
      <x:c r="E16" s="61" t="n">
        <x:v>0.8885</x:v>
      </x:c>
      <x:c r="F16" s="61" t="n">
        <x:v>-14.099999999999994</x:v>
      </x:c>
      <x:c r="G16" t="str">
        <x:v>Y→Z between DAC 13–15</x:v>
      </x:c>
    </x:row>
    <x:row r="17">
      <x:c r="A17" t="n">
        <x:v>270</x:v>
      </x:c>
      <x:c r="B17" t="n">
        <x:v>9</x:v>
      </x:c>
      <x:c r="C17" t="n">
        <x:v>1</x:v>
      </x:c>
      <x:c r="D17" t="n">
        <x:v>0.7777777777777778</x:v>
      </x:c>
      <x:c r="E17" s="61" t="n">
        <x:v>0.9176</x:v>
      </x:c>
      <x:c r="F17" s="61" t="n">
        <x:v>-30.00999999999999</x:v>
      </x:c>
      <x:c r="G17" t="str">
        <x:v>Z→Y between DAC 3–5; Y→Z between DAC 9–11</x:v>
      </x:c>
    </x:row>
    <x:row r="18">
      <x:c r="A18" t="n">
        <x:v>275</x:v>
      </x:c>
      <x:c r="B18" t="n">
        <x:v>9</x:v>
      </x:c>
      <x:c r="C18" t="n">
        <x:v>1</x:v>
      </x:c>
      <x:c r="D18" t="n">
        <x:v>0.6666666666666666</x:v>
      </x:c>
      <x:c r="E18" s="61" t="n">
        <x:v>0.9084000000000001</x:v>
      </x:c>
      <x:c r="F18" s="61" t="n">
        <x:v>-22.609999999999985</x:v>
      </x:c>
      <x:c r="G18" t="str">
        <x:v>Y→Z between DAC 15–17</x:v>
      </x:c>
    </x:row>
    <x:row r="19">
      <x:c r="A19" t="n">
        <x:v>300</x:v>
      </x:c>
      <x:c r="B19" t="n">
        <x:v>7</x:v>
      </x:c>
      <x:c r="C19" t="n">
        <x:v>1</x:v>
      </x:c>
      <x:c r="D19" t="n">
        <x:v>0.7777777777777778</x:v>
      </x:c>
      <x:c r="E19" s="61" t="n">
        <x:v>0.9307000000000001</x:v>
      </x:c>
      <x:c r="F19" s="61" t="n">
        <x:v>-10.120000000000005</x:v>
      </x:c>
      <x:c r="G19" t="str">
        <x:v>Y→Z between DAC 9–11</x:v>
      </x:c>
    </x:row>
    <x:row r="20">
      <x:c r="A20" t="n">
        <x:v>325</x:v>
      </x:c>
      <x:c r="B20" t="n">
        <x:v>7</x:v>
      </x:c>
      <x:c r="C20" t="n">
        <x:v>1</x:v>
      </x:c>
      <x:c r="D20" t="n">
        <x:v>0.8888888888888888</x:v>
      </x:c>
      <x:c r="E20" s="61" t="n">
        <x:v>0.9269000000000001</x:v>
      </x:c>
      <x:c r="F20" s="61" t="n">
        <x:v>-5.210000000000008</x:v>
      </x:c>
      <x:c r="G20" t="str">
        <x:v>Y→Z between DAC 5–7</x:v>
      </x:c>
    </x:row>
    <x:row r="21">
      <x:c r="E21" s="61"/>
      <x:c r="F21" s="61"/>
    </x:row>
    <x:row r="22">
      <x:c r="E22" s="61"/>
      <x:c r="F22" s="61"/>
    </x:row>
    <x:row r="23">
      <x:c r="E23" s="61"/>
      <x:c r="F23" s="61"/>
    </x:row>
    <x:row r="24">
      <x:c r="E24" s="61"/>
      <x:c r="F24" s="61"/>
    </x:row>
    <x:row r="25">
      <x:c r="E25" s="61"/>
      <x:c r="F25" s="61"/>
    </x:row>
  </x:sheetData>
  <x:mergeCells>
    <x:mergeCell ref="A1:N1"/>
    <x:mergeCell ref="A2:N2"/>
  </x:mergeCells>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2" customHeight="1">
      <x:c r="A1" s="99" t="str">
        <x:v>Master-thesis documentation — final actuator characterization text</x:v>
      </x:c>
      <x:c r="B1" s="99"/>
      <x:c r="C1" s="99"/>
      <x:c r="D1" s="99"/>
      <x:c r="E1" s="99"/>
      <x:c r="F1" s="99"/>
      <x:c r="G1" s="99"/>
      <x:c r="H1" s="99"/>
    </x:row>
    <x:row r="2" ht="22" customHeight="1"/>
    <x:row r="3" ht="22" customHeight="1">
      <x:c r="A3" s="114" t="str">
        <x:v>Suggested subsection title</x:v>
      </x:c>
    </x:row>
    <x:row r="4" ht="22" customHeight="1">
      <x:c r="A4" t="str">
        <x:v>Frequency- and Drive-Dependent Characterization of the Installed Visaton EX 45 S Actuator</x:v>
      </x:c>
    </x:row>
    <x:row r="5" ht="22" customHeight="1"/>
    <x:row r="6" ht="22" customHeight="1">
      <x:c r="A6" s="114" t="str">
        <x:v>Method</x:v>
      </x:c>
    </x:row>
    <x:row r="7" ht="22" customHeight="1">
      <x:c r="A7" s="29" t="str">
        <x:v>The electrodynamic actuator was characterized with the power tool switched off and ADXL2 rigidly attached to the actuator/final mounting plate in an inclined orientation representative of the wearable installation. At each command frequency (100, 125, 150, 175, 200, 225, 250, 268, 270, 275, 300 and 325 Hz), the DAC command was swept from 1 to 29 in increments of 2. For every operating point, blind and local FFT estimates were recorded together with exact-command-frequency quadrature amplitude, phase, synchronization ratio and within-record coefficient of variation for the X, Y and Z directions. The resultant acceleration was calculated from the three synchronous axis components. A total of 180 full-range operating points were therefore characterized.</x:v>
      </x:c>
      <x:c r="B7" s="29"/>
      <x:c r="C7" s="29"/>
      <x:c r="D7" s="29"/>
      <x:c r="E7" s="29"/>
      <x:c r="F7" s="29"/>
      <x:c r="G7" s="29"/>
      <x:c r="H7" s="29"/>
    </x:row>
    <x:row r="8" ht="22" customHeight="1">
      <x:c r="A8" s="29"/>
      <x:c r="B8" s="29"/>
      <x:c r="C8" s="29"/>
      <x:c r="D8" s="29"/>
      <x:c r="E8" s="29"/>
      <x:c r="F8" s="29"/>
      <x:c r="G8" s="29"/>
      <x:c r="H8" s="29"/>
    </x:row>
    <x:row r="9" ht="22" customHeight="1">
      <x:c r="A9" s="29"/>
      <x:c r="B9" s="29"/>
      <x:c r="C9" s="29"/>
      <x:c r="D9" s="29"/>
      <x:c r="E9" s="29"/>
      <x:c r="F9" s="29"/>
      <x:c r="G9" s="29"/>
      <x:c r="H9" s="29"/>
    </x:row>
    <x:row r="10" ht="22" customHeight="1">
      <x:c r="A10" s="29"/>
      <x:c r="B10" s="29"/>
      <x:c r="C10" s="29"/>
      <x:c r="D10" s="29"/>
      <x:c r="E10" s="29"/>
      <x:c r="F10" s="29"/>
      <x:c r="G10" s="29"/>
      <x:c r="H10" s="29"/>
    </x:row>
    <x:row r="11" ht="22" customHeight="1"/>
    <x:row r="12" ht="22" customHeight="1">
      <x:c r="A12" s="114" t="str">
        <x:v>Results</x:v>
      </x:c>
    </x:row>
    <x:row r="13" ht="22" customHeight="1">
      <x:c r="A13" s="29" t="str">
        <x:v>Once the response exceeded the low-signal operating region, the installed actuator exhibited a highly systematic drive-dependent response. Across DAC 11–29, the resultant synchronous acceleration increased monotonically at all twelve investigated frequencies. The Z-axis component also increased monotonically at every frequency, with linear-fit coefficients of determination between approximately 0.959 and 0.999. This establishes Z as the most consistently controllable actuator coordinate over the investigated drive range. In contrast, the Y component became non-monotonic in several higher-frequency tests. Around 268–300 Hz, increasing drive caused the measured response to redistribute from Y toward Z while the resultant acceleration continued to increase. Thus, local reductions in Y amplitude did not represent a loss of actuator output but a change in the directional composition of the three-dimensional structural response.</x:v>
      </x:c>
      <x:c r="B13" s="29"/>
      <x:c r="C13" s="29"/>
      <x:c r="D13" s="29"/>
      <x:c r="E13" s="29"/>
      <x:c r="F13" s="29"/>
      <x:c r="G13" s="29"/>
      <x:c r="H13" s="29"/>
    </x:row>
    <x:row r="14" ht="22" customHeight="1">
      <x:c r="A14" s="29"/>
      <x:c r="B14" s="29"/>
      <x:c r="C14" s="29"/>
      <x:c r="D14" s="29"/>
      <x:c r="E14" s="29"/>
      <x:c r="F14" s="29"/>
      <x:c r="G14" s="29"/>
      <x:c r="H14" s="29"/>
    </x:row>
    <x:row r="15" ht="22" customHeight="1">
      <x:c r="A15" s="29"/>
      <x:c r="B15" s="29"/>
      <x:c r="C15" s="29"/>
      <x:c r="D15" s="29"/>
      <x:c r="E15" s="29"/>
      <x:c r="F15" s="29"/>
      <x:c r="G15" s="29"/>
      <x:c r="H15" s="29"/>
    </x:row>
    <x:row r="16" ht="22" customHeight="1">
      <x:c r="A16" s="29"/>
      <x:c r="B16" s="29"/>
      <x:c r="C16" s="29"/>
      <x:c r="D16" s="29"/>
      <x:c r="E16" s="29"/>
      <x:c r="F16" s="29"/>
      <x:c r="G16" s="29"/>
      <x:c r="H16" s="29"/>
    </x:row>
    <x:row r="17" ht="22" customHeight="1">
      <x:c r="A17" s="29"/>
      <x:c r="B17" s="29"/>
      <x:c r="C17" s="29"/>
      <x:c r="D17" s="29"/>
      <x:c r="E17" s="29"/>
      <x:c r="F17" s="29"/>
      <x:c r="G17" s="29"/>
      <x:c r="H17" s="29"/>
    </x:row>
    <x:row r="18" ht="22" customHeight="1"/>
    <x:row r="19" ht="22" customHeight="1">
      <x:c r="A19" s="114" t="str">
        <x:v>Control relevance</x:v>
      </x:c>
    </x:row>
    <x:row r="20" ht="22" customHeight="1">
      <x:c r="A20" s="29" t="str">
        <x:v>The complete DAC sweep refines the control-axis selection obtained from the earlier DAC 11–20 measurements. Although both Y and Z exhibit substantial response authority around the tool-relevant 268–275 Hz band, Z retains a monotonic DAC-to-amplitude relationship whereas Y develops plateaus or decreases as drive is increased. Z also maintains high synchronization with the commanded actuator waveform and low within-record variability in the useful operating region. Consequently, Z provides a more reliable coordinate for automatic amplitude matching because a change in DAC produces an unambiguous change in the controlled amplitude. The measured Z phase is not perfectly independent of DAC; therefore the final cancellation phase must be calibrated after the actuator amplitude has been matched at the selected DAC rather than transferred from a different drive condition.</x:v>
      </x:c>
      <x:c r="B20" s="29"/>
      <x:c r="C20" s="29"/>
      <x:c r="D20" s="29"/>
      <x:c r="E20" s="29"/>
      <x:c r="F20" s="29"/>
      <x:c r="G20" s="29"/>
      <x:c r="H20" s="29"/>
    </x:row>
    <x:row r="21" ht="22" customHeight="1">
      <x:c r="A21" s="29"/>
      <x:c r="B21" s="29"/>
      <x:c r="C21" s="29"/>
      <x:c r="D21" s="29"/>
      <x:c r="E21" s="29"/>
      <x:c r="F21" s="29"/>
      <x:c r="G21" s="29"/>
      <x:c r="H21" s="29"/>
    </x:row>
    <x:row r="22" ht="22" customHeight="1">
      <x:c r="A22" s="29"/>
      <x:c r="B22" s="29"/>
      <x:c r="C22" s="29"/>
      <x:c r="D22" s="29"/>
      <x:c r="E22" s="29"/>
      <x:c r="F22" s="29"/>
      <x:c r="G22" s="29"/>
      <x:c r="H22" s="29"/>
    </x:row>
    <x:row r="23" ht="22" customHeight="1">
      <x:c r="A23" s="29"/>
      <x:c r="B23" s="29"/>
      <x:c r="C23" s="29"/>
      <x:c r="D23" s="29"/>
      <x:c r="E23" s="29"/>
      <x:c r="F23" s="29"/>
      <x:c r="G23" s="29"/>
      <x:c r="H23" s="29"/>
    </x:row>
    <x:row r="24" ht="22" customHeight="1">
      <x:c r="A24" s="29"/>
      <x:c r="B24" s="29"/>
      <x:c r="C24" s="29"/>
      <x:c r="D24" s="29"/>
      <x:c r="E24" s="29"/>
      <x:c r="F24" s="29"/>
      <x:c r="G24" s="29"/>
      <x:c r="H24" s="29"/>
    </x:row>
    <x:row r="25" ht="22" customHeight="1"/>
    <x:row r="26" ht="22" customHeight="1">
      <x:c r="A26" s="114" t="str">
        <x:v>Repeatability and limitation</x:v>
      </x:c>
    </x:row>
    <x:row r="27" ht="22" customHeight="1">
      <x:c r="A27" s="29" t="str">
        <x:v>Comparison with the earlier DAC 11–20 inclined sweep showed strong agreement in curve shape: the resultant-amplitude correlation at the common DAC values 11, 13, 15, 17 and 19 exceeded 0.96 at every frequency. However, absolute response magnitude differed substantially between sessions at several frequencies below 250 Hz. Accordingly, the present work distinguishes repeatability of the response trend from repeatability of the absolute installed transfer gain. The latter depends on maintaining identical amplifier gain, mounting preload, actuator orientation, sensor orientation and boundary conditions. Because the full-range sweep used one independent record per DAC point, final phase and exact amplitude calibration values should be confirmed using repeated measurements at the selected tool frequency and final wearable geometry.</x:v>
      </x:c>
      <x:c r="B27" s="29"/>
      <x:c r="C27" s="29"/>
      <x:c r="D27" s="29"/>
      <x:c r="E27" s="29"/>
      <x:c r="F27" s="29"/>
      <x:c r="G27" s="29"/>
      <x:c r="H27" s="29"/>
    </x:row>
    <x:row r="28" ht="22" customHeight="1">
      <x:c r="A28" s="29"/>
      <x:c r="B28" s="29"/>
      <x:c r="C28" s="29"/>
      <x:c r="D28" s="29"/>
      <x:c r="E28" s="29"/>
      <x:c r="F28" s="29"/>
      <x:c r="G28" s="29"/>
      <x:c r="H28" s="29"/>
    </x:row>
    <x:row r="29" ht="22" customHeight="1">
      <x:c r="A29" s="29"/>
      <x:c r="B29" s="29"/>
      <x:c r="C29" s="29"/>
      <x:c r="D29" s="29"/>
      <x:c r="E29" s="29"/>
      <x:c r="F29" s="29"/>
      <x:c r="G29" s="29"/>
      <x:c r="H29" s="29"/>
    </x:row>
    <x:row r="30" ht="22" customHeight="1">
      <x:c r="A30" s="29"/>
      <x:c r="B30" s="29"/>
      <x:c r="C30" s="29"/>
      <x:c r="D30" s="29"/>
      <x:c r="E30" s="29"/>
      <x:c r="F30" s="29"/>
      <x:c r="G30" s="29"/>
      <x:c r="H30" s="29"/>
    </x:row>
    <x:row r="31" ht="22" customHeight="1">
      <x:c r="A31" s="29"/>
      <x:c r="B31" s="29"/>
      <x:c r="C31" s="29"/>
      <x:c r="D31" s="29"/>
      <x:c r="E31" s="29"/>
      <x:c r="F31" s="29"/>
      <x:c r="G31" s="29"/>
      <x:c r="H31" s="29"/>
    </x:row>
    <x:row r="32" ht="22" customHeight="1"/>
    <x:row r="33" ht="22" customHeight="1">
      <x:c r="A33" s="114" t="str">
        <x:v>Final conclusion</x:v>
      </x:c>
    </x:row>
    <x:row r="34" ht="22" customHeight="1">
      <x:c r="A34" s="29" t="str">
        <x:v>The full-range characterization demonstrates that the installed Visaton EX 45 S does not behave as a single fixed-axis actuator. Its three-dimensional response depends on excitation frequency, drive amplitude and installation geometry. Nevertheless, the Z component is the most robust control variable over the tested operating envelope because it remains monotonic across the entire useful DAC range and becomes increasingly dominant at higher drive levels. For the subsequent active vibration cancellation experiment, Z is therefore selected as the preferred actuator-side amplitude and phase-control coordinate, subject to verification that the tool produces a sufficiently large Z-axis disturbance at the target frequency in the final worn configuration.</x:v>
      </x:c>
      <x:c r="B34" s="29"/>
      <x:c r="C34" s="29"/>
      <x:c r="D34" s="29"/>
      <x:c r="E34" s="29"/>
      <x:c r="F34" s="29"/>
      <x:c r="G34" s="29"/>
      <x:c r="H34" s="29"/>
    </x:row>
    <x:row r="35" ht="22" customHeight="1">
      <x:c r="A35" s="29"/>
      <x:c r="B35" s="29"/>
      <x:c r="C35" s="29"/>
      <x:c r="D35" s="29"/>
      <x:c r="E35" s="29"/>
      <x:c r="F35" s="29"/>
      <x:c r="G35" s="29"/>
      <x:c r="H35" s="29"/>
    </x:row>
    <x:row r="36" ht="22" customHeight="1">
      <x:c r="A36" s="29"/>
      <x:c r="B36" s="29"/>
      <x:c r="C36" s="29"/>
      <x:c r="D36" s="29"/>
      <x:c r="E36" s="29"/>
      <x:c r="F36" s="29"/>
      <x:c r="G36" s="29"/>
      <x:c r="H36" s="29"/>
    </x:row>
    <x:row r="37" ht="22" customHeight="1">
      <x:c r="A37" s="29"/>
      <x:c r="B37" s="29"/>
      <x:c r="C37" s="29"/>
      <x:c r="D37" s="29"/>
      <x:c r="E37" s="29"/>
      <x:c r="F37" s="29"/>
      <x:c r="G37" s="29"/>
      <x:c r="H37" s="29"/>
    </x:row>
    <x:row r="38" ht="22" customHeight="1">
      <x:c r="A38" s="29"/>
      <x:c r="B38" s="29"/>
      <x:c r="C38" s="29"/>
      <x:c r="D38" s="29"/>
      <x:c r="E38" s="29"/>
      <x:c r="F38" s="29"/>
      <x:c r="G38" s="29"/>
      <x:c r="H38" s="29"/>
    </x:row>
    <x:row r="39" ht="22" customHeight="1"/>
    <x:row r="40" ht="22" customHeight="1"/>
  </x:sheetData>
  <x:mergeCells>
    <x:mergeCell ref="A1:H1"/>
    <x:mergeCell ref="A7:H10"/>
    <x:mergeCell ref="A13:H17"/>
    <x:mergeCell ref="A20:H24"/>
    <x:mergeCell ref="A27:H31"/>
    <x:mergeCell ref="A34:H38"/>
  </x:mergeCells>
  <x:pageMargins left="0.7" right="0.7" top="0.75" bottom="0.75" header="0.3" footer="0.3"/>
</x:worksheet>
</file>